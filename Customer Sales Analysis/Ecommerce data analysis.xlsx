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kumar\Downloads\"/>
    </mc:Choice>
  </mc:AlternateContent>
  <bookViews>
    <workbookView xWindow="0" yWindow="0" windowWidth="23040" windowHeight="10524"/>
  </bookViews>
  <sheets>
    <sheet name="Dashboard" sheetId="4" r:id="rId1"/>
    <sheet name="vlookup" sheetId="5" r:id="rId2"/>
    <sheet name="Pivot tables" sheetId="3" r:id="rId3"/>
    <sheet name="data" sheetId="1" r:id="rId4"/>
  </sheets>
  <definedNames>
    <definedName name="Slicer_Gender">#N/A</definedName>
    <definedName name="Slicer_Payment_Method">#N/A</definedName>
    <definedName name="Slicer_Season">#N/A</definedName>
    <definedName name="Slicer_Shipping_Type">#N/A</definedName>
    <definedName name="Slicer_Size">#N/A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B3" i="5" l="1"/>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2338" i="5"/>
  <c r="B2339" i="5"/>
  <c r="B2340" i="5"/>
  <c r="B2341" i="5"/>
  <c r="B2342" i="5"/>
  <c r="B2343" i="5"/>
  <c r="B2344" i="5"/>
  <c r="B2345" i="5"/>
  <c r="B2346" i="5"/>
  <c r="B2347" i="5"/>
  <c r="B2348" i="5"/>
  <c r="B2349" i="5"/>
  <c r="B2350" i="5"/>
  <c r="B2351" i="5"/>
  <c r="B2352" i="5"/>
  <c r="B2353" i="5"/>
  <c r="B2354" i="5"/>
  <c r="B2355" i="5"/>
  <c r="B2356" i="5"/>
  <c r="B2357" i="5"/>
  <c r="B2358" i="5"/>
  <c r="B2359" i="5"/>
  <c r="B2360" i="5"/>
  <c r="B2361" i="5"/>
  <c r="B2362" i="5"/>
  <c r="B2363" i="5"/>
  <c r="B2364" i="5"/>
  <c r="B2365" i="5"/>
  <c r="B2366" i="5"/>
  <c r="B2367" i="5"/>
  <c r="B2368" i="5"/>
  <c r="B2369" i="5"/>
  <c r="B2370" i="5"/>
  <c r="B2371" i="5"/>
  <c r="B2372" i="5"/>
  <c r="B2373" i="5"/>
  <c r="B2374" i="5"/>
  <c r="B2375" i="5"/>
  <c r="B2376" i="5"/>
  <c r="B2377" i="5"/>
  <c r="B2378" i="5"/>
  <c r="B2379" i="5"/>
  <c r="B2380" i="5"/>
  <c r="B2381" i="5"/>
  <c r="B2382" i="5"/>
  <c r="B2383" i="5"/>
  <c r="B2384" i="5"/>
  <c r="B2385" i="5"/>
  <c r="B2386" i="5"/>
  <c r="B2387" i="5"/>
  <c r="B2388" i="5"/>
  <c r="B2389" i="5"/>
  <c r="B2390" i="5"/>
  <c r="B2391" i="5"/>
  <c r="B2392" i="5"/>
  <c r="B2393" i="5"/>
  <c r="B2394" i="5"/>
  <c r="B2395" i="5"/>
  <c r="B2396" i="5"/>
  <c r="B2397" i="5"/>
  <c r="B2398" i="5"/>
  <c r="B2399" i="5"/>
  <c r="B2400" i="5"/>
  <c r="B2401" i="5"/>
  <c r="B2402" i="5"/>
  <c r="B2403" i="5"/>
  <c r="B2404" i="5"/>
  <c r="B2405" i="5"/>
  <c r="B2406" i="5"/>
  <c r="B2407" i="5"/>
  <c r="B2408" i="5"/>
  <c r="B2409" i="5"/>
  <c r="B2410" i="5"/>
  <c r="B2411" i="5"/>
  <c r="B2412" i="5"/>
  <c r="B2413" i="5"/>
  <c r="B2414" i="5"/>
  <c r="B2415" i="5"/>
  <c r="B2416" i="5"/>
  <c r="B2417" i="5"/>
  <c r="B2418" i="5"/>
  <c r="B2419" i="5"/>
  <c r="B2420" i="5"/>
  <c r="B2421" i="5"/>
  <c r="B2422" i="5"/>
  <c r="B2423" i="5"/>
  <c r="B2424" i="5"/>
  <c r="B2425" i="5"/>
  <c r="B2426" i="5"/>
  <c r="B2427" i="5"/>
  <c r="B2428" i="5"/>
  <c r="B2429" i="5"/>
  <c r="B2430" i="5"/>
  <c r="B2431" i="5"/>
  <c r="B2432" i="5"/>
  <c r="B2433" i="5"/>
  <c r="B2434" i="5"/>
  <c r="B2435" i="5"/>
  <c r="B2436" i="5"/>
  <c r="B2437" i="5"/>
  <c r="B2438" i="5"/>
  <c r="B2439" i="5"/>
  <c r="B2440" i="5"/>
  <c r="B2441" i="5"/>
  <c r="B2442" i="5"/>
  <c r="B2443" i="5"/>
  <c r="B2444" i="5"/>
  <c r="B2445" i="5"/>
  <c r="B2446" i="5"/>
  <c r="B2447" i="5"/>
  <c r="B2448" i="5"/>
  <c r="B2449" i="5"/>
  <c r="B2450" i="5"/>
  <c r="B2451" i="5"/>
  <c r="B2452" i="5"/>
  <c r="B2453" i="5"/>
  <c r="B2454" i="5"/>
  <c r="B2455" i="5"/>
  <c r="B2456" i="5"/>
  <c r="B2457" i="5"/>
  <c r="B2458" i="5"/>
  <c r="B2459" i="5"/>
  <c r="B2460" i="5"/>
  <c r="B2461" i="5"/>
  <c r="B2462" i="5"/>
  <c r="B2463" i="5"/>
  <c r="B2464" i="5"/>
  <c r="B2465" i="5"/>
  <c r="B2466" i="5"/>
  <c r="B2467" i="5"/>
  <c r="B2468" i="5"/>
  <c r="B2469" i="5"/>
  <c r="B2470" i="5"/>
  <c r="B2471" i="5"/>
  <c r="B2472" i="5"/>
  <c r="B2473" i="5"/>
  <c r="B2474" i="5"/>
  <c r="B2475" i="5"/>
  <c r="B2476" i="5"/>
  <c r="B2477" i="5"/>
  <c r="B2478" i="5"/>
  <c r="B2479" i="5"/>
  <c r="B2480" i="5"/>
  <c r="B2481" i="5"/>
  <c r="B2482" i="5"/>
  <c r="B2483" i="5"/>
  <c r="B2484" i="5"/>
  <c r="B2485" i="5"/>
  <c r="B2486" i="5"/>
  <c r="B2487" i="5"/>
  <c r="B2488" i="5"/>
  <c r="B2489" i="5"/>
  <c r="B2490" i="5"/>
  <c r="B2491" i="5"/>
  <c r="B2492" i="5"/>
  <c r="B2493" i="5"/>
  <c r="B2494" i="5"/>
  <c r="B2495" i="5"/>
  <c r="B2496" i="5"/>
  <c r="B2497" i="5"/>
  <c r="B2498" i="5"/>
  <c r="B2499" i="5"/>
  <c r="B2500" i="5"/>
  <c r="B2501" i="5"/>
  <c r="B2502" i="5"/>
  <c r="B2503" i="5"/>
  <c r="B2504" i="5"/>
  <c r="B2505" i="5"/>
  <c r="B2506" i="5"/>
  <c r="B2507" i="5"/>
  <c r="B2508" i="5"/>
  <c r="B2509" i="5"/>
  <c r="B2510" i="5"/>
  <c r="B2511" i="5"/>
  <c r="B2512" i="5"/>
  <c r="B2513" i="5"/>
  <c r="B2514" i="5"/>
  <c r="B2515" i="5"/>
  <c r="B2516" i="5"/>
  <c r="B2517" i="5"/>
  <c r="B2518" i="5"/>
  <c r="B2519" i="5"/>
  <c r="B2520" i="5"/>
  <c r="B2521" i="5"/>
  <c r="B2522" i="5"/>
  <c r="B2523" i="5"/>
  <c r="B2524" i="5"/>
  <c r="B2525" i="5"/>
  <c r="B2526" i="5"/>
  <c r="B2527" i="5"/>
  <c r="B2528" i="5"/>
  <c r="B2529" i="5"/>
  <c r="B2530" i="5"/>
  <c r="B2531" i="5"/>
  <c r="B2532" i="5"/>
  <c r="B2533" i="5"/>
  <c r="B2534" i="5"/>
  <c r="B2535" i="5"/>
  <c r="B2536" i="5"/>
  <c r="B2537" i="5"/>
  <c r="B2538" i="5"/>
  <c r="B2539" i="5"/>
  <c r="B2540" i="5"/>
  <c r="B2541" i="5"/>
  <c r="B2542" i="5"/>
  <c r="B2543" i="5"/>
  <c r="B2544" i="5"/>
  <c r="B2545" i="5"/>
  <c r="B2546" i="5"/>
  <c r="B2547" i="5"/>
  <c r="B2548" i="5"/>
  <c r="B2549" i="5"/>
  <c r="B2550" i="5"/>
  <c r="B2551" i="5"/>
  <c r="B2552" i="5"/>
  <c r="B2553" i="5"/>
  <c r="B2554" i="5"/>
  <c r="B2555" i="5"/>
  <c r="B2556" i="5"/>
  <c r="B2557" i="5"/>
  <c r="B2558" i="5"/>
  <c r="B2559" i="5"/>
  <c r="B2560" i="5"/>
  <c r="B2561" i="5"/>
  <c r="B2562" i="5"/>
  <c r="B2563" i="5"/>
  <c r="B2564" i="5"/>
  <c r="B2565" i="5"/>
  <c r="B2566" i="5"/>
  <c r="B2567" i="5"/>
  <c r="B2568" i="5"/>
  <c r="B2569" i="5"/>
  <c r="B2570" i="5"/>
  <c r="B2571" i="5"/>
  <c r="B2572" i="5"/>
  <c r="B2573" i="5"/>
  <c r="B2574" i="5"/>
  <c r="B2575" i="5"/>
  <c r="B2576" i="5"/>
  <c r="B2577" i="5"/>
  <c r="B2578" i="5"/>
  <c r="B2579" i="5"/>
  <c r="B2580" i="5"/>
  <c r="B2581" i="5"/>
  <c r="B2582" i="5"/>
  <c r="B2583" i="5"/>
  <c r="B2584" i="5"/>
  <c r="B2585" i="5"/>
  <c r="B2586" i="5"/>
  <c r="B2587" i="5"/>
  <c r="B2588" i="5"/>
  <c r="B2589" i="5"/>
  <c r="B2590" i="5"/>
  <c r="B2591" i="5"/>
  <c r="B2592" i="5"/>
  <c r="B2593" i="5"/>
  <c r="B2594" i="5"/>
  <c r="B2595" i="5"/>
  <c r="B2596" i="5"/>
  <c r="B2597" i="5"/>
  <c r="B2598" i="5"/>
  <c r="B2599" i="5"/>
  <c r="B2600" i="5"/>
  <c r="B2601" i="5"/>
  <c r="B2602" i="5"/>
  <c r="B2603" i="5"/>
  <c r="B2604" i="5"/>
  <c r="B2605" i="5"/>
  <c r="B2606" i="5"/>
  <c r="B2607" i="5"/>
  <c r="B2608" i="5"/>
  <c r="B2609" i="5"/>
  <c r="B2610" i="5"/>
  <c r="B2611" i="5"/>
  <c r="B2612" i="5"/>
  <c r="B2613" i="5"/>
  <c r="B2614" i="5"/>
  <c r="B2615" i="5"/>
  <c r="B2616" i="5"/>
  <c r="B2617" i="5"/>
  <c r="B2618" i="5"/>
  <c r="B2619" i="5"/>
  <c r="B2620" i="5"/>
  <c r="B2621" i="5"/>
  <c r="B2622" i="5"/>
  <c r="B2623" i="5"/>
  <c r="B2624" i="5"/>
  <c r="B2625" i="5"/>
  <c r="B2626" i="5"/>
  <c r="B2627" i="5"/>
  <c r="B2628" i="5"/>
  <c r="B2629" i="5"/>
  <c r="B2630" i="5"/>
  <c r="B2631" i="5"/>
  <c r="B2632" i="5"/>
  <c r="B2633" i="5"/>
  <c r="B2634" i="5"/>
  <c r="B2635" i="5"/>
  <c r="B2636" i="5"/>
  <c r="B2637" i="5"/>
  <c r="B2638" i="5"/>
  <c r="B2639" i="5"/>
  <c r="B2640" i="5"/>
  <c r="B2641" i="5"/>
  <c r="B2642" i="5"/>
  <c r="B2643" i="5"/>
  <c r="B2644" i="5"/>
  <c r="B2645" i="5"/>
  <c r="B2646" i="5"/>
  <c r="B2647" i="5"/>
  <c r="B2648" i="5"/>
  <c r="B2649" i="5"/>
  <c r="B2650" i="5"/>
  <c r="B2651" i="5"/>
  <c r="B2652" i="5"/>
  <c r="B2653" i="5"/>
  <c r="B2654" i="5"/>
  <c r="B2655" i="5"/>
  <c r="B2656" i="5"/>
  <c r="B2657" i="5"/>
  <c r="B2658" i="5"/>
  <c r="B2659" i="5"/>
  <c r="B2660" i="5"/>
  <c r="B2661" i="5"/>
  <c r="B2662" i="5"/>
  <c r="B2663" i="5"/>
  <c r="B2664" i="5"/>
  <c r="B2665" i="5"/>
  <c r="B2666" i="5"/>
  <c r="B2667" i="5"/>
  <c r="B2668" i="5"/>
  <c r="B2669" i="5"/>
  <c r="B2670" i="5"/>
  <c r="B2671" i="5"/>
  <c r="B2672" i="5"/>
  <c r="B2673" i="5"/>
  <c r="B2674" i="5"/>
  <c r="B2675" i="5"/>
  <c r="B2676" i="5"/>
  <c r="B2677" i="5"/>
  <c r="B2678" i="5"/>
  <c r="B2679" i="5"/>
  <c r="B2680" i="5"/>
  <c r="B2681" i="5"/>
  <c r="B2682" i="5"/>
  <c r="B2683" i="5"/>
  <c r="B2684" i="5"/>
  <c r="B2685" i="5"/>
  <c r="B2686" i="5"/>
  <c r="B2687" i="5"/>
  <c r="B2688" i="5"/>
  <c r="B2689" i="5"/>
  <c r="B2690" i="5"/>
  <c r="B2691" i="5"/>
  <c r="B2692" i="5"/>
  <c r="B2693" i="5"/>
  <c r="B2694" i="5"/>
  <c r="B2695" i="5"/>
  <c r="B2696" i="5"/>
  <c r="B2697" i="5"/>
  <c r="B2698" i="5"/>
  <c r="B2699" i="5"/>
  <c r="B2700" i="5"/>
  <c r="B2701" i="5"/>
  <c r="B2702" i="5"/>
  <c r="B2703" i="5"/>
  <c r="B2704" i="5"/>
  <c r="B2705" i="5"/>
  <c r="B2706" i="5"/>
  <c r="B2707" i="5"/>
  <c r="B2708" i="5"/>
  <c r="B2709" i="5"/>
  <c r="B2710" i="5"/>
  <c r="B2711" i="5"/>
  <c r="B2712" i="5"/>
  <c r="B2713" i="5"/>
  <c r="B2714" i="5"/>
  <c r="B2715" i="5"/>
  <c r="B2716" i="5"/>
  <c r="B2717" i="5"/>
  <c r="B2718" i="5"/>
  <c r="B2719" i="5"/>
  <c r="B2720" i="5"/>
  <c r="B2721" i="5"/>
  <c r="B2722" i="5"/>
  <c r="B2723" i="5"/>
  <c r="B2724" i="5"/>
  <c r="B2725" i="5"/>
  <c r="B2726" i="5"/>
  <c r="B2727" i="5"/>
  <c r="B2728" i="5"/>
  <c r="B2729" i="5"/>
  <c r="B2730" i="5"/>
  <c r="B2731" i="5"/>
  <c r="B2732" i="5"/>
  <c r="B2733" i="5"/>
  <c r="B2734" i="5"/>
  <c r="B2735" i="5"/>
  <c r="B2736" i="5"/>
  <c r="B2737" i="5"/>
  <c r="B2738" i="5"/>
  <c r="B2739" i="5"/>
  <c r="B2740" i="5"/>
  <c r="B2741" i="5"/>
  <c r="B2742" i="5"/>
  <c r="B2743" i="5"/>
  <c r="B2744" i="5"/>
  <c r="B2745" i="5"/>
  <c r="B2746" i="5"/>
  <c r="B2747" i="5"/>
  <c r="B2748" i="5"/>
  <c r="B2749" i="5"/>
  <c r="B2750" i="5"/>
  <c r="B2751" i="5"/>
  <c r="B2752" i="5"/>
  <c r="B2753" i="5"/>
  <c r="B2754" i="5"/>
  <c r="B2755" i="5"/>
  <c r="B2756" i="5"/>
  <c r="B2757" i="5"/>
  <c r="B2758" i="5"/>
  <c r="B2759" i="5"/>
  <c r="B2760" i="5"/>
  <c r="B2761" i="5"/>
  <c r="B2762" i="5"/>
  <c r="B2763" i="5"/>
  <c r="B2764" i="5"/>
  <c r="B2765" i="5"/>
  <c r="B2766" i="5"/>
  <c r="B2767" i="5"/>
  <c r="B2768" i="5"/>
  <c r="B2769" i="5"/>
  <c r="B2770" i="5"/>
  <c r="B2771" i="5"/>
  <c r="B2772" i="5"/>
  <c r="B2773" i="5"/>
  <c r="B2774" i="5"/>
  <c r="B2775" i="5"/>
  <c r="B2776" i="5"/>
  <c r="B2777" i="5"/>
  <c r="B2778" i="5"/>
  <c r="B2779" i="5"/>
  <c r="B2780" i="5"/>
  <c r="B2781" i="5"/>
  <c r="B2782" i="5"/>
  <c r="B2783" i="5"/>
  <c r="B2784" i="5"/>
  <c r="B2785" i="5"/>
  <c r="B2786" i="5"/>
  <c r="B2787" i="5"/>
  <c r="B2788" i="5"/>
  <c r="B2789" i="5"/>
  <c r="B2790" i="5"/>
  <c r="B2791" i="5"/>
  <c r="B2792" i="5"/>
  <c r="B2793" i="5"/>
  <c r="B2794" i="5"/>
  <c r="B2795" i="5"/>
  <c r="B2796" i="5"/>
  <c r="B2797" i="5"/>
  <c r="B2798" i="5"/>
  <c r="B2799" i="5"/>
  <c r="B2800" i="5"/>
  <c r="B2801" i="5"/>
  <c r="B2802" i="5"/>
  <c r="B2803" i="5"/>
  <c r="B2804" i="5"/>
  <c r="B2805" i="5"/>
  <c r="B2806" i="5"/>
  <c r="B2807" i="5"/>
  <c r="B2808" i="5"/>
  <c r="B2809" i="5"/>
  <c r="B2810" i="5"/>
  <c r="B2811" i="5"/>
  <c r="B2812" i="5"/>
  <c r="B2813" i="5"/>
  <c r="B2814" i="5"/>
  <c r="B2815" i="5"/>
  <c r="B2816" i="5"/>
  <c r="B2817" i="5"/>
  <c r="B2818" i="5"/>
  <c r="B2819" i="5"/>
  <c r="B2820" i="5"/>
  <c r="B2821" i="5"/>
  <c r="B2822" i="5"/>
  <c r="B2823" i="5"/>
  <c r="B2824" i="5"/>
  <c r="B2825" i="5"/>
  <c r="B2826" i="5"/>
  <c r="B2827" i="5"/>
  <c r="B2828" i="5"/>
  <c r="B2829" i="5"/>
  <c r="B2830" i="5"/>
  <c r="B2831" i="5"/>
  <c r="B2832" i="5"/>
  <c r="B2833" i="5"/>
  <c r="B2834" i="5"/>
  <c r="B2835" i="5"/>
  <c r="B2836" i="5"/>
  <c r="B2837" i="5"/>
  <c r="B2838" i="5"/>
  <c r="B2839" i="5"/>
  <c r="B2840" i="5"/>
  <c r="B2841" i="5"/>
  <c r="B2842" i="5"/>
  <c r="B2843" i="5"/>
  <c r="B2844" i="5"/>
  <c r="B2845" i="5"/>
  <c r="B2846" i="5"/>
  <c r="B2847" i="5"/>
  <c r="B2848" i="5"/>
  <c r="B2849" i="5"/>
  <c r="B2850" i="5"/>
  <c r="B2851" i="5"/>
  <c r="B2852" i="5"/>
  <c r="B2853" i="5"/>
  <c r="B2854" i="5"/>
  <c r="B2855" i="5"/>
  <c r="B2856" i="5"/>
  <c r="B2857" i="5"/>
  <c r="B2858" i="5"/>
  <c r="B2859" i="5"/>
  <c r="B2860" i="5"/>
  <c r="B2861" i="5"/>
  <c r="B2862" i="5"/>
  <c r="B2863" i="5"/>
  <c r="B2864" i="5"/>
  <c r="B2865" i="5"/>
  <c r="B2866" i="5"/>
  <c r="B2867" i="5"/>
  <c r="B2868" i="5"/>
  <c r="B2869" i="5"/>
  <c r="B2870" i="5"/>
  <c r="B2871" i="5"/>
  <c r="B2872" i="5"/>
  <c r="B2873" i="5"/>
  <c r="B2874" i="5"/>
  <c r="B2875" i="5"/>
  <c r="B2876" i="5"/>
  <c r="B2877" i="5"/>
  <c r="B2878" i="5"/>
  <c r="B2879" i="5"/>
  <c r="B2880" i="5"/>
  <c r="B2881" i="5"/>
  <c r="B2882" i="5"/>
  <c r="B2883" i="5"/>
  <c r="B2884" i="5"/>
  <c r="B2885" i="5"/>
  <c r="B2886" i="5"/>
  <c r="B2887" i="5"/>
  <c r="B2888" i="5"/>
  <c r="B2889" i="5"/>
  <c r="B2890" i="5"/>
  <c r="B2891" i="5"/>
  <c r="B2892" i="5"/>
  <c r="B2893" i="5"/>
  <c r="B2894" i="5"/>
  <c r="B2895" i="5"/>
  <c r="B2896" i="5"/>
  <c r="B2897" i="5"/>
  <c r="B2898" i="5"/>
  <c r="B2899" i="5"/>
  <c r="B2900" i="5"/>
  <c r="B2901" i="5"/>
  <c r="B2902" i="5"/>
  <c r="B2903" i="5"/>
  <c r="B2904" i="5"/>
  <c r="B2905" i="5"/>
  <c r="B2906" i="5"/>
  <c r="B2907" i="5"/>
  <c r="B2908" i="5"/>
  <c r="B2909" i="5"/>
  <c r="B2910" i="5"/>
  <c r="B2911" i="5"/>
  <c r="B2912" i="5"/>
  <c r="B2913" i="5"/>
  <c r="B2914" i="5"/>
  <c r="B2915" i="5"/>
  <c r="B2916" i="5"/>
  <c r="B2917" i="5"/>
  <c r="B2918" i="5"/>
  <c r="B2919" i="5"/>
  <c r="B2920" i="5"/>
  <c r="B2921" i="5"/>
  <c r="B2922" i="5"/>
  <c r="B2923" i="5"/>
  <c r="B2924" i="5"/>
  <c r="B2925" i="5"/>
  <c r="B2926" i="5"/>
  <c r="B2927" i="5"/>
  <c r="B2928" i="5"/>
  <c r="B2929" i="5"/>
  <c r="B2930" i="5"/>
  <c r="B2931" i="5"/>
  <c r="B2932" i="5"/>
  <c r="B2933" i="5"/>
  <c r="B2934" i="5"/>
  <c r="B2935" i="5"/>
  <c r="B2936" i="5"/>
  <c r="B2937" i="5"/>
  <c r="B2938" i="5"/>
  <c r="B2939" i="5"/>
  <c r="B2940" i="5"/>
  <c r="B2941" i="5"/>
  <c r="B2942" i="5"/>
  <c r="B2943" i="5"/>
  <c r="B2944" i="5"/>
  <c r="B2945" i="5"/>
  <c r="B2946" i="5"/>
  <c r="B2947" i="5"/>
  <c r="B2948" i="5"/>
  <c r="B2949" i="5"/>
  <c r="B2950" i="5"/>
  <c r="B2951" i="5"/>
  <c r="B2952" i="5"/>
  <c r="B2953" i="5"/>
  <c r="B2954" i="5"/>
  <c r="B2955" i="5"/>
  <c r="B2956" i="5"/>
  <c r="B2957" i="5"/>
  <c r="B2958" i="5"/>
  <c r="B2959" i="5"/>
  <c r="B2960" i="5"/>
  <c r="B2961" i="5"/>
  <c r="B2962" i="5"/>
  <c r="B2963" i="5"/>
  <c r="B2964" i="5"/>
  <c r="B2965" i="5"/>
  <c r="B2966" i="5"/>
  <c r="B2967" i="5"/>
  <c r="B2968" i="5"/>
  <c r="B2969" i="5"/>
  <c r="B2970" i="5"/>
  <c r="B2971" i="5"/>
  <c r="B2972" i="5"/>
  <c r="B2973" i="5"/>
  <c r="B2974" i="5"/>
  <c r="B2975" i="5"/>
  <c r="B2976" i="5"/>
  <c r="B2977" i="5"/>
  <c r="B2978" i="5"/>
  <c r="B2979" i="5"/>
  <c r="B2980" i="5"/>
  <c r="B2981" i="5"/>
  <c r="B2982" i="5"/>
  <c r="B2983" i="5"/>
  <c r="B2984" i="5"/>
  <c r="B2985" i="5"/>
  <c r="B2986" i="5"/>
  <c r="B2987" i="5"/>
  <c r="B2988" i="5"/>
  <c r="B2989" i="5"/>
  <c r="B2990" i="5"/>
  <c r="B2991" i="5"/>
  <c r="B2992" i="5"/>
  <c r="B2993" i="5"/>
  <c r="B2994" i="5"/>
  <c r="B2995" i="5"/>
  <c r="B2996" i="5"/>
  <c r="B2997" i="5"/>
  <c r="B2998" i="5"/>
  <c r="B2999" i="5"/>
  <c r="B3000" i="5"/>
  <c r="B3001" i="5"/>
  <c r="B3002" i="5"/>
  <c r="B3003" i="5"/>
  <c r="B3004" i="5"/>
  <c r="B3005" i="5"/>
  <c r="B3006" i="5"/>
  <c r="B3007" i="5"/>
  <c r="B3008" i="5"/>
  <c r="B3009" i="5"/>
  <c r="B3010" i="5"/>
  <c r="B3011" i="5"/>
  <c r="B3012" i="5"/>
  <c r="B3013" i="5"/>
  <c r="B3014" i="5"/>
  <c r="B3015" i="5"/>
  <c r="B3016" i="5"/>
  <c r="B3017" i="5"/>
  <c r="B3018" i="5"/>
  <c r="B3019" i="5"/>
  <c r="B3020" i="5"/>
  <c r="B3021" i="5"/>
  <c r="B3022" i="5"/>
  <c r="B3023" i="5"/>
  <c r="B3024" i="5"/>
  <c r="B3025" i="5"/>
  <c r="B3026" i="5"/>
  <c r="B3027" i="5"/>
  <c r="B3028" i="5"/>
  <c r="B3029" i="5"/>
  <c r="B3030" i="5"/>
  <c r="B3031" i="5"/>
  <c r="B3032" i="5"/>
  <c r="B3033" i="5"/>
  <c r="B3034" i="5"/>
  <c r="B3035" i="5"/>
  <c r="B3036" i="5"/>
  <c r="B3037" i="5"/>
  <c r="B3038" i="5"/>
  <c r="B3039" i="5"/>
  <c r="B3040" i="5"/>
  <c r="B3041" i="5"/>
  <c r="B3042" i="5"/>
  <c r="B3043" i="5"/>
  <c r="B3044" i="5"/>
  <c r="B3045" i="5"/>
  <c r="B3046" i="5"/>
  <c r="B3047" i="5"/>
  <c r="B3048" i="5"/>
  <c r="B3049" i="5"/>
  <c r="B3050" i="5"/>
  <c r="B3051" i="5"/>
  <c r="B3052" i="5"/>
  <c r="B3053" i="5"/>
  <c r="B3054" i="5"/>
  <c r="B3055" i="5"/>
  <c r="B3056" i="5"/>
  <c r="B3057" i="5"/>
  <c r="B3058" i="5"/>
  <c r="B3059" i="5"/>
  <c r="B3060" i="5"/>
  <c r="B3061" i="5"/>
  <c r="B3062" i="5"/>
  <c r="B3063" i="5"/>
  <c r="B3064" i="5"/>
  <c r="B3065" i="5"/>
  <c r="B3066" i="5"/>
  <c r="B3067" i="5"/>
  <c r="B3068" i="5"/>
  <c r="B3069" i="5"/>
  <c r="B3070" i="5"/>
  <c r="B3071" i="5"/>
  <c r="B3072" i="5"/>
  <c r="B3073" i="5"/>
  <c r="B3074" i="5"/>
  <c r="B3075" i="5"/>
  <c r="B3076" i="5"/>
  <c r="B3077" i="5"/>
  <c r="B3078" i="5"/>
  <c r="B3079" i="5"/>
  <c r="B3080" i="5"/>
  <c r="B3081" i="5"/>
  <c r="B3082" i="5"/>
  <c r="B3083" i="5"/>
  <c r="B3084" i="5"/>
  <c r="B3085" i="5"/>
  <c r="B3086" i="5"/>
  <c r="B3087" i="5"/>
  <c r="B3088" i="5"/>
  <c r="B3089" i="5"/>
  <c r="B3090" i="5"/>
  <c r="B3091" i="5"/>
  <c r="B3092" i="5"/>
  <c r="B3093" i="5"/>
  <c r="B3094" i="5"/>
  <c r="B3095" i="5"/>
  <c r="B3096" i="5"/>
  <c r="B3097" i="5"/>
  <c r="B3098" i="5"/>
  <c r="B3099" i="5"/>
  <c r="B3100" i="5"/>
  <c r="B3101" i="5"/>
  <c r="B3102" i="5"/>
  <c r="B3103" i="5"/>
  <c r="B3104" i="5"/>
  <c r="B3105" i="5"/>
  <c r="B3106" i="5"/>
  <c r="B3107" i="5"/>
  <c r="B3108" i="5"/>
  <c r="B3109" i="5"/>
  <c r="B3110" i="5"/>
  <c r="B3111" i="5"/>
  <c r="B3112" i="5"/>
  <c r="B3113" i="5"/>
  <c r="B3114" i="5"/>
  <c r="B3115" i="5"/>
  <c r="B3116" i="5"/>
  <c r="B3117" i="5"/>
  <c r="B3118" i="5"/>
  <c r="B3119" i="5"/>
  <c r="B3120" i="5"/>
  <c r="B3121" i="5"/>
  <c r="B3122" i="5"/>
  <c r="B3123" i="5"/>
  <c r="B3124" i="5"/>
  <c r="B3125" i="5"/>
  <c r="B3126" i="5"/>
  <c r="B3127" i="5"/>
  <c r="B3128" i="5"/>
  <c r="B3129" i="5"/>
  <c r="B3130" i="5"/>
  <c r="B3131" i="5"/>
  <c r="B3132" i="5"/>
  <c r="B3133" i="5"/>
  <c r="B3134" i="5"/>
  <c r="B3135" i="5"/>
  <c r="B3136" i="5"/>
  <c r="B3137" i="5"/>
  <c r="B3138" i="5"/>
  <c r="B3139" i="5"/>
  <c r="B3140" i="5"/>
  <c r="B3141" i="5"/>
  <c r="B3142" i="5"/>
  <c r="B3143" i="5"/>
  <c r="B3144" i="5"/>
  <c r="B3145" i="5"/>
  <c r="B3146" i="5"/>
  <c r="B3147" i="5"/>
  <c r="B3148" i="5"/>
  <c r="B3149" i="5"/>
  <c r="B3150" i="5"/>
  <c r="B3151" i="5"/>
  <c r="B3152" i="5"/>
  <c r="B3153" i="5"/>
  <c r="B3154" i="5"/>
  <c r="B3155" i="5"/>
  <c r="B3156" i="5"/>
  <c r="B3157" i="5"/>
  <c r="B3158" i="5"/>
  <c r="B3159" i="5"/>
  <c r="B3160" i="5"/>
  <c r="B3161" i="5"/>
  <c r="B3162" i="5"/>
  <c r="B3163" i="5"/>
  <c r="B3164" i="5"/>
  <c r="B3165" i="5"/>
  <c r="B3166" i="5"/>
  <c r="B3167" i="5"/>
  <c r="B3168" i="5"/>
  <c r="B3169" i="5"/>
  <c r="B3170" i="5"/>
  <c r="B3171" i="5"/>
  <c r="B3172" i="5"/>
  <c r="B3173" i="5"/>
  <c r="B3174" i="5"/>
  <c r="B3175" i="5"/>
  <c r="B3176" i="5"/>
  <c r="B3177" i="5"/>
  <c r="B3178" i="5"/>
  <c r="B3179" i="5"/>
  <c r="B3180" i="5"/>
  <c r="B3181" i="5"/>
  <c r="B3182" i="5"/>
  <c r="B3183" i="5"/>
  <c r="B3184" i="5"/>
  <c r="B3185" i="5"/>
  <c r="B3186" i="5"/>
  <c r="B3187" i="5"/>
  <c r="B3188" i="5"/>
  <c r="B3189" i="5"/>
  <c r="B3190" i="5"/>
  <c r="B3191" i="5"/>
  <c r="B3192" i="5"/>
  <c r="B3193" i="5"/>
  <c r="B3194" i="5"/>
  <c r="B3195" i="5"/>
  <c r="B3196" i="5"/>
  <c r="B3197" i="5"/>
  <c r="B3198" i="5"/>
  <c r="B3199" i="5"/>
  <c r="B3200" i="5"/>
  <c r="B3201" i="5"/>
  <c r="B3202" i="5"/>
  <c r="B3203" i="5"/>
  <c r="B3204" i="5"/>
  <c r="B3205" i="5"/>
  <c r="B3206" i="5"/>
  <c r="B3207" i="5"/>
  <c r="B3208" i="5"/>
  <c r="B3209" i="5"/>
  <c r="B3210" i="5"/>
  <c r="B3211" i="5"/>
  <c r="B3212" i="5"/>
  <c r="B3213" i="5"/>
  <c r="B3214" i="5"/>
  <c r="B3215" i="5"/>
  <c r="B3216" i="5"/>
  <c r="B3217" i="5"/>
  <c r="B3218" i="5"/>
  <c r="B3219" i="5"/>
  <c r="B3220" i="5"/>
  <c r="B3221" i="5"/>
  <c r="B3222" i="5"/>
  <c r="B3223" i="5"/>
  <c r="B3224" i="5"/>
  <c r="B3225" i="5"/>
  <c r="B3226" i="5"/>
  <c r="B3227" i="5"/>
  <c r="B3228" i="5"/>
  <c r="B3229" i="5"/>
  <c r="B3230" i="5"/>
  <c r="B3231" i="5"/>
  <c r="B3232" i="5"/>
  <c r="B3233" i="5"/>
  <c r="B3234" i="5"/>
  <c r="B3235" i="5"/>
  <c r="B3236" i="5"/>
  <c r="B3237" i="5"/>
  <c r="B3238" i="5"/>
  <c r="B3239" i="5"/>
  <c r="B3240" i="5"/>
  <c r="B3241" i="5"/>
  <c r="B3242" i="5"/>
  <c r="B3243" i="5"/>
  <c r="B3244" i="5"/>
  <c r="B3245" i="5"/>
  <c r="B3246" i="5"/>
  <c r="B3247" i="5"/>
  <c r="B3248" i="5"/>
  <c r="B3249" i="5"/>
  <c r="B3250" i="5"/>
  <c r="B3251" i="5"/>
  <c r="B3252" i="5"/>
  <c r="B3253" i="5"/>
  <c r="B3254" i="5"/>
  <c r="B3255" i="5"/>
  <c r="B3256" i="5"/>
  <c r="B3257" i="5"/>
  <c r="B3258" i="5"/>
  <c r="B3259" i="5"/>
  <c r="B3260" i="5"/>
  <c r="B3261" i="5"/>
  <c r="B3262" i="5"/>
  <c r="B3263" i="5"/>
  <c r="B3264" i="5"/>
  <c r="B3265" i="5"/>
  <c r="B3266" i="5"/>
  <c r="B3267" i="5"/>
  <c r="B3268" i="5"/>
  <c r="B3269" i="5"/>
  <c r="B3270" i="5"/>
  <c r="B3271" i="5"/>
  <c r="B3272" i="5"/>
  <c r="B3273" i="5"/>
  <c r="B3274" i="5"/>
  <c r="B3275" i="5"/>
  <c r="B3276" i="5"/>
  <c r="B3277" i="5"/>
  <c r="B3278" i="5"/>
  <c r="B3279" i="5"/>
  <c r="B3280" i="5"/>
  <c r="B3281" i="5"/>
  <c r="B3282" i="5"/>
  <c r="B3283" i="5"/>
  <c r="B3284" i="5"/>
  <c r="B3285" i="5"/>
  <c r="B3286" i="5"/>
  <c r="B3287" i="5"/>
  <c r="B3288" i="5"/>
  <c r="B3289" i="5"/>
  <c r="B3290" i="5"/>
  <c r="B3291" i="5"/>
  <c r="B3292" i="5"/>
  <c r="B3293" i="5"/>
  <c r="B3294" i="5"/>
  <c r="B3295" i="5"/>
  <c r="B3296" i="5"/>
  <c r="B3297" i="5"/>
  <c r="B3298" i="5"/>
  <c r="B3299" i="5"/>
  <c r="B3300" i="5"/>
  <c r="B3301" i="5"/>
  <c r="B3302" i="5"/>
  <c r="B3303" i="5"/>
  <c r="B3304" i="5"/>
  <c r="B3305" i="5"/>
  <c r="B3306" i="5"/>
  <c r="B3307" i="5"/>
  <c r="B3308" i="5"/>
  <c r="B3309" i="5"/>
  <c r="B3310" i="5"/>
  <c r="B3311" i="5"/>
  <c r="B3312" i="5"/>
  <c r="B3313" i="5"/>
  <c r="B3314" i="5"/>
  <c r="B3315" i="5"/>
  <c r="B3316" i="5"/>
  <c r="B3317" i="5"/>
  <c r="B3318" i="5"/>
  <c r="B3319" i="5"/>
  <c r="B3320" i="5"/>
  <c r="B3321" i="5"/>
  <c r="B3322" i="5"/>
  <c r="B3323" i="5"/>
  <c r="B3324" i="5"/>
  <c r="B3325" i="5"/>
  <c r="B3326" i="5"/>
  <c r="B3327" i="5"/>
  <c r="B3328" i="5"/>
  <c r="B3329" i="5"/>
  <c r="B3330" i="5"/>
  <c r="B3331" i="5"/>
  <c r="B3332" i="5"/>
  <c r="B3333" i="5"/>
  <c r="B3334" i="5"/>
  <c r="B3335" i="5"/>
  <c r="B3336" i="5"/>
  <c r="B3337" i="5"/>
  <c r="B3338" i="5"/>
  <c r="B3339" i="5"/>
  <c r="B3340" i="5"/>
  <c r="B3341" i="5"/>
  <c r="B3342" i="5"/>
  <c r="B3343" i="5"/>
  <c r="B3344" i="5"/>
  <c r="B3345" i="5"/>
  <c r="B3346" i="5"/>
  <c r="B3347" i="5"/>
  <c r="B3348" i="5"/>
  <c r="B3349" i="5"/>
  <c r="B3350" i="5"/>
  <c r="B3351" i="5"/>
  <c r="B3352" i="5"/>
  <c r="B3353" i="5"/>
  <c r="B3354" i="5"/>
  <c r="B3355" i="5"/>
  <c r="B3356" i="5"/>
  <c r="B3357" i="5"/>
  <c r="B3358" i="5"/>
  <c r="B3359" i="5"/>
  <c r="B3360" i="5"/>
  <c r="B3361" i="5"/>
  <c r="B3362" i="5"/>
  <c r="B3363" i="5"/>
  <c r="B3364" i="5"/>
  <c r="B3365" i="5"/>
  <c r="B3366" i="5"/>
  <c r="B3367" i="5"/>
  <c r="B3368" i="5"/>
  <c r="B3369" i="5"/>
  <c r="B3370" i="5"/>
  <c r="B3371" i="5"/>
  <c r="B3372" i="5"/>
  <c r="B3373" i="5"/>
  <c r="B3374" i="5"/>
  <c r="B3375" i="5"/>
  <c r="B3376" i="5"/>
  <c r="B3377" i="5"/>
  <c r="B3378" i="5"/>
  <c r="B3379" i="5"/>
  <c r="B3380" i="5"/>
  <c r="B3381" i="5"/>
  <c r="B3382" i="5"/>
  <c r="B3383" i="5"/>
  <c r="B3384" i="5"/>
  <c r="B3385" i="5"/>
  <c r="B3386" i="5"/>
  <c r="B3387" i="5"/>
  <c r="B3388" i="5"/>
  <c r="B3389" i="5"/>
  <c r="B3390" i="5"/>
  <c r="B3391" i="5"/>
  <c r="B3392" i="5"/>
  <c r="B3393" i="5"/>
  <c r="B3394" i="5"/>
  <c r="B3395" i="5"/>
  <c r="B3396" i="5"/>
  <c r="B3397" i="5"/>
  <c r="B3398" i="5"/>
  <c r="B3399" i="5"/>
  <c r="B3400" i="5"/>
  <c r="B3401" i="5"/>
  <c r="B3402" i="5"/>
  <c r="B3403" i="5"/>
  <c r="B3404" i="5"/>
  <c r="B3405" i="5"/>
  <c r="B3406" i="5"/>
  <c r="B3407" i="5"/>
  <c r="B3408" i="5"/>
  <c r="B3409" i="5"/>
  <c r="B3410" i="5"/>
  <c r="B3411" i="5"/>
  <c r="B3412" i="5"/>
  <c r="B3413" i="5"/>
  <c r="B3414" i="5"/>
  <c r="B3415" i="5"/>
  <c r="B3416" i="5"/>
  <c r="B3417" i="5"/>
  <c r="B3418" i="5"/>
  <c r="B3419" i="5"/>
  <c r="B3420" i="5"/>
  <c r="B3421" i="5"/>
  <c r="B3422" i="5"/>
  <c r="B3423" i="5"/>
  <c r="B3424" i="5"/>
  <c r="B3425" i="5"/>
  <c r="B3426" i="5"/>
  <c r="B3427" i="5"/>
  <c r="B3428" i="5"/>
  <c r="B3429" i="5"/>
  <c r="B3430" i="5"/>
  <c r="B3431" i="5"/>
  <c r="B3432" i="5"/>
  <c r="B3433" i="5"/>
  <c r="B3434" i="5"/>
  <c r="B3435" i="5"/>
  <c r="B3436" i="5"/>
  <c r="B3437" i="5"/>
  <c r="B3438" i="5"/>
  <c r="B3439" i="5"/>
  <c r="B3440" i="5"/>
  <c r="B3441" i="5"/>
  <c r="B3442" i="5"/>
  <c r="B3443" i="5"/>
  <c r="B3444" i="5"/>
  <c r="B3445" i="5"/>
  <c r="B3446" i="5"/>
  <c r="B3447" i="5"/>
  <c r="B3448" i="5"/>
  <c r="B3449" i="5"/>
  <c r="B3450" i="5"/>
  <c r="B3451" i="5"/>
  <c r="B3452" i="5"/>
  <c r="B3453" i="5"/>
  <c r="B3454" i="5"/>
  <c r="B3455" i="5"/>
  <c r="B3456" i="5"/>
  <c r="B3457" i="5"/>
  <c r="B3458" i="5"/>
  <c r="B3459" i="5"/>
  <c r="B3460" i="5"/>
  <c r="B3461" i="5"/>
  <c r="B3462" i="5"/>
  <c r="B3463" i="5"/>
  <c r="B3464" i="5"/>
  <c r="B3465" i="5"/>
  <c r="B3466" i="5"/>
  <c r="B3467" i="5"/>
  <c r="B3468" i="5"/>
  <c r="B3469" i="5"/>
  <c r="B3470" i="5"/>
  <c r="B3471" i="5"/>
  <c r="B3472" i="5"/>
  <c r="B3473" i="5"/>
  <c r="B3474" i="5"/>
  <c r="B3475" i="5"/>
  <c r="B3476" i="5"/>
  <c r="B3477" i="5"/>
  <c r="B3478" i="5"/>
  <c r="B3479" i="5"/>
  <c r="B3480" i="5"/>
  <c r="B3481" i="5"/>
  <c r="B3482" i="5"/>
  <c r="B3483" i="5"/>
  <c r="B3484" i="5"/>
  <c r="B3485" i="5"/>
  <c r="B3486" i="5"/>
  <c r="B3487" i="5"/>
  <c r="B3488" i="5"/>
  <c r="B3489" i="5"/>
  <c r="B3490" i="5"/>
  <c r="B3491" i="5"/>
  <c r="B3492" i="5"/>
  <c r="B3493" i="5"/>
  <c r="B3494" i="5"/>
  <c r="B3495" i="5"/>
  <c r="B3496" i="5"/>
  <c r="B3497" i="5"/>
  <c r="B3498" i="5"/>
  <c r="B3499" i="5"/>
  <c r="B3500" i="5"/>
  <c r="B3501" i="5"/>
  <c r="B3502" i="5"/>
  <c r="B3503" i="5"/>
  <c r="B3504" i="5"/>
  <c r="B3505" i="5"/>
  <c r="B3506" i="5"/>
  <c r="B3507" i="5"/>
  <c r="B3508" i="5"/>
  <c r="B3509" i="5"/>
  <c r="B3510" i="5"/>
  <c r="B3511" i="5"/>
  <c r="B3512" i="5"/>
  <c r="B3513" i="5"/>
  <c r="B3514" i="5"/>
  <c r="B3515" i="5"/>
  <c r="B3516" i="5"/>
  <c r="B3517" i="5"/>
  <c r="B3518" i="5"/>
  <c r="B3519" i="5"/>
  <c r="B3520" i="5"/>
  <c r="B3521" i="5"/>
  <c r="B3522" i="5"/>
  <c r="B3523" i="5"/>
  <c r="B3524" i="5"/>
  <c r="B3525" i="5"/>
  <c r="B3526" i="5"/>
  <c r="B3527" i="5"/>
  <c r="B3528" i="5"/>
  <c r="B3529" i="5"/>
  <c r="B3530" i="5"/>
  <c r="B3531" i="5"/>
  <c r="B3532" i="5"/>
  <c r="B3533" i="5"/>
  <c r="B3534" i="5"/>
  <c r="B3535" i="5"/>
  <c r="B3536" i="5"/>
  <c r="B3537" i="5"/>
  <c r="B3538" i="5"/>
  <c r="B3539" i="5"/>
  <c r="B3540" i="5"/>
  <c r="B3541" i="5"/>
  <c r="B3542" i="5"/>
  <c r="B3543" i="5"/>
  <c r="B3544" i="5"/>
  <c r="B3545" i="5"/>
  <c r="B3546" i="5"/>
  <c r="B3547" i="5"/>
  <c r="B3548" i="5"/>
  <c r="B3549" i="5"/>
  <c r="B3550" i="5"/>
  <c r="B3551" i="5"/>
  <c r="B3552" i="5"/>
  <c r="B3553" i="5"/>
  <c r="B3554" i="5"/>
  <c r="B3555" i="5"/>
  <c r="B3556" i="5"/>
  <c r="B3557" i="5"/>
  <c r="B3558" i="5"/>
  <c r="B3559" i="5"/>
  <c r="B3560" i="5"/>
  <c r="B3561" i="5"/>
  <c r="B3562" i="5"/>
  <c r="B3563" i="5"/>
  <c r="B3564" i="5"/>
  <c r="B3565" i="5"/>
  <c r="B3566" i="5"/>
  <c r="B3567" i="5"/>
  <c r="B3568" i="5"/>
  <c r="B3569" i="5"/>
  <c r="B3570" i="5"/>
  <c r="B3571" i="5"/>
  <c r="B3572" i="5"/>
  <c r="B3573" i="5"/>
  <c r="B3574" i="5"/>
  <c r="B3575" i="5"/>
  <c r="B3576" i="5"/>
  <c r="B3577" i="5"/>
  <c r="B3578" i="5"/>
  <c r="B3579" i="5"/>
  <c r="B3580" i="5"/>
  <c r="B3581" i="5"/>
  <c r="B3582" i="5"/>
  <c r="B3583" i="5"/>
  <c r="B3584" i="5"/>
  <c r="B3585" i="5"/>
  <c r="B3586" i="5"/>
  <c r="B3587" i="5"/>
  <c r="B3588" i="5"/>
  <c r="B3589" i="5"/>
  <c r="B3590" i="5"/>
  <c r="B3591" i="5"/>
  <c r="B3592" i="5"/>
  <c r="B3593" i="5"/>
  <c r="B3594" i="5"/>
  <c r="B3595" i="5"/>
  <c r="B3596" i="5"/>
  <c r="B3597" i="5"/>
  <c r="B3598" i="5"/>
  <c r="B3599" i="5"/>
  <c r="B3600" i="5"/>
  <c r="B3601" i="5"/>
  <c r="B3602" i="5"/>
  <c r="B3603" i="5"/>
  <c r="B3604" i="5"/>
  <c r="B3605" i="5"/>
  <c r="B3606" i="5"/>
  <c r="B3607" i="5"/>
  <c r="B3608" i="5"/>
  <c r="B3609" i="5"/>
  <c r="B3610" i="5"/>
  <c r="B3611" i="5"/>
  <c r="B3612" i="5"/>
  <c r="B3613" i="5"/>
  <c r="B3614" i="5"/>
  <c r="B3615" i="5"/>
  <c r="B3616" i="5"/>
  <c r="B3617" i="5"/>
  <c r="B3618" i="5"/>
  <c r="B3619" i="5"/>
  <c r="B3620" i="5"/>
  <c r="B3621" i="5"/>
  <c r="B3622" i="5"/>
  <c r="B3623" i="5"/>
  <c r="B3624" i="5"/>
  <c r="B3625" i="5"/>
  <c r="B3626" i="5"/>
  <c r="B3627" i="5"/>
  <c r="B3628" i="5"/>
  <c r="B3629" i="5"/>
  <c r="B3630" i="5"/>
  <c r="B3631" i="5"/>
  <c r="B3632" i="5"/>
  <c r="B3633" i="5"/>
  <c r="B3634" i="5"/>
  <c r="B3635" i="5"/>
  <c r="B3636" i="5"/>
  <c r="B3637" i="5"/>
  <c r="B3638" i="5"/>
  <c r="B3639" i="5"/>
  <c r="B3640" i="5"/>
  <c r="B3641" i="5"/>
  <c r="B3642" i="5"/>
  <c r="B3643" i="5"/>
  <c r="B3644" i="5"/>
  <c r="B3645" i="5"/>
  <c r="B3646" i="5"/>
  <c r="B3647" i="5"/>
  <c r="B3648" i="5"/>
  <c r="B3649" i="5"/>
  <c r="B3650" i="5"/>
  <c r="B3651" i="5"/>
  <c r="B3652" i="5"/>
  <c r="B3653" i="5"/>
  <c r="B3654" i="5"/>
  <c r="B3655" i="5"/>
  <c r="B3656" i="5"/>
  <c r="B3657" i="5"/>
  <c r="B3658" i="5"/>
  <c r="B3659" i="5"/>
  <c r="B3660" i="5"/>
  <c r="B3661" i="5"/>
  <c r="B3662" i="5"/>
  <c r="B3663" i="5"/>
  <c r="B3664" i="5"/>
  <c r="B3665" i="5"/>
  <c r="B3666" i="5"/>
  <c r="B3667" i="5"/>
  <c r="B3668" i="5"/>
  <c r="B3669" i="5"/>
  <c r="B3670" i="5"/>
  <c r="B3671" i="5"/>
  <c r="B3672" i="5"/>
  <c r="B3673" i="5"/>
  <c r="B3674" i="5"/>
  <c r="B3675" i="5"/>
  <c r="B3676" i="5"/>
  <c r="B3677" i="5"/>
  <c r="B3678" i="5"/>
  <c r="B3679" i="5"/>
  <c r="B3680" i="5"/>
  <c r="B3681" i="5"/>
  <c r="B3682" i="5"/>
  <c r="B3683" i="5"/>
  <c r="B3684" i="5"/>
  <c r="B3685" i="5"/>
  <c r="B3686" i="5"/>
  <c r="B3687" i="5"/>
  <c r="B3688" i="5"/>
  <c r="B3689" i="5"/>
  <c r="B3690" i="5"/>
  <c r="B3691" i="5"/>
  <c r="B3692" i="5"/>
  <c r="B3693" i="5"/>
  <c r="B3694" i="5"/>
  <c r="B3695" i="5"/>
  <c r="B3696" i="5"/>
  <c r="B3697" i="5"/>
  <c r="B3698" i="5"/>
  <c r="B3699" i="5"/>
  <c r="B3700" i="5"/>
  <c r="B3701" i="5"/>
  <c r="B3702" i="5"/>
  <c r="B3703" i="5"/>
  <c r="B3704" i="5"/>
  <c r="B3705" i="5"/>
  <c r="B3706" i="5"/>
  <c r="B3707" i="5"/>
  <c r="B3708" i="5"/>
  <c r="B3709" i="5"/>
  <c r="B3710" i="5"/>
  <c r="B3711" i="5"/>
  <c r="B3712" i="5"/>
  <c r="B3713" i="5"/>
  <c r="B3714" i="5"/>
  <c r="B3715" i="5"/>
  <c r="B3716" i="5"/>
  <c r="B3717" i="5"/>
  <c r="B3718" i="5"/>
  <c r="B3719" i="5"/>
  <c r="B3720" i="5"/>
  <c r="B3721" i="5"/>
  <c r="B3722" i="5"/>
  <c r="B3723" i="5"/>
  <c r="B3724" i="5"/>
  <c r="B3725" i="5"/>
  <c r="B3726" i="5"/>
  <c r="B3727" i="5"/>
  <c r="B3728" i="5"/>
  <c r="B3729" i="5"/>
  <c r="B3730" i="5"/>
  <c r="B3731" i="5"/>
  <c r="B3732" i="5"/>
  <c r="B3733" i="5"/>
  <c r="B3734" i="5"/>
  <c r="B3735" i="5"/>
  <c r="B3736" i="5"/>
  <c r="B3737" i="5"/>
  <c r="B3738" i="5"/>
  <c r="B3739" i="5"/>
  <c r="B3740" i="5"/>
  <c r="B3741" i="5"/>
  <c r="B3742" i="5"/>
  <c r="B3743" i="5"/>
  <c r="B3744" i="5"/>
  <c r="B3745" i="5"/>
  <c r="B3746" i="5"/>
  <c r="B3747" i="5"/>
  <c r="B3748" i="5"/>
  <c r="B3749" i="5"/>
  <c r="B3750" i="5"/>
  <c r="B3751" i="5"/>
  <c r="B3752" i="5"/>
  <c r="B3753" i="5"/>
  <c r="B3754" i="5"/>
  <c r="B3755" i="5"/>
  <c r="B3756" i="5"/>
  <c r="B3757" i="5"/>
  <c r="B3758" i="5"/>
  <c r="B3759" i="5"/>
  <c r="B3760" i="5"/>
  <c r="B3761" i="5"/>
  <c r="B3762" i="5"/>
  <c r="B3763" i="5"/>
  <c r="B3764" i="5"/>
  <c r="B3765" i="5"/>
  <c r="B3766" i="5"/>
  <c r="B3767" i="5"/>
  <c r="B3768" i="5"/>
  <c r="B3769" i="5"/>
  <c r="B3770" i="5"/>
  <c r="B3771" i="5"/>
  <c r="B3772" i="5"/>
  <c r="B3773" i="5"/>
  <c r="B3774" i="5"/>
  <c r="B3775" i="5"/>
  <c r="B3776" i="5"/>
  <c r="B3777" i="5"/>
  <c r="B3778" i="5"/>
  <c r="B3779" i="5"/>
  <c r="B3780" i="5"/>
  <c r="B3781" i="5"/>
  <c r="B3782" i="5"/>
  <c r="B3783" i="5"/>
  <c r="B3784" i="5"/>
  <c r="B3785" i="5"/>
  <c r="B3786" i="5"/>
  <c r="B3787" i="5"/>
  <c r="B3788" i="5"/>
  <c r="B3789" i="5"/>
  <c r="B3790" i="5"/>
  <c r="B3791" i="5"/>
  <c r="B3792" i="5"/>
  <c r="B3793" i="5"/>
  <c r="B3794" i="5"/>
  <c r="B3795" i="5"/>
  <c r="B3796" i="5"/>
  <c r="B3797" i="5"/>
  <c r="B3798" i="5"/>
  <c r="B3799" i="5"/>
  <c r="B3800" i="5"/>
  <c r="B3801" i="5"/>
  <c r="B3802" i="5"/>
  <c r="B3803" i="5"/>
  <c r="B3804" i="5"/>
  <c r="B3805" i="5"/>
  <c r="B3806" i="5"/>
  <c r="B3807" i="5"/>
  <c r="B3808" i="5"/>
  <c r="B3809" i="5"/>
  <c r="B3810" i="5"/>
  <c r="B3811" i="5"/>
  <c r="B3812" i="5"/>
  <c r="B3813" i="5"/>
  <c r="B3814" i="5"/>
  <c r="B3815" i="5"/>
  <c r="B3816" i="5"/>
  <c r="B3817" i="5"/>
  <c r="B3818" i="5"/>
  <c r="B3819" i="5"/>
  <c r="B3820" i="5"/>
  <c r="B3821" i="5"/>
  <c r="B3822" i="5"/>
  <c r="B3823" i="5"/>
  <c r="B3824" i="5"/>
  <c r="B3825" i="5"/>
  <c r="B3826" i="5"/>
  <c r="B3827" i="5"/>
  <c r="B3828" i="5"/>
  <c r="B3829" i="5"/>
  <c r="B3830" i="5"/>
  <c r="B3831" i="5"/>
  <c r="B3832" i="5"/>
  <c r="B3833" i="5"/>
  <c r="B3834" i="5"/>
  <c r="B3835" i="5"/>
  <c r="B3836" i="5"/>
  <c r="B3837" i="5"/>
  <c r="B3838" i="5"/>
  <c r="B3839" i="5"/>
  <c r="B3840" i="5"/>
  <c r="B3841" i="5"/>
  <c r="B3842" i="5"/>
  <c r="B3843" i="5"/>
  <c r="B3844" i="5"/>
  <c r="B3845" i="5"/>
  <c r="B3846" i="5"/>
  <c r="B3847" i="5"/>
  <c r="B3848" i="5"/>
  <c r="B3849" i="5"/>
  <c r="B3850" i="5"/>
  <c r="B3851" i="5"/>
  <c r="B3852" i="5"/>
  <c r="B3853" i="5"/>
  <c r="B3854" i="5"/>
  <c r="B3855" i="5"/>
  <c r="B3856" i="5"/>
  <c r="B3857" i="5"/>
  <c r="B3858" i="5"/>
  <c r="B3859" i="5"/>
  <c r="B3860" i="5"/>
  <c r="B3861" i="5"/>
  <c r="B3862" i="5"/>
  <c r="B3863" i="5"/>
  <c r="B3864" i="5"/>
  <c r="B3865" i="5"/>
  <c r="B3866" i="5"/>
  <c r="B3867" i="5"/>
  <c r="B3868" i="5"/>
  <c r="B3869" i="5"/>
  <c r="B3870" i="5"/>
  <c r="B3871" i="5"/>
  <c r="B3872" i="5"/>
  <c r="B3873" i="5"/>
  <c r="B3874" i="5"/>
  <c r="B3875" i="5"/>
  <c r="B3876" i="5"/>
  <c r="B3877" i="5"/>
  <c r="B3878" i="5"/>
  <c r="B3879" i="5"/>
  <c r="B3880" i="5"/>
  <c r="B3881" i="5"/>
  <c r="B3882" i="5"/>
  <c r="B3883" i="5"/>
  <c r="B3884" i="5"/>
  <c r="B3885" i="5"/>
  <c r="B3886" i="5"/>
  <c r="B3887" i="5"/>
  <c r="B3888" i="5"/>
  <c r="B3889" i="5"/>
  <c r="B3890" i="5"/>
  <c r="B3891" i="5"/>
  <c r="B3892" i="5"/>
  <c r="B3893" i="5"/>
  <c r="B3894" i="5"/>
  <c r="B3895" i="5"/>
  <c r="B3896" i="5"/>
  <c r="B3897" i="5"/>
  <c r="B3898" i="5"/>
  <c r="B3899" i="5"/>
  <c r="B3900" i="5"/>
  <c r="B3901" i="5"/>
  <c r="B2" i="5"/>
  <c r="F3903" i="1"/>
  <c r="F3904" i="1"/>
</calcChain>
</file>

<file path=xl/sharedStrings.xml><?xml version="1.0" encoding="utf-8"?>
<sst xmlns="http://schemas.openxmlformats.org/spreadsheetml/2006/main" count="54677" uniqueCount="160">
  <si>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</si>
  <si>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</si>
  <si>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</si>
  <si>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</si>
  <si>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</si>
  <si>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</si>
  <si>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</si>
  <si>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</si>
  <si>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</si>
  <si>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</si>
  <si>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</si>
  <si>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</si>
  <si>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</si>
  <si>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</si>
  <si>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</si>
  <si>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</si>
  <si>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</si>
  <si>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</si>
  <si>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</si>
  <si>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</si>
  <si>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</si>
  <si>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</si>
  <si>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</si>
  <si>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</si>
  <si>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</si>
  <si>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</si>
  <si>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</si>
  <si>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</si>
  <si>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</si>
  <si>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</si>
  <si>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</si>
  <si>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</si>
  <si>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</si>
  <si>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</si>
  <si>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</si>
  <si>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</si>
  <si>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</si>
  <si>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</si>
  <si>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</si>
  <si>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</si>
  <si>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</si>
  <si>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</si>
  <si>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</si>
  <si>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</si>
  <si>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</si>
  <si>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</si>
  <si>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</si>
  <si>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</si>
  <si>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</si>
  <si>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</si>
  <si>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</si>
  <si>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</si>
  <si>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</si>
  <si>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</si>
  <si>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</si>
  <si>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</si>
  <si>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</si>
  <si>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</si>
  <si>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</si>
  <si>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</si>
  <si>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</si>
  <si>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</si>
  <si>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</si>
  <si>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</si>
  <si>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</si>
  <si>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</si>
  <si>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</si>
  <si>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</si>
  <si>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</si>
  <si>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</si>
  <si>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</si>
  <si>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</si>
  <si>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</si>
  <si>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</si>
  <si>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</si>
  <si>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</si>
  <si>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</si>
  <si>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</si>
  <si>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</si>
  <si>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</si>
  <si>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</si>
  <si>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</si>
  <si>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</si>
  <si>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</si>
  <si>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</si>
  <si>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</si>
  <si>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</si>
  <si>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</si>
  <si>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</si>
  <si>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</si>
  <si>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</si>
  <si>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</si>
  <si>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</si>
  <si>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</si>
  <si>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</si>
  <si>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</si>
  <si>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</si>
  <si>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</si>
  <si>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</si>
  <si>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</si>
  <si>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</si>
  <si>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</si>
  <si>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</si>
  <si>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</si>
  <si>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</si>
  <si>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</si>
  <si>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</si>
  <si>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</si>
  <si>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</si>
  <si>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</si>
  <si>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</si>
  <si>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</si>
  <si>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</si>
  <si>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</si>
  <si>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</si>
  <si>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</si>
  <si>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</si>
  <si>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</si>
  <si>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</si>
  <si>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</si>
  <si>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</si>
  <si>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</si>
  <si>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</si>
  <si>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</si>
  <si>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</si>
  <si>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</si>
  <si>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</si>
  <si>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</si>
  <si>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</si>
  <si>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</si>
  <si>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</si>
  <si>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</si>
  <si>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</si>
  <si>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</si>
  <si>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</si>
  <si>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</si>
  <si>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</si>
  <si>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</si>
  <si>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</si>
  <si>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</si>
  <si>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</si>
  <si>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</si>
  <si>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</si>
  <si>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</si>
  <si>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</si>
  <si>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</si>
  <si>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</si>
  <si>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</si>
  <si>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</si>
  <si>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</si>
  <si>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</si>
  <si>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</si>
  <si>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</si>
  <si>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Sum of Purchase Amount (USD)</t>
  </si>
  <si>
    <t>Row Labels</t>
  </si>
  <si>
    <t>Grand Total</t>
  </si>
  <si>
    <t>Average of Review Rating</t>
  </si>
  <si>
    <t>Item purchased</t>
  </si>
  <si>
    <t>index match</t>
  </si>
  <si>
    <t>sumif</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</si>
</sst>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33" borderId="10" xfId="0" applyFont="1" applyFill="1" applyBorder="1"/>
    <xf numFmtId="0" fontId="0"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[analysis ecom dashboard 1 (2).xlsx]Pivot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Accessories</c:v>
                </c:pt>
                <c:pt idx="1">
                  <c:v>Clothing</c:v>
                </c:pt>
                <c:pt idx="2">
                  <c:v>Footwear</c:v>
                </c:pt>
                <c:pt idx="3">
                  <c:v>Outerwear</c:v>
                </c:pt>
              </c:strCache>
            </c:strRef>
          </c:cat>
          <c:val>
            <c:numRef>
              <c:f>'Pivot tables'!$B$4:$B$8</c:f>
              <c:numCache>
                <c:formatCode>General</c:formatCode>
                <c:ptCount val="4"/>
                <c:pt idx="0">
                  <c:v>61285</c:v>
                </c:pt>
                <c:pt idx="1">
                  <c:v>87840</c:v>
                </c:pt>
                <c:pt idx="2">
                  <c:v>30049</c:v>
                </c:pt>
                <c:pt idx="3">
                  <c:v>14976</c:v>
                </c:pt>
              </c:numCache>
            </c:numRef>
          </c:val>
          <c:extLst xmlns:c16r2="http://schemas.microsoft.com/office/drawing/2015/06/chart">
            <c:ext xmlns:c16="http://schemas.microsoft.com/office/drawing/2014/chart" uri="{C3380CC4-5D6E-409C-BE32-E72D297353CC}">
              <c16:uniqueId val="{00000000-EBE3-46C6-BAE2-D31B76A63876}"/>
            </c:ext>
          </c:extLst>
        </c:ser>
        <c:dLbls>
          <c:showLegendKey val="0"/>
          <c:showVal val="0"/>
          <c:showCatName val="0"/>
          <c:showSerName val="0"/>
          <c:showPercent val="0"/>
          <c:showBubbleSize val="0"/>
        </c:dLbls>
        <c:gapWidth val="219"/>
        <c:overlap val="-27"/>
        <c:axId val="1770672368"/>
        <c:axId val="1770678352"/>
      </c:barChart>
      <c:catAx>
        <c:axId val="177067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78352"/>
        <c:crosses val="autoZero"/>
        <c:auto val="1"/>
        <c:lblAlgn val="ctr"/>
        <c:lblOffset val="100"/>
        <c:noMultiLvlLbl val="0"/>
      </c:catAx>
      <c:valAx>
        <c:axId val="177067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72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 (2).xlsx]Pivot tables!PivotTable4</c:name>
    <c:fmtId val="2"/>
  </c:pivotSource>
  <c:chart>
    <c:autoTitleDeleted val="0"/>
    <c:pivotFmts>
      <c:pivotFmt>
        <c:idx val="0"/>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stacked"/>
        <c:varyColors val="0"/>
        <c:ser>
          <c:idx val="0"/>
          <c:order val="0"/>
          <c:tx>
            <c:strRef>
              <c:f>'Pivot tables'!$B$45:$B$46</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tables'!$A$47:$A$49</c:f>
              <c:strCache>
                <c:ptCount val="2"/>
                <c:pt idx="0">
                  <c:v>No</c:v>
                </c:pt>
                <c:pt idx="1">
                  <c:v>Yes</c:v>
                </c:pt>
              </c:strCache>
            </c:strRef>
          </c:cat>
          <c:val>
            <c:numRef>
              <c:f>'Pivot tables'!$B$47:$B$49</c:f>
              <c:numCache>
                <c:formatCode>General</c:formatCode>
                <c:ptCount val="2"/>
                <c:pt idx="0">
                  <c:v>111586</c:v>
                </c:pt>
                <c:pt idx="1">
                  <c:v>30884</c:v>
                </c:pt>
              </c:numCache>
            </c:numRef>
          </c:val>
          <c:extLst xmlns:c16r2="http://schemas.microsoft.com/office/drawing/2015/06/chart">
            <c:ext xmlns:c16="http://schemas.microsoft.com/office/drawing/2014/chart" uri="{C3380CC4-5D6E-409C-BE32-E72D297353CC}">
              <c16:uniqueId val="{00000000-D921-41BC-8EB2-193B753994E4}"/>
            </c:ext>
          </c:extLst>
        </c:ser>
        <c:ser>
          <c:idx val="1"/>
          <c:order val="1"/>
          <c:tx>
            <c:strRef>
              <c:f>'Pivot tables'!$C$45:$C$46</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tables'!$A$47:$A$49</c:f>
              <c:strCache>
                <c:ptCount val="2"/>
                <c:pt idx="0">
                  <c:v>No</c:v>
                </c:pt>
                <c:pt idx="1">
                  <c:v>Yes</c:v>
                </c:pt>
              </c:strCache>
            </c:strRef>
          </c:cat>
          <c:val>
            <c:numRef>
              <c:f>'Pivot tables'!$C$47:$C$49</c:f>
              <c:numCache>
                <c:formatCode>General</c:formatCode>
                <c:ptCount val="2"/>
                <c:pt idx="1">
                  <c:v>51680</c:v>
                </c:pt>
              </c:numCache>
            </c:numRef>
          </c:val>
          <c:extLst xmlns:c16r2="http://schemas.microsoft.com/office/drawing/2015/06/chart">
            <c:ext xmlns:c16="http://schemas.microsoft.com/office/drawing/2014/chart" uri="{C3380CC4-5D6E-409C-BE32-E72D297353CC}">
              <c16:uniqueId val="{00000001-D921-41BC-8EB2-193B753994E4}"/>
            </c:ext>
          </c:extLst>
        </c:ser>
        <c:dLbls>
          <c:dLblPos val="ctr"/>
          <c:showLegendKey val="0"/>
          <c:showVal val="1"/>
          <c:showCatName val="0"/>
          <c:showSerName val="0"/>
          <c:showPercent val="0"/>
          <c:showBubbleSize val="0"/>
        </c:dLbls>
        <c:gapWidth val="150"/>
        <c:overlap val="100"/>
        <c:axId val="1770671824"/>
        <c:axId val="1770677264"/>
      </c:barChart>
      <c:catAx>
        <c:axId val="1770671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0677264"/>
        <c:crosses val="autoZero"/>
        <c:auto val="1"/>
        <c:lblAlgn val="ctr"/>
        <c:lblOffset val="100"/>
        <c:noMultiLvlLbl val="0"/>
      </c:catAx>
      <c:valAx>
        <c:axId val="1770677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0671824"/>
        <c:crosses val="autoZero"/>
        <c:crossBetween val="between"/>
      </c:valAx>
      <c:spPr>
        <a:noFill/>
        <a:ln>
          <a:noFill/>
        </a:ln>
        <a:effectLst/>
      </c:spPr>
    </c:plotArea>
    <c:legend>
      <c:legendPos val="r"/>
      <c:layout>
        <c:manualLayout>
          <c:xMode val="edge"/>
          <c:yMode val="edge"/>
          <c:x val="0.78249999999999986"/>
          <c:y val="0.41601888305628465"/>
          <c:w val="0.2101449275362318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 (2).xlsx]Pivot tables!PivotTable1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Season wise sales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tables'!$B$86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C21F-4347-821D-FD4AACD1BC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C21F-4347-821D-FD4AACD1BCC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5-C21F-4347-821D-FD4AACD1BCC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7-C21F-4347-821D-FD4AACD1BC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tables'!$A$87:$A$91</c:f>
              <c:strCache>
                <c:ptCount val="4"/>
                <c:pt idx="0">
                  <c:v>Fall</c:v>
                </c:pt>
                <c:pt idx="1">
                  <c:v>Spring</c:v>
                </c:pt>
                <c:pt idx="2">
                  <c:v>Summer</c:v>
                </c:pt>
                <c:pt idx="3">
                  <c:v>Winter</c:v>
                </c:pt>
              </c:strCache>
            </c:strRef>
          </c:cat>
          <c:val>
            <c:numRef>
              <c:f>'Pivot tables'!$B$87:$B$91</c:f>
              <c:numCache>
                <c:formatCode>General</c:formatCode>
                <c:ptCount val="4"/>
                <c:pt idx="0">
                  <c:v>60018</c:v>
                </c:pt>
                <c:pt idx="1">
                  <c:v>58679</c:v>
                </c:pt>
                <c:pt idx="2">
                  <c:v>55777</c:v>
                </c:pt>
                <c:pt idx="3">
                  <c:v>58607</c:v>
                </c:pt>
              </c:numCache>
            </c:numRef>
          </c:val>
          <c:extLst xmlns:c16r2="http://schemas.microsoft.com/office/drawing/2015/06/chart">
            <c:ext xmlns:c16="http://schemas.microsoft.com/office/drawing/2014/chart" uri="{C3380CC4-5D6E-409C-BE32-E72D297353CC}">
              <c16:uniqueId val="{00000008-C21F-4347-821D-FD4AACD1BCC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 (2).xlsx]Pivot tables!PivotTable6</c:name>
    <c:fmtId val="7"/>
  </c:pivotSource>
  <c:chart>
    <c:autoTitleDeleted val="1"/>
    <c:pivotFmts>
      <c:pivotFmt>
        <c:idx val="0"/>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'Pivot tables'!$B$102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'Pivot tables'!$A$103:$A$109</c:f>
              <c:strCache>
                <c:ptCount val="6"/>
                <c:pt idx="0">
                  <c:v>2-Day Shipping</c:v>
                </c:pt>
                <c:pt idx="1">
                  <c:v>Express</c:v>
                </c:pt>
                <c:pt idx="2">
                  <c:v>Free Shipping</c:v>
                </c:pt>
                <c:pt idx="3">
                  <c:v>Next Day Air</c:v>
                </c:pt>
                <c:pt idx="4">
                  <c:v>Standard</c:v>
                </c:pt>
                <c:pt idx="5">
                  <c:v>Store Pickup</c:v>
                </c:pt>
              </c:strCache>
            </c:strRef>
          </c:cat>
          <c:val>
            <c:numRef>
              <c:f>'Pivot tables'!$B$103:$B$109</c:f>
              <c:numCache>
                <c:formatCode>General</c:formatCode>
                <c:ptCount val="6"/>
                <c:pt idx="0">
                  <c:v>38080</c:v>
                </c:pt>
                <c:pt idx="1">
                  <c:v>39067</c:v>
                </c:pt>
                <c:pt idx="2">
                  <c:v>40777</c:v>
                </c:pt>
                <c:pt idx="3">
                  <c:v>37993</c:v>
                </c:pt>
                <c:pt idx="4">
                  <c:v>38233</c:v>
                </c:pt>
                <c:pt idx="5">
                  <c:v>38931</c:v>
                </c:pt>
              </c:numCache>
            </c:numRef>
          </c:val>
          <c:smooth val="0"/>
          <c:extLst xmlns:c16r2="http://schemas.microsoft.com/office/drawing/2015/06/chart">
            <c:ext xmlns:c16="http://schemas.microsoft.com/office/drawing/2014/chart" uri="{C3380CC4-5D6E-409C-BE32-E72D297353CC}">
              <c16:uniqueId val="{00000000-64F9-4423-ACAD-E7C82D60D0DA}"/>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70675632"/>
        <c:axId val="1770672912"/>
      </c:lineChart>
      <c:catAx>
        <c:axId val="1770675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70672912"/>
        <c:crosses val="autoZero"/>
        <c:auto val="1"/>
        <c:lblAlgn val="ctr"/>
        <c:lblOffset val="100"/>
        <c:noMultiLvlLbl val="0"/>
      </c:catAx>
      <c:valAx>
        <c:axId val="1770672912"/>
        <c:scaling>
          <c:orientation val="minMax"/>
        </c:scaling>
        <c:delete val="1"/>
        <c:axPos val="l"/>
        <c:numFmt formatCode="General" sourceLinked="1"/>
        <c:majorTickMark val="none"/>
        <c:minorTickMark val="none"/>
        <c:tickLblPos val="nextTo"/>
        <c:crossAx val="1770675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 (2).xlsx]Pivot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Accessories</c:v>
                </c:pt>
                <c:pt idx="1">
                  <c:v>Clothing</c:v>
                </c:pt>
                <c:pt idx="2">
                  <c:v>Footwear</c:v>
                </c:pt>
                <c:pt idx="3">
                  <c:v>Outerwear</c:v>
                </c:pt>
              </c:strCache>
            </c:strRef>
          </c:cat>
          <c:val>
            <c:numRef>
              <c:f>'Pivot tables'!$B$4:$B$8</c:f>
              <c:numCache>
                <c:formatCode>General</c:formatCode>
                <c:ptCount val="4"/>
                <c:pt idx="0">
                  <c:v>61285</c:v>
                </c:pt>
                <c:pt idx="1">
                  <c:v>87840</c:v>
                </c:pt>
                <c:pt idx="2">
                  <c:v>30049</c:v>
                </c:pt>
                <c:pt idx="3">
                  <c:v>14976</c:v>
                </c:pt>
              </c:numCache>
            </c:numRef>
          </c:val>
          <c:extLst xmlns:c16r2="http://schemas.microsoft.com/office/drawing/2015/06/chart">
            <c:ext xmlns:c16="http://schemas.microsoft.com/office/drawing/2014/chart" uri="{C3380CC4-5D6E-409C-BE32-E72D297353CC}">
              <c16:uniqueId val="{00000000-92E8-47FF-BC7C-B11BA594DB70}"/>
            </c:ext>
          </c:extLst>
        </c:ser>
        <c:dLbls>
          <c:showLegendKey val="0"/>
          <c:showVal val="0"/>
          <c:showCatName val="0"/>
          <c:showSerName val="0"/>
          <c:showPercent val="0"/>
          <c:showBubbleSize val="0"/>
        </c:dLbls>
        <c:gapWidth val="219"/>
        <c:overlap val="-27"/>
        <c:axId val="1770681616"/>
        <c:axId val="1770673456"/>
      </c:barChart>
      <c:catAx>
        <c:axId val="177068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73456"/>
        <c:crosses val="autoZero"/>
        <c:auto val="1"/>
        <c:lblAlgn val="ctr"/>
        <c:lblOffset val="100"/>
        <c:noMultiLvlLbl val="0"/>
      </c:catAx>
      <c:valAx>
        <c:axId val="177067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81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 (2).xlsx]Pivot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Rating</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tables'!$B$31</c:f>
              <c:strCache>
                <c:ptCount val="1"/>
                <c:pt idx="0">
                  <c:v>Total</c:v>
                </c:pt>
              </c:strCache>
            </c:strRef>
          </c:tx>
          <c:spPr>
            <a:solidFill>
              <a:schemeClr val="accent1"/>
            </a:solidFill>
            <a:ln>
              <a:noFill/>
            </a:ln>
            <a:effectLst/>
          </c:spPr>
          <c:invertIfNegative val="0"/>
          <c:cat>
            <c:strRef>
              <c:f>'Pivot tables'!$A$32:$A$39</c:f>
              <c:strCache>
                <c:ptCount val="7"/>
                <c:pt idx="0">
                  <c:v>Annually</c:v>
                </c:pt>
                <c:pt idx="1">
                  <c:v>Bi-Weekly</c:v>
                </c:pt>
                <c:pt idx="2">
                  <c:v>Every 3 Months</c:v>
                </c:pt>
                <c:pt idx="3">
                  <c:v>Fortnightly</c:v>
                </c:pt>
                <c:pt idx="4">
                  <c:v>Monthly</c:v>
                </c:pt>
                <c:pt idx="5">
                  <c:v>Quarterly</c:v>
                </c:pt>
                <c:pt idx="6">
                  <c:v>Weekly</c:v>
                </c:pt>
              </c:strCache>
            </c:strRef>
          </c:cat>
          <c:val>
            <c:numRef>
              <c:f>'Pivot tables'!$B$32:$B$39</c:f>
              <c:numCache>
                <c:formatCode>0.00</c:formatCode>
                <c:ptCount val="7"/>
                <c:pt idx="0">
                  <c:v>3.7541666666666673</c:v>
                </c:pt>
                <c:pt idx="1">
                  <c:v>3.6962800875273505</c:v>
                </c:pt>
                <c:pt idx="2">
                  <c:v>3.7929313929313913</c:v>
                </c:pt>
                <c:pt idx="3">
                  <c:v>3.7498886414253927</c:v>
                </c:pt>
                <c:pt idx="4">
                  <c:v>3.7943722943722968</c:v>
                </c:pt>
                <c:pt idx="5">
                  <c:v>3.7525862068965536</c:v>
                </c:pt>
                <c:pt idx="6">
                  <c:v>3.7682713347921242</c:v>
                </c:pt>
              </c:numCache>
            </c:numRef>
          </c:val>
          <c:extLst xmlns:c16r2="http://schemas.microsoft.com/office/drawing/2015/06/chart">
            <c:ext xmlns:c16="http://schemas.microsoft.com/office/drawing/2014/chart" uri="{C3380CC4-5D6E-409C-BE32-E72D297353CC}">
              <c16:uniqueId val="{00000000-60A5-4E1C-ACA6-F6D1B1CE1574}"/>
            </c:ext>
          </c:extLst>
        </c:ser>
        <c:dLbls>
          <c:showLegendKey val="0"/>
          <c:showVal val="0"/>
          <c:showCatName val="0"/>
          <c:showSerName val="0"/>
          <c:showPercent val="0"/>
          <c:showBubbleSize val="0"/>
        </c:dLbls>
        <c:gapWidth val="182"/>
        <c:axId val="1770684336"/>
        <c:axId val="1770684880"/>
      </c:barChart>
      <c:catAx>
        <c:axId val="177068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84880"/>
        <c:crosses val="autoZero"/>
        <c:auto val="1"/>
        <c:lblAlgn val="ctr"/>
        <c:lblOffset val="100"/>
        <c:noMultiLvlLbl val="0"/>
      </c:catAx>
      <c:valAx>
        <c:axId val="17706848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843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 (2).xlsx]Pivot tables!PivotTable4</c:name>
    <c:fmtId val="0"/>
  </c:pivotSource>
  <c:chart>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stacked"/>
        <c:varyColors val="0"/>
        <c:ser>
          <c:idx val="0"/>
          <c:order val="0"/>
          <c:tx>
            <c:strRef>
              <c:f>'Pivot tables'!$B$45:$B$46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tables'!$A$47:$A$49</c:f>
              <c:strCache>
                <c:ptCount val="2"/>
                <c:pt idx="0">
                  <c:v>No</c:v>
                </c:pt>
                <c:pt idx="1">
                  <c:v>Yes</c:v>
                </c:pt>
              </c:strCache>
            </c:strRef>
          </c:cat>
          <c:val>
            <c:numRef>
              <c:f>'Pivot tables'!$B$47:$B$49</c:f>
              <c:numCache>
                <c:formatCode>General</c:formatCode>
                <c:ptCount val="2"/>
                <c:pt idx="0">
                  <c:v>111586</c:v>
                </c:pt>
                <c:pt idx="1">
                  <c:v>30884</c:v>
                </c:pt>
              </c:numCache>
            </c:numRef>
          </c:val>
          <c:extLst xmlns:c16r2="http://schemas.microsoft.com/office/drawing/2015/06/chart">
            <c:ext xmlns:c16="http://schemas.microsoft.com/office/drawing/2014/chart" uri="{C3380CC4-5D6E-409C-BE32-E72D297353CC}">
              <c16:uniqueId val="{00000000-4467-4B95-9712-FAE261DDADDB}"/>
            </c:ext>
          </c:extLst>
        </c:ser>
        <c:ser>
          <c:idx val="1"/>
          <c:order val="1"/>
          <c:tx>
            <c:strRef>
              <c:f>'Pivot tables'!$C$45:$C$46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tables'!$A$47:$A$49</c:f>
              <c:strCache>
                <c:ptCount val="2"/>
                <c:pt idx="0">
                  <c:v>No</c:v>
                </c:pt>
                <c:pt idx="1">
                  <c:v>Yes</c:v>
                </c:pt>
              </c:strCache>
            </c:strRef>
          </c:cat>
          <c:val>
            <c:numRef>
              <c:f>'Pivot tables'!$C$47:$C$49</c:f>
              <c:numCache>
                <c:formatCode>General</c:formatCode>
                <c:ptCount val="2"/>
                <c:pt idx="1">
                  <c:v>51680</c:v>
                </c:pt>
              </c:numCache>
            </c:numRef>
          </c:val>
          <c:extLst xmlns:c16r2="http://schemas.microsoft.com/office/drawing/2015/06/chart">
            <c:ext xmlns:c16="http://schemas.microsoft.com/office/drawing/2014/chart" uri="{C3380CC4-5D6E-409C-BE32-E72D297353CC}">
              <c16:uniqueId val="{00000001-4467-4B95-9712-FAE261DDADDB}"/>
            </c:ext>
          </c:extLst>
        </c:ser>
        <c:dLbls>
          <c:dLblPos val="ctr"/>
          <c:showLegendKey val="0"/>
          <c:showVal val="1"/>
          <c:showCatName val="0"/>
          <c:showSerName val="0"/>
          <c:showPercent val="0"/>
          <c:showBubbleSize val="0"/>
        </c:dLbls>
        <c:gapWidth val="150"/>
        <c:overlap val="100"/>
        <c:axId val="1777216768"/>
        <c:axId val="1777214048"/>
      </c:barChart>
      <c:catAx>
        <c:axId val="177721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214048"/>
        <c:crosses val="autoZero"/>
        <c:auto val="1"/>
        <c:lblAlgn val="ctr"/>
        <c:lblOffset val="100"/>
        <c:noMultiLvlLbl val="0"/>
      </c:catAx>
      <c:valAx>
        <c:axId val="177721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216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 (2).xlsx]Pivot tables!PivotTable5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tables'!$B$67</c:f>
              <c:strCache>
                <c:ptCount val="1"/>
                <c:pt idx="0">
                  <c:v>Total</c:v>
                </c:pt>
              </c:strCache>
            </c:strRef>
          </c:tx>
          <c:spPr>
            <a:solidFill>
              <a:schemeClr val="accent1"/>
            </a:solidFill>
            <a:ln>
              <a:noFill/>
            </a:ln>
            <a:effectLst/>
          </c:spPr>
          <c:invertIfNegative val="0"/>
          <c:cat>
            <c:strRef>
              <c:f>'Pivot tables'!$A$68:$A$78</c:f>
              <c:strCache>
                <c:ptCount val="10"/>
                <c:pt idx="0">
                  <c:v>Alaska</c:v>
                </c:pt>
                <c:pt idx="1">
                  <c:v>California</c:v>
                </c:pt>
                <c:pt idx="2">
                  <c:v>Idaho</c:v>
                </c:pt>
                <c:pt idx="3">
                  <c:v>Maryland</c:v>
                </c:pt>
                <c:pt idx="4">
                  <c:v>Montana</c:v>
                </c:pt>
                <c:pt idx="5">
                  <c:v>Nevada</c:v>
                </c:pt>
                <c:pt idx="6">
                  <c:v>New York</c:v>
                </c:pt>
                <c:pt idx="7">
                  <c:v>North Dakota</c:v>
                </c:pt>
                <c:pt idx="8">
                  <c:v>Pennsylvania</c:v>
                </c:pt>
                <c:pt idx="9">
                  <c:v>West Virginia</c:v>
                </c:pt>
              </c:strCache>
            </c:strRef>
          </c:cat>
          <c:val>
            <c:numRef>
              <c:f>'Pivot tables'!$B$68:$B$78</c:f>
              <c:numCache>
                <c:formatCode>General</c:formatCode>
                <c:ptCount val="10"/>
                <c:pt idx="0">
                  <c:v>4382</c:v>
                </c:pt>
                <c:pt idx="1">
                  <c:v>4812</c:v>
                </c:pt>
                <c:pt idx="2">
                  <c:v>4670</c:v>
                </c:pt>
                <c:pt idx="3">
                  <c:v>4483</c:v>
                </c:pt>
                <c:pt idx="4">
                  <c:v>4835</c:v>
                </c:pt>
                <c:pt idx="5">
                  <c:v>4857</c:v>
                </c:pt>
                <c:pt idx="6">
                  <c:v>4676</c:v>
                </c:pt>
                <c:pt idx="7">
                  <c:v>4448</c:v>
                </c:pt>
                <c:pt idx="8">
                  <c:v>4447</c:v>
                </c:pt>
                <c:pt idx="9">
                  <c:v>4377</c:v>
                </c:pt>
              </c:numCache>
            </c:numRef>
          </c:val>
          <c:extLst xmlns:c16r2="http://schemas.microsoft.com/office/drawing/2015/06/chart">
            <c:ext xmlns:c16="http://schemas.microsoft.com/office/drawing/2014/chart" uri="{C3380CC4-5D6E-409C-BE32-E72D297353CC}">
              <c16:uniqueId val="{00000000-A99C-4BE6-B58F-3A94FEBABF38}"/>
            </c:ext>
          </c:extLst>
        </c:ser>
        <c:dLbls>
          <c:showLegendKey val="0"/>
          <c:showVal val="0"/>
          <c:showCatName val="0"/>
          <c:showSerName val="0"/>
          <c:showPercent val="0"/>
          <c:showBubbleSize val="0"/>
        </c:dLbls>
        <c:gapWidth val="219"/>
        <c:overlap val="-27"/>
        <c:axId val="1777226560"/>
        <c:axId val="1777221120"/>
      </c:barChart>
      <c:catAx>
        <c:axId val="177722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221120"/>
        <c:crosses val="autoZero"/>
        <c:auto val="1"/>
        <c:lblAlgn val="ctr"/>
        <c:lblOffset val="100"/>
        <c:noMultiLvlLbl val="0"/>
      </c:catAx>
      <c:valAx>
        <c:axId val="177722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2265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 (2).xlsx]Pivot tables!PivotTable1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tables'!$B$86</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FF84-45BA-9528-BAB23769381B}"/>
              </c:ext>
            </c:extLst>
          </c:dPt>
          <c:dPt>
            <c:idx val="1"/>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3-FF84-45BA-9528-BAB23769381B}"/>
              </c:ext>
            </c:extLst>
          </c:dPt>
          <c:dPt>
            <c:idx val="2"/>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5-FF84-45BA-9528-BAB23769381B}"/>
              </c:ext>
            </c:extLst>
          </c:dPt>
          <c:dPt>
            <c:idx val="3"/>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7-FF84-45BA-9528-BAB23769381B}"/>
              </c:ext>
            </c:extLst>
          </c:dPt>
          <c:cat>
            <c:strRef>
              <c:f>'Pivot tables'!$A$87:$A$91</c:f>
              <c:strCache>
                <c:ptCount val="4"/>
                <c:pt idx="0">
                  <c:v>Fall</c:v>
                </c:pt>
                <c:pt idx="1">
                  <c:v>Spring</c:v>
                </c:pt>
                <c:pt idx="2">
                  <c:v>Summer</c:v>
                </c:pt>
                <c:pt idx="3">
                  <c:v>Winter</c:v>
                </c:pt>
              </c:strCache>
            </c:strRef>
          </c:cat>
          <c:val>
            <c:numRef>
              <c:f>'Pivot tables'!$B$87:$B$91</c:f>
              <c:numCache>
                <c:formatCode>General</c:formatCode>
                <c:ptCount val="4"/>
                <c:pt idx="0">
                  <c:v>60018</c:v>
                </c:pt>
                <c:pt idx="1">
                  <c:v>58679</c:v>
                </c:pt>
                <c:pt idx="2">
                  <c:v>55777</c:v>
                </c:pt>
                <c:pt idx="3">
                  <c:v>58607</c:v>
                </c:pt>
              </c:numCache>
            </c:numRef>
          </c:val>
          <c:extLst xmlns:c16r2="http://schemas.microsoft.com/office/drawing/2015/06/chart">
            <c:ext xmlns:c16="http://schemas.microsoft.com/office/drawing/2014/chart" uri="{C3380CC4-5D6E-409C-BE32-E72D297353CC}">
              <c16:uniqueId val="{00000008-FF84-45BA-9528-BAB23769381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 (2).xlsx]Pivot tables!PivotTable6</c:name>
    <c:fmtId val="0"/>
  </c:pivotSource>
  <c:chart>
    <c:title>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lineChart>
        <c:grouping val="stacked"/>
        <c:varyColors val="0"/>
        <c:ser>
          <c:idx val="0"/>
          <c:order val="0"/>
          <c:tx>
            <c:strRef>
              <c:f>'Pivot tables'!$B$102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'Pivot tables'!$A$103:$A$109</c:f>
              <c:strCache>
                <c:ptCount val="6"/>
                <c:pt idx="0">
                  <c:v>2-Day Shipping</c:v>
                </c:pt>
                <c:pt idx="1">
                  <c:v>Express</c:v>
                </c:pt>
                <c:pt idx="2">
                  <c:v>Free Shipping</c:v>
                </c:pt>
                <c:pt idx="3">
                  <c:v>Next Day Air</c:v>
                </c:pt>
                <c:pt idx="4">
                  <c:v>Standard</c:v>
                </c:pt>
                <c:pt idx="5">
                  <c:v>Store Pickup</c:v>
                </c:pt>
              </c:strCache>
            </c:strRef>
          </c:cat>
          <c:val>
            <c:numRef>
              <c:f>'Pivot tables'!$B$103:$B$109</c:f>
              <c:numCache>
                <c:formatCode>General</c:formatCode>
                <c:ptCount val="6"/>
                <c:pt idx="0">
                  <c:v>38080</c:v>
                </c:pt>
                <c:pt idx="1">
                  <c:v>39067</c:v>
                </c:pt>
                <c:pt idx="2">
                  <c:v>40777</c:v>
                </c:pt>
                <c:pt idx="3">
                  <c:v>37993</c:v>
                </c:pt>
                <c:pt idx="4">
                  <c:v>38233</c:v>
                </c:pt>
                <c:pt idx="5">
                  <c:v>38931</c:v>
                </c:pt>
              </c:numCache>
            </c:numRef>
          </c:val>
          <c:smooth val="0"/>
          <c:extLst xmlns:c16r2="http://schemas.microsoft.com/office/drawing/2015/06/chart">
            <c:ext xmlns:c16="http://schemas.microsoft.com/office/drawing/2014/chart" uri="{C3380CC4-5D6E-409C-BE32-E72D297353CC}">
              <c16:uniqueId val="{00000000-F569-46F1-9FA5-AEA43FEA24C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77220576"/>
        <c:axId val="1777227648"/>
      </c:lineChart>
      <c:catAx>
        <c:axId val="1777220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77227648"/>
        <c:crosses val="autoZero"/>
        <c:auto val="1"/>
        <c:lblAlgn val="ctr"/>
        <c:lblOffset val="100"/>
        <c:noMultiLvlLbl val="0"/>
      </c:catAx>
      <c:valAx>
        <c:axId val="1777227648"/>
        <c:scaling>
          <c:orientation val="minMax"/>
        </c:scaling>
        <c:delete val="1"/>
        <c:axPos val="l"/>
        <c:numFmt formatCode="General" sourceLinked="1"/>
        <c:majorTickMark val="none"/>
        <c:minorTickMark val="none"/>
        <c:tickLblPos val="nextTo"/>
        <c:crossAx val="1777220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1.jpeg"/><Relationship Id="rId7"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jpeg"/><Relationship Id="rId5" Type="http://schemas.openxmlformats.org/officeDocument/2006/relationships/image" Target="../media/image3.jpeg"/><Relationship Id="rId4"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441960</xdr:colOff>
      <xdr:row>0</xdr:row>
      <xdr:rowOff>0</xdr:rowOff>
    </xdr:from>
    <xdr:to>
      <xdr:col>26</xdr:col>
      <xdr:colOff>403860</xdr:colOff>
      <xdr:row>117</xdr:row>
      <xdr:rowOff>106680</xdr:rowOff>
    </xdr:to>
    <xdr:sp macro="" textlink="">
      <xdr:nvSpPr>
        <xdr:cNvPr id="2" name="Rectangle 1">
          <a:extLst>
            <a:ext uri="{FF2B5EF4-FFF2-40B4-BE49-F238E27FC236}">
              <a16:creationId xmlns="" xmlns:a16="http://schemas.microsoft.com/office/drawing/2014/main" id="{00000000-0008-0000-0100-000002000000}"/>
            </a:ext>
          </a:extLst>
        </xdr:cNvPr>
        <xdr:cNvSpPr/>
      </xdr:nvSpPr>
      <xdr:spPr>
        <a:xfrm>
          <a:off x="1661160" y="0"/>
          <a:ext cx="14645640" cy="2116074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76200</xdr:colOff>
      <xdr:row>23</xdr:row>
      <xdr:rowOff>175260</xdr:rowOff>
    </xdr:from>
    <xdr:to>
      <xdr:col>26</xdr:col>
      <xdr:colOff>45720</xdr:colOff>
      <xdr:row>38</xdr:row>
      <xdr:rowOff>121472</xdr:rowOff>
    </xdr:to>
    <xdr:graphicFrame macro="">
      <xdr:nvGraphicFramePr>
        <xdr:cNvPr id="3" name="Chart 2">
          <a:extLst>
            <a:ext uri="{FF2B5EF4-FFF2-40B4-BE49-F238E27FC236}">
              <a16:creationId xmlns=""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403860</xdr:colOff>
      <xdr:row>41</xdr:row>
      <xdr:rowOff>106680</xdr:rowOff>
    </xdr:from>
    <xdr:to>
      <xdr:col>11</xdr:col>
      <xdr:colOff>205740</xdr:colOff>
      <xdr:row>56</xdr:row>
      <xdr:rowOff>106680</xdr:rowOff>
    </xdr:to>
    <xdr:graphicFrame macro="">
      <xdr:nvGraphicFramePr>
        <xdr:cNvPr id="4" name="Chart 3">
          <a:extLst>
            <a:ext uri="{FF2B5EF4-FFF2-40B4-BE49-F238E27FC236}">
              <a16:creationId xmlns=""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1</xdr:col>
      <xdr:colOff>76200</xdr:colOff>
      <xdr:row>3</xdr:row>
      <xdr:rowOff>0</xdr:rowOff>
    </xdr:to>
    <xdr:sp macro="" textlink="">
      <xdr:nvSpPr>
        <xdr:cNvPr id="4097" name="Text Box 1">
          <a:extLst>
            <a:ext uri="{FF2B5EF4-FFF2-40B4-BE49-F238E27FC236}">
              <a16:creationId xmlns="" xmlns:a16="http://schemas.microsoft.com/office/drawing/2014/main" id="{00000000-0008-0000-0100-000001100000}"/>
            </a:ext>
          </a:extLst>
        </xdr:cNvPr>
        <xdr:cNvSpPr txBox="1">
          <a:spLocks noChangeArrowheads="1"/>
        </xdr:cNvSpPr>
      </xdr:nvSpPr>
      <xdr:spPr bwMode="auto">
        <a:xfrm>
          <a:off x="0" y="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CUSTOMER SALES &amp; ANALYTICS DASHBOARD</a:t>
          </a:r>
        </a:p>
      </xdr:txBody>
    </xdr:sp>
    <xdr:clientData/>
  </xdr:twoCellAnchor>
  <xdr:twoCellAnchor>
    <xdr:from>
      <xdr:col>0</xdr:col>
      <xdr:colOff>0</xdr:colOff>
      <xdr:row>0</xdr:row>
      <xdr:rowOff>0</xdr:rowOff>
    </xdr:from>
    <xdr:to>
      <xdr:col>1</xdr:col>
      <xdr:colOff>76200</xdr:colOff>
      <xdr:row>3</xdr:row>
      <xdr:rowOff>0</xdr:rowOff>
    </xdr:to>
    <xdr:sp macro="" textlink="">
      <xdr:nvSpPr>
        <xdr:cNvPr id="4098" name="Text Box 2">
          <a:extLst>
            <a:ext uri="{FF2B5EF4-FFF2-40B4-BE49-F238E27FC236}">
              <a16:creationId xmlns="" xmlns:a16="http://schemas.microsoft.com/office/drawing/2014/main" id="{00000000-0008-0000-0100-000002100000}"/>
            </a:ext>
          </a:extLst>
        </xdr:cNvPr>
        <xdr:cNvSpPr txBox="1">
          <a:spLocks noChangeArrowheads="1"/>
        </xdr:cNvSpPr>
      </xdr:nvSpPr>
      <xdr:spPr bwMode="auto">
        <a:xfrm>
          <a:off x="0" y="0"/>
          <a:ext cx="685800" cy="5715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CUSTOMER SALES &amp; ANALYTICS DASHBOARD</a:t>
          </a:r>
        </a:p>
      </xdr:txBody>
    </xdr:sp>
    <xdr:clientData/>
  </xdr:twoCellAnchor>
  <xdr:twoCellAnchor>
    <xdr:from>
      <xdr:col>0</xdr:col>
      <xdr:colOff>0</xdr:colOff>
      <xdr:row>0</xdr:row>
      <xdr:rowOff>0</xdr:rowOff>
    </xdr:from>
    <xdr:to>
      <xdr:col>0</xdr:col>
      <xdr:colOff>205740</xdr:colOff>
      <xdr:row>0</xdr:row>
      <xdr:rowOff>45719</xdr:rowOff>
    </xdr:to>
    <xdr:sp macro="" textlink="">
      <xdr:nvSpPr>
        <xdr:cNvPr id="4099" name="Text Box 3">
          <a:extLst>
            <a:ext uri="{FF2B5EF4-FFF2-40B4-BE49-F238E27FC236}">
              <a16:creationId xmlns="" xmlns:a16="http://schemas.microsoft.com/office/drawing/2014/main" id="{00000000-0008-0000-0100-000003100000}"/>
            </a:ext>
          </a:extLst>
        </xdr:cNvPr>
        <xdr:cNvSpPr txBox="1">
          <a:spLocks noChangeArrowheads="1"/>
        </xdr:cNvSpPr>
      </xdr:nvSpPr>
      <xdr:spPr bwMode="auto">
        <a:xfrm flipH="1" flipV="1">
          <a:off x="0" y="0"/>
          <a:ext cx="205740" cy="4571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CUSTOMER SALES &amp; </a:t>
          </a:r>
        </a:p>
      </xdr:txBody>
    </xdr:sp>
    <xdr:clientData/>
  </xdr:twoCellAnchor>
  <xdr:twoCellAnchor>
    <xdr:from>
      <xdr:col>8</xdr:col>
      <xdr:colOff>152400</xdr:colOff>
      <xdr:row>0</xdr:row>
      <xdr:rowOff>175260</xdr:rowOff>
    </xdr:from>
    <xdr:to>
      <xdr:col>21</xdr:col>
      <xdr:colOff>7620</xdr:colOff>
      <xdr:row>4</xdr:row>
      <xdr:rowOff>129540</xdr:rowOff>
    </xdr:to>
    <xdr:sp macro="" textlink="">
      <xdr:nvSpPr>
        <xdr:cNvPr id="7" name="Rectangle 6">
          <a:extLst>
            <a:ext uri="{FF2B5EF4-FFF2-40B4-BE49-F238E27FC236}">
              <a16:creationId xmlns="" xmlns:a16="http://schemas.microsoft.com/office/drawing/2014/main" id="{00000000-0008-0000-0100-000007000000}"/>
            </a:ext>
          </a:extLst>
        </xdr:cNvPr>
        <xdr:cNvSpPr/>
      </xdr:nvSpPr>
      <xdr:spPr>
        <a:xfrm>
          <a:off x="5082540" y="175260"/>
          <a:ext cx="7780020" cy="685800"/>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2800" b="1">
              <a:solidFill>
                <a:schemeClr val="bg1"/>
              </a:solidFill>
            </a:rPr>
            <a:t>CUSTOMER</a:t>
          </a:r>
          <a:r>
            <a:rPr lang="en-IN" sz="2800" b="1" baseline="0">
              <a:solidFill>
                <a:schemeClr val="bg1"/>
              </a:solidFill>
            </a:rPr>
            <a:t> SALES &amp; ANALYTICS DASHBOARD</a:t>
          </a:r>
          <a:endParaRPr lang="en-IN" sz="2800" b="1">
            <a:solidFill>
              <a:schemeClr val="bg1"/>
            </a:solidFill>
          </a:endParaRPr>
        </a:p>
      </xdr:txBody>
    </xdr:sp>
    <xdr:clientData/>
  </xdr:twoCellAnchor>
  <xdr:twoCellAnchor editAs="oneCell">
    <xdr:from>
      <xdr:col>0</xdr:col>
      <xdr:colOff>0</xdr:colOff>
      <xdr:row>30</xdr:row>
      <xdr:rowOff>175260</xdr:rowOff>
    </xdr:from>
    <xdr:to>
      <xdr:col>3</xdr:col>
      <xdr:colOff>0</xdr:colOff>
      <xdr:row>36</xdr:row>
      <xdr:rowOff>100405</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5661660"/>
              <a:ext cx="1828800" cy="1022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167640</xdr:colOff>
      <xdr:row>0</xdr:row>
      <xdr:rowOff>30480</xdr:rowOff>
    </xdr:from>
    <xdr:to>
      <xdr:col>7</xdr:col>
      <xdr:colOff>327660</xdr:colOff>
      <xdr:row>11</xdr:row>
      <xdr:rowOff>83820</xdr:rowOff>
    </xdr:to>
    <xdr:pic>
      <xdr:nvPicPr>
        <xdr:cNvPr id="8" name="Picture 7">
          <a:extLst>
            <a:ext uri="{FF2B5EF4-FFF2-40B4-BE49-F238E27FC236}">
              <a16:creationId xmlns="" xmlns:a16="http://schemas.microsoft.com/office/drawing/2014/main" id="{00000000-0008-0000-01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96440" y="30480"/>
          <a:ext cx="2651760" cy="2065020"/>
        </a:xfrm>
        <a:prstGeom prst="rect">
          <a:avLst/>
        </a:prstGeom>
      </xdr:spPr>
    </xdr:pic>
    <xdr:clientData/>
  </xdr:twoCellAnchor>
  <xdr:twoCellAnchor editAs="oneCell">
    <xdr:from>
      <xdr:col>21</xdr:col>
      <xdr:colOff>525780</xdr:colOff>
      <xdr:row>0</xdr:row>
      <xdr:rowOff>152400</xdr:rowOff>
    </xdr:from>
    <xdr:to>
      <xdr:col>26</xdr:col>
      <xdr:colOff>205740</xdr:colOff>
      <xdr:row>12</xdr:row>
      <xdr:rowOff>175260</xdr:rowOff>
    </xdr:to>
    <xdr:pic>
      <xdr:nvPicPr>
        <xdr:cNvPr id="9" name="Picture 8">
          <a:extLst>
            <a:ext uri="{FF2B5EF4-FFF2-40B4-BE49-F238E27FC236}">
              <a16:creationId xmlns="" xmlns:a16="http://schemas.microsoft.com/office/drawing/2014/main" id="{00000000-0008-0000-0100-00000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380720" y="152400"/>
          <a:ext cx="2727960" cy="2217420"/>
        </a:xfrm>
        <a:prstGeom prst="rect">
          <a:avLst/>
        </a:prstGeom>
      </xdr:spPr>
    </xdr:pic>
    <xdr:clientData/>
  </xdr:twoCellAnchor>
  <xdr:twoCellAnchor editAs="oneCell">
    <xdr:from>
      <xdr:col>12</xdr:col>
      <xdr:colOff>312420</xdr:colOff>
      <xdr:row>41</xdr:row>
      <xdr:rowOff>114300</xdr:rowOff>
    </xdr:from>
    <xdr:to>
      <xdr:col>17</xdr:col>
      <xdr:colOff>449580</xdr:colOff>
      <xdr:row>56</xdr:row>
      <xdr:rowOff>30480</xdr:rowOff>
    </xdr:to>
    <xdr:pic>
      <xdr:nvPicPr>
        <xdr:cNvPr id="10" name="Picture 9">
          <a:extLst>
            <a:ext uri="{FF2B5EF4-FFF2-40B4-BE49-F238E27FC236}">
              <a16:creationId xmlns="" xmlns:a16="http://schemas.microsoft.com/office/drawing/2014/main" id="{00000000-0008-0000-0100-00000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680960" y="7612380"/>
          <a:ext cx="3185160" cy="2659380"/>
        </a:xfrm>
        <a:prstGeom prst="rect">
          <a:avLst/>
        </a:prstGeom>
      </xdr:spPr>
    </xdr:pic>
    <xdr:clientData/>
  </xdr:twoCellAnchor>
  <xdr:twoCellAnchor editAs="oneCell">
    <xdr:from>
      <xdr:col>12</xdr:col>
      <xdr:colOff>259080</xdr:colOff>
      <xdr:row>24</xdr:row>
      <xdr:rowOff>68580</xdr:rowOff>
    </xdr:from>
    <xdr:to>
      <xdr:col>17</xdr:col>
      <xdr:colOff>99060</xdr:colOff>
      <xdr:row>37</xdr:row>
      <xdr:rowOff>53340</xdr:rowOff>
    </xdr:to>
    <xdr:pic>
      <xdr:nvPicPr>
        <xdr:cNvPr id="15" name="Picture 14">
          <a:extLst>
            <a:ext uri="{FF2B5EF4-FFF2-40B4-BE49-F238E27FC236}">
              <a16:creationId xmlns="" xmlns:a16="http://schemas.microsoft.com/office/drawing/2014/main" id="{00000000-0008-0000-0100-00000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627620" y="4457700"/>
          <a:ext cx="2887980" cy="2362200"/>
        </a:xfrm>
        <a:prstGeom prst="rect">
          <a:avLst/>
        </a:prstGeom>
      </xdr:spPr>
    </xdr:pic>
    <xdr:clientData/>
  </xdr:twoCellAnchor>
  <xdr:twoCellAnchor>
    <xdr:from>
      <xdr:col>4</xdr:col>
      <xdr:colOff>129540</xdr:colOff>
      <xdr:row>14</xdr:row>
      <xdr:rowOff>68580</xdr:rowOff>
    </xdr:from>
    <xdr:to>
      <xdr:col>7</xdr:col>
      <xdr:colOff>68580</xdr:colOff>
      <xdr:row>20</xdr:row>
      <xdr:rowOff>68580</xdr:rowOff>
    </xdr:to>
    <xdr:sp macro="" textlink="">
      <xdr:nvSpPr>
        <xdr:cNvPr id="16" name="Rounded Rectangle 15">
          <a:extLst>
            <a:ext uri="{FF2B5EF4-FFF2-40B4-BE49-F238E27FC236}">
              <a16:creationId xmlns="" xmlns:a16="http://schemas.microsoft.com/office/drawing/2014/main" id="{00000000-0008-0000-0100-000010000000}"/>
            </a:ext>
          </a:extLst>
        </xdr:cNvPr>
        <xdr:cNvSpPr/>
      </xdr:nvSpPr>
      <xdr:spPr>
        <a:xfrm>
          <a:off x="2621280" y="2628900"/>
          <a:ext cx="1767840" cy="10972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Arial Black" panose="020B0A04020102020204" pitchFamily="34" charset="0"/>
            </a:rPr>
            <a:t>     TOTAL</a:t>
          </a:r>
        </a:p>
        <a:p>
          <a:pPr algn="l"/>
          <a:r>
            <a:rPr lang="en-IN" sz="1600" b="1">
              <a:latin typeface="Arial Black" panose="020B0A04020102020204" pitchFamily="34" charset="0"/>
            </a:rPr>
            <a:t>     SALES</a:t>
          </a:r>
        </a:p>
        <a:p>
          <a:pPr algn="l"/>
          <a:r>
            <a:rPr lang="en-IN" sz="1100"/>
            <a:t>      </a:t>
          </a:r>
          <a:r>
            <a:rPr lang="en-IN" sz="1600">
              <a:latin typeface="Arial Black" panose="020B0A04020102020204" pitchFamily="34" charset="0"/>
            </a:rPr>
            <a:t>$164,079</a:t>
          </a:r>
        </a:p>
      </xdr:txBody>
    </xdr:sp>
    <xdr:clientData/>
  </xdr:twoCellAnchor>
  <xdr:twoCellAnchor>
    <xdr:from>
      <xdr:col>10</xdr:col>
      <xdr:colOff>281940</xdr:colOff>
      <xdr:row>14</xdr:row>
      <xdr:rowOff>114300</xdr:rowOff>
    </xdr:from>
    <xdr:to>
      <xdr:col>13</xdr:col>
      <xdr:colOff>213360</xdr:colOff>
      <xdr:row>20</xdr:row>
      <xdr:rowOff>99060</xdr:rowOff>
    </xdr:to>
    <xdr:sp macro="" textlink="">
      <xdr:nvSpPr>
        <xdr:cNvPr id="23" name="Rounded Rectangle 22">
          <a:extLst>
            <a:ext uri="{FF2B5EF4-FFF2-40B4-BE49-F238E27FC236}">
              <a16:creationId xmlns="" xmlns:a16="http://schemas.microsoft.com/office/drawing/2014/main" id="{00000000-0008-0000-0100-000017000000}"/>
            </a:ext>
          </a:extLst>
        </xdr:cNvPr>
        <xdr:cNvSpPr/>
      </xdr:nvSpPr>
      <xdr:spPr>
        <a:xfrm>
          <a:off x="6431280" y="2674620"/>
          <a:ext cx="1760220" cy="10820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Arial Black" panose="020B0A04020102020204" pitchFamily="34" charset="0"/>
            </a:rPr>
            <a:t>        AVG</a:t>
          </a:r>
        </a:p>
        <a:p>
          <a:pPr algn="l"/>
          <a:r>
            <a:rPr lang="en-IN" sz="1600" b="1" baseline="0">
              <a:latin typeface="Arial Black" panose="020B0A04020102020204" pitchFamily="34" charset="0"/>
            </a:rPr>
            <a:t>     RATING</a:t>
          </a:r>
        </a:p>
        <a:p>
          <a:pPr algn="l"/>
          <a:r>
            <a:rPr lang="en-IN" sz="1600" b="1" baseline="0">
              <a:latin typeface="Arial Black" panose="020B0A04020102020204" pitchFamily="34" charset="0"/>
            </a:rPr>
            <a:t>        3.77</a:t>
          </a:r>
          <a:endParaRPr lang="en-IN" sz="1600" b="1">
            <a:latin typeface="Arial Black" panose="020B0A04020102020204" pitchFamily="34" charset="0"/>
          </a:endParaRPr>
        </a:p>
      </xdr:txBody>
    </xdr:sp>
    <xdr:clientData/>
  </xdr:twoCellAnchor>
  <xdr:twoCellAnchor>
    <xdr:from>
      <xdr:col>16</xdr:col>
      <xdr:colOff>518160</xdr:colOff>
      <xdr:row>14</xdr:row>
      <xdr:rowOff>76200</xdr:rowOff>
    </xdr:from>
    <xdr:to>
      <xdr:col>19</xdr:col>
      <xdr:colOff>556260</xdr:colOff>
      <xdr:row>20</xdr:row>
      <xdr:rowOff>45720</xdr:rowOff>
    </xdr:to>
    <xdr:sp macro="" textlink="">
      <xdr:nvSpPr>
        <xdr:cNvPr id="24" name="Rounded Rectangle 23">
          <a:extLst>
            <a:ext uri="{FF2B5EF4-FFF2-40B4-BE49-F238E27FC236}">
              <a16:creationId xmlns="" xmlns:a16="http://schemas.microsoft.com/office/drawing/2014/main" id="{00000000-0008-0000-0100-000018000000}"/>
            </a:ext>
          </a:extLst>
        </xdr:cNvPr>
        <xdr:cNvSpPr/>
      </xdr:nvSpPr>
      <xdr:spPr>
        <a:xfrm>
          <a:off x="10325100" y="2636520"/>
          <a:ext cx="1866900" cy="10668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Arial Black" panose="020B0A04020102020204" pitchFamily="34" charset="0"/>
            </a:rPr>
            <a:t>      TOTAL</a:t>
          </a:r>
        </a:p>
        <a:p>
          <a:pPr algn="l"/>
          <a:r>
            <a:rPr lang="en-IN" sz="1600" b="1" baseline="0">
              <a:latin typeface="Arial Black" panose="020B0A04020102020204" pitchFamily="34" charset="0"/>
            </a:rPr>
            <a:t>  PURCHASES</a:t>
          </a:r>
        </a:p>
        <a:p>
          <a:pPr algn="l"/>
          <a:r>
            <a:rPr lang="en-IN" sz="1600" b="1" baseline="0">
              <a:latin typeface="Arial Black" panose="020B0A04020102020204" pitchFamily="34" charset="0"/>
            </a:rPr>
            <a:t>        3900</a:t>
          </a:r>
          <a:endParaRPr lang="en-IN" sz="1600" b="1">
            <a:latin typeface="Arial Black" panose="020B0A04020102020204" pitchFamily="34" charset="0"/>
          </a:endParaRPr>
        </a:p>
      </xdr:txBody>
    </xdr:sp>
    <xdr:clientData/>
  </xdr:twoCellAnchor>
  <xdr:twoCellAnchor>
    <xdr:from>
      <xdr:col>22</xdr:col>
      <xdr:colOff>586740</xdr:colOff>
      <xdr:row>14</xdr:row>
      <xdr:rowOff>53340</xdr:rowOff>
    </xdr:from>
    <xdr:to>
      <xdr:col>25</xdr:col>
      <xdr:colOff>472440</xdr:colOff>
      <xdr:row>20</xdr:row>
      <xdr:rowOff>30480</xdr:rowOff>
    </xdr:to>
    <xdr:sp macro="" textlink="">
      <xdr:nvSpPr>
        <xdr:cNvPr id="25" name="Rounded Rectangle 24">
          <a:extLst>
            <a:ext uri="{FF2B5EF4-FFF2-40B4-BE49-F238E27FC236}">
              <a16:creationId xmlns="" xmlns:a16="http://schemas.microsoft.com/office/drawing/2014/main" id="{00000000-0008-0000-0100-000019000000}"/>
            </a:ext>
          </a:extLst>
        </xdr:cNvPr>
        <xdr:cNvSpPr/>
      </xdr:nvSpPr>
      <xdr:spPr>
        <a:xfrm>
          <a:off x="14051280" y="2613660"/>
          <a:ext cx="1714500" cy="10744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Arial Black" panose="020B0A04020102020204" pitchFamily="34" charset="0"/>
            </a:rPr>
            <a:t>  DISCOUNT</a:t>
          </a:r>
        </a:p>
        <a:p>
          <a:pPr algn="l"/>
          <a:r>
            <a:rPr lang="en-IN" sz="1600" b="1" baseline="0">
              <a:latin typeface="Arial Black" panose="020B0A04020102020204" pitchFamily="34" charset="0"/>
            </a:rPr>
            <a:t>     SALES</a:t>
          </a:r>
        </a:p>
        <a:p>
          <a:pPr algn="l"/>
          <a:r>
            <a:rPr lang="en-IN" sz="1600" b="1" baseline="0">
              <a:latin typeface="Arial Black" panose="020B0A04020102020204" pitchFamily="34" charset="0"/>
            </a:rPr>
            <a:t>    $99,411</a:t>
          </a:r>
          <a:endParaRPr lang="en-IN" sz="1600" b="1">
            <a:latin typeface="Arial Black" panose="020B0A04020102020204" pitchFamily="34" charset="0"/>
          </a:endParaRPr>
        </a:p>
      </xdr:txBody>
    </xdr:sp>
    <xdr:clientData/>
  </xdr:twoCellAnchor>
  <xdr:twoCellAnchor>
    <xdr:from>
      <xdr:col>18</xdr:col>
      <xdr:colOff>91440</xdr:colOff>
      <xdr:row>41</xdr:row>
      <xdr:rowOff>83820</xdr:rowOff>
    </xdr:from>
    <xdr:to>
      <xdr:col>25</xdr:col>
      <xdr:colOff>571500</xdr:colOff>
      <xdr:row>56</xdr:row>
      <xdr:rowOff>83820</xdr:rowOff>
    </xdr:to>
    <xdr:graphicFrame macro="">
      <xdr:nvGraphicFramePr>
        <xdr:cNvPr id="28" name="Chart 27">
          <a:extLst>
            <a:ext uri="{FF2B5EF4-FFF2-40B4-BE49-F238E27FC236}">
              <a16:creationId xmlns=""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403860</xdr:colOff>
      <xdr:row>24</xdr:row>
      <xdr:rowOff>0</xdr:rowOff>
    </xdr:from>
    <xdr:to>
      <xdr:col>11</xdr:col>
      <xdr:colOff>281940</xdr:colOff>
      <xdr:row>39</xdr:row>
      <xdr:rowOff>0</xdr:rowOff>
    </xdr:to>
    <xdr:graphicFrame macro="">
      <xdr:nvGraphicFramePr>
        <xdr:cNvPr id="29" name="Chart 28">
          <a:extLst>
            <a:ext uri="{FF2B5EF4-FFF2-40B4-BE49-F238E27FC236}">
              <a16:creationId xmlns="" xmlns:a16="http://schemas.microsoft.com/office/drawing/2014/main" id="{00000000-0008-0000-01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198120</xdr:colOff>
      <xdr:row>5</xdr:row>
      <xdr:rowOff>175261</xdr:rowOff>
    </xdr:from>
    <xdr:to>
      <xdr:col>11</xdr:col>
      <xdr:colOff>99060</xdr:colOff>
      <xdr:row>9</xdr:row>
      <xdr:rowOff>129540</xdr:rowOff>
    </xdr:to>
    <mc:AlternateContent xmlns:mc="http://schemas.openxmlformats.org/markup-compatibility/2006" xmlns:a14="http://schemas.microsoft.com/office/drawing/2010/main">
      <mc:Choice Requires="a14">
        <xdr:graphicFrame macro="">
          <xdr:nvGraphicFramePr>
            <xdr:cNvPr id="30" name="Gender 2">
              <a:extLst>
                <a:ext uri="{FF2B5EF4-FFF2-40B4-BE49-F238E27FC236}">
                  <a16:creationId xmlns="" xmlns:a16="http://schemas.microsoft.com/office/drawing/2014/main" id="{00000000-0008-0000-0100-00001E00000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128260" y="1089661"/>
              <a:ext cx="1729740" cy="68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402515</xdr:colOff>
      <xdr:row>92</xdr:row>
      <xdr:rowOff>89647</xdr:rowOff>
    </xdr:from>
    <xdr:to>
      <xdr:col>19</xdr:col>
      <xdr:colOff>398481</xdr:colOff>
      <xdr:row>99</xdr:row>
      <xdr:rowOff>107577</xdr:rowOff>
    </xdr:to>
    <mc:AlternateContent xmlns:mc="http://schemas.openxmlformats.org/markup-compatibility/2006">
      <mc:Choice xmlns:a14="http://schemas.microsoft.com/office/drawing/2010/main" Requires="a14">
        <xdr:graphicFrame macro="">
          <xdr:nvGraphicFramePr>
            <xdr:cNvPr id="2" name="Size">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904233" y="16584706"/>
              <a:ext cx="1824766" cy="1272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590775</xdr:colOff>
      <xdr:row>91</xdr:row>
      <xdr:rowOff>46616</xdr:rowOff>
    </xdr:from>
    <xdr:to>
      <xdr:col>22</xdr:col>
      <xdr:colOff>590775</xdr:colOff>
      <xdr:row>99</xdr:row>
      <xdr:rowOff>115196</xdr:rowOff>
    </xdr:to>
    <mc:AlternateContent xmlns:mc="http://schemas.openxmlformats.org/markup-compatibility/2006">
      <mc:Choice xmlns:a14="http://schemas.microsoft.com/office/drawing/2010/main" Requires="a14">
        <xdr:graphicFrame macro="">
          <xdr:nvGraphicFramePr>
            <xdr:cNvPr id="3" name="Season">
              <a:extLst>
                <a:ext uri="{FF2B5EF4-FFF2-40B4-BE49-F238E27FC236}">
                  <a16:creationId xmlns=""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3921293" y="16362381"/>
              <a:ext cx="1828800" cy="1502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96371</xdr:colOff>
      <xdr:row>100</xdr:row>
      <xdr:rowOff>100853</xdr:rowOff>
    </xdr:from>
    <xdr:to>
      <xdr:col>19</xdr:col>
      <xdr:colOff>96371</xdr:colOff>
      <xdr:row>114</xdr:row>
      <xdr:rowOff>11095</xdr:rowOff>
    </xdr:to>
    <mc:AlternateContent xmlns:mc="http://schemas.openxmlformats.org/markup-compatibility/2006">
      <mc:Choice xmlns:a14="http://schemas.microsoft.com/office/drawing/2010/main" Requires="a14">
        <xdr:graphicFrame macro="">
          <xdr:nvGraphicFramePr>
            <xdr:cNvPr id="4" name="Shipping Type">
              <a:extLst>
                <a:ext uri="{FF2B5EF4-FFF2-40B4-BE49-F238E27FC236}">
                  <a16:creationId xmlns="" xmlns:a16="http://schemas.microsoft.com/office/drawing/2014/main"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dr:sp macro="" textlink="">
          <xdr:nvSpPr>
            <xdr:cNvPr id="0" name=""/>
            <xdr:cNvSpPr>
              <a:spLocks noTextEdit="1"/>
            </xdr:cNvSpPr>
          </xdr:nvSpPr>
          <xdr:spPr>
            <a:xfrm>
              <a:off x="11598089" y="18030265"/>
              <a:ext cx="1828800"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194981</xdr:colOff>
      <xdr:row>18</xdr:row>
      <xdr:rowOff>84716</xdr:rowOff>
    </xdr:from>
    <xdr:to>
      <xdr:col>10</xdr:col>
      <xdr:colOff>402963</xdr:colOff>
      <xdr:row>33</xdr:row>
      <xdr:rowOff>84716</xdr:rowOff>
    </xdr:to>
    <xdr:graphicFrame macro="">
      <xdr:nvGraphicFramePr>
        <xdr:cNvPr id="5" name="Chart 4">
          <a:extLst>
            <a:ext uri="{FF2B5EF4-FFF2-40B4-BE49-F238E27FC236}">
              <a16:creationId xmlns=""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463474</xdr:colOff>
      <xdr:row>2</xdr:row>
      <xdr:rowOff>7172</xdr:rowOff>
    </xdr:from>
    <xdr:to>
      <xdr:col>6</xdr:col>
      <xdr:colOff>280594</xdr:colOff>
      <xdr:row>7</xdr:row>
      <xdr:rowOff>133126</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861098" y="365760"/>
              <a:ext cx="1825214" cy="1022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600635</xdr:colOff>
      <xdr:row>18</xdr:row>
      <xdr:rowOff>1</xdr:rowOff>
    </xdr:from>
    <xdr:to>
      <xdr:col>18</xdr:col>
      <xdr:colOff>295835</xdr:colOff>
      <xdr:row>33</xdr:row>
      <xdr:rowOff>53789</xdr:rowOff>
    </xdr:to>
    <xdr:graphicFrame macro="">
      <xdr:nvGraphicFramePr>
        <xdr:cNvPr id="7" name="Chart 6">
          <a:extLst>
            <a:ext uri="{FF2B5EF4-FFF2-40B4-BE49-F238E27FC236}">
              <a16:creationId xmlns=""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480508</xdr:colOff>
      <xdr:row>101</xdr:row>
      <xdr:rowOff>122816</xdr:rowOff>
    </xdr:from>
    <xdr:to>
      <xdr:col>22</xdr:col>
      <xdr:colOff>480508</xdr:colOff>
      <xdr:row>115</xdr:row>
      <xdr:rowOff>79673</xdr:rowOff>
    </xdr:to>
    <mc:AlternateContent xmlns:mc="http://schemas.openxmlformats.org/markup-compatibility/2006">
      <mc:Choice xmlns:a14="http://schemas.microsoft.com/office/drawing/2010/main" Requires="a14">
        <xdr:graphicFrame macro="">
          <xdr:nvGraphicFramePr>
            <xdr:cNvPr id="8" name="Payment Method">
              <a:extLst>
                <a:ext uri="{FF2B5EF4-FFF2-40B4-BE49-F238E27FC236}">
                  <a16:creationId xmlns=""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3811026" y="1823152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17930</xdr:colOff>
      <xdr:row>47</xdr:row>
      <xdr:rowOff>71717</xdr:rowOff>
    </xdr:from>
    <xdr:to>
      <xdr:col>12</xdr:col>
      <xdr:colOff>322730</xdr:colOff>
      <xdr:row>62</xdr:row>
      <xdr:rowOff>125506</xdr:rowOff>
    </xdr:to>
    <xdr:graphicFrame macro="">
      <xdr:nvGraphicFramePr>
        <xdr:cNvPr id="9" name="Chart 8">
          <a:extLst>
            <a:ext uri="{FF2B5EF4-FFF2-40B4-BE49-F238E27FC236}">
              <a16:creationId xmlns=""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206189</xdr:colOff>
      <xdr:row>66</xdr:row>
      <xdr:rowOff>152400</xdr:rowOff>
    </xdr:from>
    <xdr:to>
      <xdr:col>12</xdr:col>
      <xdr:colOff>510989</xdr:colOff>
      <xdr:row>82</xdr:row>
      <xdr:rowOff>26894</xdr:rowOff>
    </xdr:to>
    <xdr:graphicFrame macro="">
      <xdr:nvGraphicFramePr>
        <xdr:cNvPr id="10" name="Chart 9">
          <a:extLst>
            <a:ext uri="{FF2B5EF4-FFF2-40B4-BE49-F238E27FC236}">
              <a16:creationId xmlns=""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430307</xdr:colOff>
      <xdr:row>87</xdr:row>
      <xdr:rowOff>80682</xdr:rowOff>
    </xdr:from>
    <xdr:to>
      <xdr:col>13</xdr:col>
      <xdr:colOff>125507</xdr:colOff>
      <xdr:row>102</xdr:row>
      <xdr:rowOff>134470</xdr:rowOff>
    </xdr:to>
    <xdr:graphicFrame macro="">
      <xdr:nvGraphicFramePr>
        <xdr:cNvPr id="11" name="Chart 10">
          <a:extLst>
            <a:ext uri="{FF2B5EF4-FFF2-40B4-BE49-F238E27FC236}">
              <a16:creationId xmlns=""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80681</xdr:colOff>
      <xdr:row>108</xdr:row>
      <xdr:rowOff>107576</xdr:rowOff>
    </xdr:from>
    <xdr:to>
      <xdr:col>13</xdr:col>
      <xdr:colOff>385481</xdr:colOff>
      <xdr:row>123</xdr:row>
      <xdr:rowOff>161365</xdr:rowOff>
    </xdr:to>
    <xdr:graphicFrame macro="">
      <xdr:nvGraphicFramePr>
        <xdr:cNvPr id="12" name="Chart 11">
          <a:extLst>
            <a:ext uri="{FF2B5EF4-FFF2-40B4-BE49-F238E27FC236}">
              <a16:creationId xmlns="" xmlns:a16="http://schemas.microsoft.com/office/drawing/2014/main" id="{00000000-0008-0000-0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kur Kumar" refreshedDate="46280.47618287037" createdVersion="5" refreshedVersion="5" minRefreshableVersion="3" recordCount="3900">
  <cacheSource type="worksheet">
    <worksheetSource name="Table1"/>
  </cacheSource>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900">
  <r>
    <n v="1"/>
    <n v="55"/>
    <x v="0"/>
    <x v="0"/>
    <x v="0"/>
    <n v="53"/>
    <x v="0"/>
    <x v="0"/>
    <s v="Gray"/>
    <x v="0"/>
    <n v="3.1"/>
    <x v="0"/>
    <x v="0"/>
    <x v="0"/>
    <x v="0"/>
    <n v="14"/>
    <x v="0"/>
    <x v="0"/>
  </r>
  <r>
    <n v="2"/>
    <n v="19"/>
    <x v="0"/>
    <x v="1"/>
    <x v="0"/>
    <n v="64"/>
    <x v="1"/>
    <x v="0"/>
    <s v="Maroon"/>
    <x v="0"/>
    <n v="3.1"/>
    <x v="0"/>
    <x v="0"/>
    <x v="0"/>
    <x v="0"/>
    <n v="2"/>
    <x v="1"/>
    <x v="0"/>
  </r>
  <r>
    <n v="3"/>
    <n v="50"/>
    <x v="0"/>
    <x v="2"/>
    <x v="0"/>
    <n v="73"/>
    <x v="2"/>
    <x v="1"/>
    <s v="Maroon"/>
    <x v="1"/>
    <n v="3.1"/>
    <x v="0"/>
    <x v="1"/>
    <x v="0"/>
    <x v="0"/>
    <n v="23"/>
    <x v="2"/>
    <x v="1"/>
  </r>
  <r>
    <n v="4"/>
    <n v="21"/>
    <x v="0"/>
    <x v="3"/>
    <x v="1"/>
    <n v="90"/>
    <x v="3"/>
    <x v="2"/>
    <s v="Maroon"/>
    <x v="1"/>
    <n v="3.5"/>
    <x v="0"/>
    <x v="2"/>
    <x v="0"/>
    <x v="0"/>
    <n v="49"/>
    <x v="3"/>
    <x v="1"/>
  </r>
  <r>
    <n v="5"/>
    <n v="45"/>
    <x v="0"/>
    <x v="0"/>
    <x v="0"/>
    <n v="49"/>
    <x v="4"/>
    <x v="2"/>
    <s v="Turquoise"/>
    <x v="1"/>
    <n v="2.7"/>
    <x v="0"/>
    <x v="1"/>
    <x v="0"/>
    <x v="0"/>
    <n v="31"/>
    <x v="3"/>
    <x v="2"/>
  </r>
  <r>
    <n v="6"/>
    <n v="46"/>
    <x v="0"/>
    <x v="4"/>
    <x v="1"/>
    <n v="20"/>
    <x v="5"/>
    <x v="2"/>
    <s v="White"/>
    <x v="2"/>
    <n v="2.9"/>
    <x v="0"/>
    <x v="3"/>
    <x v="0"/>
    <x v="0"/>
    <n v="14"/>
    <x v="0"/>
    <x v="1"/>
  </r>
  <r>
    <n v="7"/>
    <n v="63"/>
    <x v="0"/>
    <x v="5"/>
    <x v="0"/>
    <n v="85"/>
    <x v="6"/>
    <x v="2"/>
    <s v="Gray"/>
    <x v="3"/>
    <n v="3.2"/>
    <x v="0"/>
    <x v="1"/>
    <x v="0"/>
    <x v="0"/>
    <n v="49"/>
    <x v="1"/>
    <x v="3"/>
  </r>
  <r>
    <n v="8"/>
    <n v="27"/>
    <x v="0"/>
    <x v="6"/>
    <x v="0"/>
    <n v="34"/>
    <x v="7"/>
    <x v="0"/>
    <s v="Charcoal"/>
    <x v="0"/>
    <n v="3.2"/>
    <x v="0"/>
    <x v="1"/>
    <x v="0"/>
    <x v="0"/>
    <n v="19"/>
    <x v="2"/>
    <x v="1"/>
  </r>
  <r>
    <n v="9"/>
    <n v="26"/>
    <x v="0"/>
    <x v="7"/>
    <x v="2"/>
    <n v="97"/>
    <x v="8"/>
    <x v="0"/>
    <s v="Silver"/>
    <x v="2"/>
    <n v="2.6"/>
    <x v="0"/>
    <x v="0"/>
    <x v="0"/>
    <x v="0"/>
    <n v="8"/>
    <x v="0"/>
    <x v="2"/>
  </r>
  <r>
    <n v="10"/>
    <n v="57"/>
    <x v="0"/>
    <x v="8"/>
    <x v="3"/>
    <n v="31"/>
    <x v="9"/>
    <x v="2"/>
    <s v="Pink"/>
    <x v="1"/>
    <n v="4.8"/>
    <x v="0"/>
    <x v="4"/>
    <x v="0"/>
    <x v="0"/>
    <n v="4"/>
    <x v="1"/>
    <x v="3"/>
  </r>
  <r>
    <n v="11"/>
    <n v="53"/>
    <x v="0"/>
    <x v="9"/>
    <x v="1"/>
    <n v="34"/>
    <x v="10"/>
    <x v="0"/>
    <s v="Purple"/>
    <x v="3"/>
    <n v="4.0999999999999996"/>
    <x v="0"/>
    <x v="5"/>
    <x v="0"/>
    <x v="0"/>
    <n v="26"/>
    <x v="4"/>
    <x v="4"/>
  </r>
  <r>
    <n v="12"/>
    <n v="30"/>
    <x v="0"/>
    <x v="6"/>
    <x v="0"/>
    <n v="68"/>
    <x v="11"/>
    <x v="1"/>
    <s v="Olive"/>
    <x v="0"/>
    <n v="4.9000000000000004"/>
    <x v="0"/>
    <x v="5"/>
    <x v="0"/>
    <x v="0"/>
    <n v="10"/>
    <x v="4"/>
    <x v="0"/>
  </r>
  <r>
    <n v="13"/>
    <n v="61"/>
    <x v="0"/>
    <x v="7"/>
    <x v="2"/>
    <n v="72"/>
    <x v="12"/>
    <x v="2"/>
    <s v="Gold"/>
    <x v="0"/>
    <n v="4.5"/>
    <x v="0"/>
    <x v="0"/>
    <x v="0"/>
    <x v="0"/>
    <n v="37"/>
    <x v="0"/>
    <x v="0"/>
  </r>
  <r>
    <n v="14"/>
    <n v="65"/>
    <x v="0"/>
    <x v="10"/>
    <x v="0"/>
    <n v="51"/>
    <x v="13"/>
    <x v="2"/>
    <s v="Violet"/>
    <x v="1"/>
    <n v="4.7"/>
    <x v="0"/>
    <x v="0"/>
    <x v="0"/>
    <x v="0"/>
    <n v="31"/>
    <x v="3"/>
    <x v="1"/>
  </r>
  <r>
    <n v="15"/>
    <n v="64"/>
    <x v="0"/>
    <x v="7"/>
    <x v="2"/>
    <n v="53"/>
    <x v="14"/>
    <x v="0"/>
    <s v="Teal"/>
    <x v="0"/>
    <n v="4.7"/>
    <x v="0"/>
    <x v="1"/>
    <x v="0"/>
    <x v="0"/>
    <n v="34"/>
    <x v="5"/>
    <x v="1"/>
  </r>
  <r>
    <n v="16"/>
    <n v="64"/>
    <x v="0"/>
    <x v="11"/>
    <x v="0"/>
    <n v="81"/>
    <x v="3"/>
    <x v="2"/>
    <s v="Teal"/>
    <x v="0"/>
    <n v="2.8"/>
    <x v="0"/>
    <x v="5"/>
    <x v="0"/>
    <x v="0"/>
    <n v="8"/>
    <x v="3"/>
    <x v="5"/>
  </r>
  <r>
    <n v="17"/>
    <n v="25"/>
    <x v="0"/>
    <x v="12"/>
    <x v="3"/>
    <n v="36"/>
    <x v="15"/>
    <x v="1"/>
    <s v="Gray"/>
    <x v="1"/>
    <n v="4.0999999999999996"/>
    <x v="0"/>
    <x v="2"/>
    <x v="0"/>
    <x v="0"/>
    <n v="44"/>
    <x v="5"/>
    <x v="4"/>
  </r>
  <r>
    <n v="18"/>
    <n v="53"/>
    <x v="0"/>
    <x v="10"/>
    <x v="0"/>
    <n v="38"/>
    <x v="16"/>
    <x v="3"/>
    <s v="Lavender"/>
    <x v="0"/>
    <n v="4.7"/>
    <x v="0"/>
    <x v="4"/>
    <x v="0"/>
    <x v="0"/>
    <n v="36"/>
    <x v="0"/>
    <x v="3"/>
  </r>
  <r>
    <n v="19"/>
    <n v="52"/>
    <x v="0"/>
    <x v="1"/>
    <x v="0"/>
    <n v="48"/>
    <x v="6"/>
    <x v="1"/>
    <s v="Black"/>
    <x v="2"/>
    <n v="4.5999999999999996"/>
    <x v="0"/>
    <x v="1"/>
    <x v="0"/>
    <x v="0"/>
    <n v="17"/>
    <x v="1"/>
    <x v="1"/>
  </r>
  <r>
    <n v="20"/>
    <n v="66"/>
    <x v="0"/>
    <x v="13"/>
    <x v="0"/>
    <n v="90"/>
    <x v="3"/>
    <x v="2"/>
    <s v="Green"/>
    <x v="2"/>
    <n v="3.3"/>
    <x v="0"/>
    <x v="3"/>
    <x v="0"/>
    <x v="0"/>
    <n v="46"/>
    <x v="5"/>
    <x v="4"/>
  </r>
  <r>
    <n v="21"/>
    <n v="21"/>
    <x v="0"/>
    <x v="13"/>
    <x v="0"/>
    <n v="51"/>
    <x v="7"/>
    <x v="2"/>
    <s v="Black"/>
    <x v="0"/>
    <n v="2.8"/>
    <x v="0"/>
    <x v="0"/>
    <x v="0"/>
    <x v="0"/>
    <n v="50"/>
    <x v="1"/>
    <x v="6"/>
  </r>
  <r>
    <n v="22"/>
    <n v="31"/>
    <x v="0"/>
    <x v="13"/>
    <x v="0"/>
    <n v="62"/>
    <x v="17"/>
    <x v="2"/>
    <s v="Charcoal"/>
    <x v="0"/>
    <n v="4.0999999999999996"/>
    <x v="0"/>
    <x v="5"/>
    <x v="0"/>
    <x v="0"/>
    <n v="22"/>
    <x v="5"/>
    <x v="3"/>
  </r>
  <r>
    <n v="23"/>
    <n v="56"/>
    <x v="0"/>
    <x v="13"/>
    <x v="0"/>
    <n v="37"/>
    <x v="18"/>
    <x v="2"/>
    <s v="Peach"/>
    <x v="2"/>
    <n v="3.2"/>
    <x v="0"/>
    <x v="5"/>
    <x v="0"/>
    <x v="0"/>
    <n v="32"/>
    <x v="5"/>
    <x v="2"/>
  </r>
  <r>
    <n v="24"/>
    <n v="31"/>
    <x v="0"/>
    <x v="13"/>
    <x v="0"/>
    <n v="88"/>
    <x v="19"/>
    <x v="3"/>
    <s v="White"/>
    <x v="0"/>
    <n v="4.4000000000000004"/>
    <x v="0"/>
    <x v="0"/>
    <x v="0"/>
    <x v="0"/>
    <n v="40"/>
    <x v="2"/>
    <x v="1"/>
  </r>
  <r>
    <n v="25"/>
    <n v="18"/>
    <x v="0"/>
    <x v="14"/>
    <x v="2"/>
    <n v="22"/>
    <x v="20"/>
    <x v="2"/>
    <s v="Green"/>
    <x v="3"/>
    <n v="2.9"/>
    <x v="0"/>
    <x v="5"/>
    <x v="0"/>
    <x v="0"/>
    <n v="16"/>
    <x v="5"/>
    <x v="1"/>
  </r>
  <r>
    <n v="26"/>
    <n v="18"/>
    <x v="0"/>
    <x v="15"/>
    <x v="0"/>
    <n v="25"/>
    <x v="21"/>
    <x v="2"/>
    <s v="Silver"/>
    <x v="2"/>
    <n v="3.6"/>
    <x v="0"/>
    <x v="0"/>
    <x v="0"/>
    <x v="0"/>
    <n v="14"/>
    <x v="3"/>
    <x v="2"/>
  </r>
  <r>
    <n v="27"/>
    <n v="38"/>
    <x v="0"/>
    <x v="16"/>
    <x v="3"/>
    <n v="20"/>
    <x v="22"/>
    <x v="2"/>
    <s v="Red"/>
    <x v="1"/>
    <n v="3.6"/>
    <x v="0"/>
    <x v="2"/>
    <x v="0"/>
    <x v="0"/>
    <n v="13"/>
    <x v="2"/>
    <x v="2"/>
  </r>
  <r>
    <n v="28"/>
    <n v="56"/>
    <x v="0"/>
    <x v="6"/>
    <x v="0"/>
    <n v="56"/>
    <x v="0"/>
    <x v="0"/>
    <s v="Cyan"/>
    <x v="2"/>
    <n v="5"/>
    <x v="0"/>
    <x v="2"/>
    <x v="0"/>
    <x v="0"/>
    <n v="7"/>
    <x v="4"/>
    <x v="6"/>
  </r>
  <r>
    <n v="29"/>
    <n v="54"/>
    <x v="0"/>
    <x v="8"/>
    <x v="3"/>
    <n v="94"/>
    <x v="17"/>
    <x v="2"/>
    <s v="Gray"/>
    <x v="3"/>
    <n v="4.4000000000000004"/>
    <x v="0"/>
    <x v="1"/>
    <x v="0"/>
    <x v="0"/>
    <n v="41"/>
    <x v="3"/>
    <x v="6"/>
  </r>
  <r>
    <n v="30"/>
    <n v="31"/>
    <x v="0"/>
    <x v="10"/>
    <x v="0"/>
    <n v="48"/>
    <x v="5"/>
    <x v="1"/>
    <s v="Black"/>
    <x v="3"/>
    <n v="4.0999999999999996"/>
    <x v="0"/>
    <x v="5"/>
    <x v="0"/>
    <x v="0"/>
    <n v="14"/>
    <x v="2"/>
    <x v="1"/>
  </r>
  <r>
    <n v="31"/>
    <n v="57"/>
    <x v="0"/>
    <x v="16"/>
    <x v="3"/>
    <n v="31"/>
    <x v="17"/>
    <x v="0"/>
    <s v="Black"/>
    <x v="0"/>
    <n v="4.7"/>
    <x v="0"/>
    <x v="3"/>
    <x v="0"/>
    <x v="0"/>
    <n v="16"/>
    <x v="2"/>
    <x v="5"/>
  </r>
  <r>
    <n v="32"/>
    <n v="33"/>
    <x v="0"/>
    <x v="10"/>
    <x v="0"/>
    <n v="79"/>
    <x v="8"/>
    <x v="0"/>
    <s v="Brown"/>
    <x v="0"/>
    <n v="4.7"/>
    <x v="0"/>
    <x v="5"/>
    <x v="0"/>
    <x v="0"/>
    <n v="45"/>
    <x v="0"/>
    <x v="5"/>
  </r>
  <r>
    <n v="33"/>
    <n v="36"/>
    <x v="0"/>
    <x v="14"/>
    <x v="2"/>
    <n v="67"/>
    <x v="23"/>
    <x v="2"/>
    <s v="Silver"/>
    <x v="2"/>
    <n v="4.9000000000000004"/>
    <x v="0"/>
    <x v="1"/>
    <x v="0"/>
    <x v="0"/>
    <n v="37"/>
    <x v="0"/>
    <x v="2"/>
  </r>
  <r>
    <n v="34"/>
    <n v="54"/>
    <x v="0"/>
    <x v="13"/>
    <x v="0"/>
    <n v="38"/>
    <x v="24"/>
    <x v="0"/>
    <s v="Green"/>
    <x v="2"/>
    <n v="3.3"/>
    <x v="0"/>
    <x v="5"/>
    <x v="0"/>
    <x v="0"/>
    <n v="45"/>
    <x v="1"/>
    <x v="3"/>
  </r>
  <r>
    <n v="35"/>
    <n v="36"/>
    <x v="0"/>
    <x v="17"/>
    <x v="0"/>
    <n v="91"/>
    <x v="25"/>
    <x v="0"/>
    <s v="Violet"/>
    <x v="1"/>
    <n v="4.5999999999999996"/>
    <x v="0"/>
    <x v="4"/>
    <x v="0"/>
    <x v="0"/>
    <n v="38"/>
    <x v="3"/>
    <x v="3"/>
  </r>
  <r>
    <n v="36"/>
    <n v="54"/>
    <x v="0"/>
    <x v="0"/>
    <x v="0"/>
    <n v="33"/>
    <x v="2"/>
    <x v="2"/>
    <s v="Cyan"/>
    <x v="2"/>
    <n v="4"/>
    <x v="0"/>
    <x v="4"/>
    <x v="0"/>
    <x v="0"/>
    <n v="48"/>
    <x v="2"/>
    <x v="4"/>
  </r>
  <r>
    <n v="37"/>
    <n v="35"/>
    <x v="0"/>
    <x v="17"/>
    <x v="0"/>
    <n v="69"/>
    <x v="26"/>
    <x v="2"/>
    <s v="Maroon"/>
    <x v="0"/>
    <n v="4.5999999999999996"/>
    <x v="0"/>
    <x v="1"/>
    <x v="0"/>
    <x v="0"/>
    <n v="44"/>
    <x v="3"/>
    <x v="0"/>
  </r>
  <r>
    <n v="38"/>
    <n v="35"/>
    <x v="0"/>
    <x v="2"/>
    <x v="0"/>
    <n v="45"/>
    <x v="27"/>
    <x v="1"/>
    <s v="Cyan"/>
    <x v="2"/>
    <n v="2.8"/>
    <x v="0"/>
    <x v="5"/>
    <x v="0"/>
    <x v="0"/>
    <n v="10"/>
    <x v="3"/>
    <x v="1"/>
  </r>
  <r>
    <n v="39"/>
    <n v="29"/>
    <x v="0"/>
    <x v="10"/>
    <x v="0"/>
    <n v="37"/>
    <x v="20"/>
    <x v="2"/>
    <s v="Red"/>
    <x v="0"/>
    <n v="3.7"/>
    <x v="0"/>
    <x v="4"/>
    <x v="0"/>
    <x v="0"/>
    <n v="44"/>
    <x v="0"/>
    <x v="6"/>
  </r>
  <r>
    <n v="40"/>
    <n v="70"/>
    <x v="0"/>
    <x v="13"/>
    <x v="0"/>
    <n v="60"/>
    <x v="28"/>
    <x v="1"/>
    <s v="Turquoise"/>
    <x v="2"/>
    <n v="4.2"/>
    <x v="0"/>
    <x v="0"/>
    <x v="0"/>
    <x v="0"/>
    <n v="18"/>
    <x v="2"/>
    <x v="5"/>
  </r>
  <r>
    <n v="41"/>
    <n v="69"/>
    <x v="0"/>
    <x v="8"/>
    <x v="3"/>
    <n v="76"/>
    <x v="7"/>
    <x v="0"/>
    <s v="Beige"/>
    <x v="0"/>
    <n v="4.5999999999999996"/>
    <x v="0"/>
    <x v="2"/>
    <x v="0"/>
    <x v="0"/>
    <n v="31"/>
    <x v="5"/>
    <x v="3"/>
  </r>
  <r>
    <n v="42"/>
    <n v="67"/>
    <x v="0"/>
    <x v="18"/>
    <x v="3"/>
    <n v="39"/>
    <x v="29"/>
    <x v="2"/>
    <s v="Orange"/>
    <x v="1"/>
    <n v="4.5"/>
    <x v="0"/>
    <x v="3"/>
    <x v="0"/>
    <x v="0"/>
    <n v="40"/>
    <x v="0"/>
    <x v="2"/>
  </r>
  <r>
    <n v="43"/>
    <n v="20"/>
    <x v="0"/>
    <x v="7"/>
    <x v="2"/>
    <n v="100"/>
    <x v="30"/>
    <x v="2"/>
    <s v="Beige"/>
    <x v="1"/>
    <n v="4.0999999999999996"/>
    <x v="0"/>
    <x v="1"/>
    <x v="0"/>
    <x v="0"/>
    <n v="15"/>
    <x v="3"/>
    <x v="2"/>
  </r>
  <r>
    <n v="44"/>
    <n v="25"/>
    <x v="0"/>
    <x v="18"/>
    <x v="3"/>
    <n v="69"/>
    <x v="31"/>
    <x v="0"/>
    <s v="Lavender"/>
    <x v="3"/>
    <n v="3.7"/>
    <x v="0"/>
    <x v="5"/>
    <x v="0"/>
    <x v="0"/>
    <n v="19"/>
    <x v="3"/>
    <x v="0"/>
  </r>
  <r>
    <n v="45"/>
    <n v="39"/>
    <x v="0"/>
    <x v="19"/>
    <x v="3"/>
    <n v="53"/>
    <x v="0"/>
    <x v="1"/>
    <s v="Silver"/>
    <x v="2"/>
    <n v="4.5999999999999996"/>
    <x v="0"/>
    <x v="1"/>
    <x v="0"/>
    <x v="0"/>
    <n v="45"/>
    <x v="3"/>
    <x v="1"/>
  </r>
  <r>
    <n v="46"/>
    <n v="50"/>
    <x v="0"/>
    <x v="20"/>
    <x v="0"/>
    <n v="21"/>
    <x v="30"/>
    <x v="3"/>
    <s v="Indigo"/>
    <x v="3"/>
    <n v="2.9"/>
    <x v="0"/>
    <x v="4"/>
    <x v="0"/>
    <x v="0"/>
    <n v="25"/>
    <x v="3"/>
    <x v="2"/>
  </r>
  <r>
    <n v="47"/>
    <n v="57"/>
    <x v="0"/>
    <x v="5"/>
    <x v="0"/>
    <n v="43"/>
    <x v="18"/>
    <x v="0"/>
    <s v="White"/>
    <x v="2"/>
    <n v="2.9"/>
    <x v="0"/>
    <x v="5"/>
    <x v="0"/>
    <x v="0"/>
    <n v="45"/>
    <x v="1"/>
    <x v="3"/>
  </r>
  <r>
    <n v="48"/>
    <n v="55"/>
    <x v="0"/>
    <x v="16"/>
    <x v="3"/>
    <n v="54"/>
    <x v="6"/>
    <x v="2"/>
    <s v="Charcoal"/>
    <x v="0"/>
    <n v="4.5"/>
    <x v="0"/>
    <x v="1"/>
    <x v="0"/>
    <x v="0"/>
    <n v="36"/>
    <x v="1"/>
    <x v="1"/>
  </r>
  <r>
    <n v="49"/>
    <n v="42"/>
    <x v="0"/>
    <x v="5"/>
    <x v="0"/>
    <n v="55"/>
    <x v="22"/>
    <x v="2"/>
    <s v="Orange"/>
    <x v="2"/>
    <n v="2.7"/>
    <x v="0"/>
    <x v="5"/>
    <x v="0"/>
    <x v="0"/>
    <n v="38"/>
    <x v="1"/>
    <x v="5"/>
  </r>
  <r>
    <n v="50"/>
    <n v="68"/>
    <x v="0"/>
    <x v="15"/>
    <x v="0"/>
    <n v="30"/>
    <x v="32"/>
    <x v="1"/>
    <s v="Indigo"/>
    <x v="1"/>
    <n v="4.5999999999999996"/>
    <x v="0"/>
    <x v="2"/>
    <x v="0"/>
    <x v="0"/>
    <n v="34"/>
    <x v="5"/>
    <x v="4"/>
  </r>
  <r>
    <n v="51"/>
    <n v="49"/>
    <x v="0"/>
    <x v="0"/>
    <x v="0"/>
    <n v="28"/>
    <x v="33"/>
    <x v="2"/>
    <s v="Red"/>
    <x v="1"/>
    <n v="3.7"/>
    <x v="0"/>
    <x v="5"/>
    <x v="0"/>
    <x v="0"/>
    <n v="39"/>
    <x v="5"/>
    <x v="4"/>
  </r>
  <r>
    <n v="52"/>
    <n v="59"/>
    <x v="0"/>
    <x v="11"/>
    <x v="0"/>
    <n v="59"/>
    <x v="34"/>
    <x v="3"/>
    <s v="Gray"/>
    <x v="0"/>
    <n v="4.7"/>
    <x v="0"/>
    <x v="4"/>
    <x v="0"/>
    <x v="0"/>
    <n v="7"/>
    <x v="2"/>
    <x v="3"/>
  </r>
  <r>
    <n v="53"/>
    <n v="42"/>
    <x v="0"/>
    <x v="17"/>
    <x v="0"/>
    <n v="20"/>
    <x v="29"/>
    <x v="2"/>
    <s v="Green"/>
    <x v="2"/>
    <n v="2.6"/>
    <x v="0"/>
    <x v="1"/>
    <x v="0"/>
    <x v="0"/>
    <n v="26"/>
    <x v="2"/>
    <x v="1"/>
  </r>
  <r>
    <n v="54"/>
    <n v="29"/>
    <x v="0"/>
    <x v="11"/>
    <x v="0"/>
    <n v="24"/>
    <x v="16"/>
    <x v="1"/>
    <s v="Peach"/>
    <x v="0"/>
    <n v="3.9"/>
    <x v="0"/>
    <x v="2"/>
    <x v="0"/>
    <x v="0"/>
    <n v="35"/>
    <x v="2"/>
    <x v="1"/>
  </r>
  <r>
    <n v="55"/>
    <n v="47"/>
    <x v="0"/>
    <x v="7"/>
    <x v="2"/>
    <n v="94"/>
    <x v="35"/>
    <x v="2"/>
    <s v="Brown"/>
    <x v="2"/>
    <n v="4.2"/>
    <x v="0"/>
    <x v="2"/>
    <x v="0"/>
    <x v="0"/>
    <n v="35"/>
    <x v="5"/>
    <x v="4"/>
  </r>
  <r>
    <n v="56"/>
    <n v="40"/>
    <x v="0"/>
    <x v="14"/>
    <x v="2"/>
    <n v="28"/>
    <x v="36"/>
    <x v="2"/>
    <s v="Lavender"/>
    <x v="0"/>
    <n v="3"/>
    <x v="0"/>
    <x v="4"/>
    <x v="0"/>
    <x v="0"/>
    <n v="49"/>
    <x v="2"/>
    <x v="2"/>
  </r>
  <r>
    <n v="57"/>
    <n v="41"/>
    <x v="0"/>
    <x v="21"/>
    <x v="3"/>
    <n v="73"/>
    <x v="16"/>
    <x v="3"/>
    <s v="Brown"/>
    <x v="2"/>
    <n v="4.7"/>
    <x v="0"/>
    <x v="5"/>
    <x v="0"/>
    <x v="0"/>
    <n v="46"/>
    <x v="2"/>
    <x v="1"/>
  </r>
  <r>
    <n v="58"/>
    <n v="21"/>
    <x v="0"/>
    <x v="7"/>
    <x v="2"/>
    <n v="64"/>
    <x v="8"/>
    <x v="2"/>
    <s v="White"/>
    <x v="2"/>
    <n v="4.4000000000000004"/>
    <x v="0"/>
    <x v="5"/>
    <x v="0"/>
    <x v="0"/>
    <n v="17"/>
    <x v="5"/>
    <x v="0"/>
  </r>
  <r>
    <n v="59"/>
    <n v="69"/>
    <x v="0"/>
    <x v="15"/>
    <x v="0"/>
    <n v="54"/>
    <x v="9"/>
    <x v="2"/>
    <s v="Charcoal"/>
    <x v="2"/>
    <n v="4.2"/>
    <x v="0"/>
    <x v="1"/>
    <x v="0"/>
    <x v="0"/>
    <n v="29"/>
    <x v="0"/>
    <x v="5"/>
  </r>
  <r>
    <n v="60"/>
    <n v="63"/>
    <x v="0"/>
    <x v="22"/>
    <x v="3"/>
    <n v="79"/>
    <x v="7"/>
    <x v="0"/>
    <s v="Yellow"/>
    <x v="1"/>
    <n v="4.5999999999999996"/>
    <x v="0"/>
    <x v="3"/>
    <x v="0"/>
    <x v="0"/>
    <n v="4"/>
    <x v="5"/>
    <x v="1"/>
  </r>
  <r>
    <n v="61"/>
    <n v="50"/>
    <x v="0"/>
    <x v="1"/>
    <x v="0"/>
    <n v="37"/>
    <x v="37"/>
    <x v="0"/>
    <s v="Brown"/>
    <x v="2"/>
    <n v="4"/>
    <x v="0"/>
    <x v="0"/>
    <x v="0"/>
    <x v="0"/>
    <n v="17"/>
    <x v="1"/>
    <x v="1"/>
  </r>
  <r>
    <n v="62"/>
    <n v="55"/>
    <x v="0"/>
    <x v="18"/>
    <x v="3"/>
    <n v="68"/>
    <x v="21"/>
    <x v="2"/>
    <s v="Orange"/>
    <x v="0"/>
    <n v="4.7"/>
    <x v="0"/>
    <x v="5"/>
    <x v="0"/>
    <x v="0"/>
    <n v="21"/>
    <x v="2"/>
    <x v="6"/>
  </r>
  <r>
    <n v="63"/>
    <n v="30"/>
    <x v="0"/>
    <x v="4"/>
    <x v="1"/>
    <n v="21"/>
    <x v="16"/>
    <x v="1"/>
    <s v="Magenta"/>
    <x v="1"/>
    <n v="3.8"/>
    <x v="0"/>
    <x v="1"/>
    <x v="0"/>
    <x v="0"/>
    <n v="31"/>
    <x v="2"/>
    <x v="0"/>
  </r>
  <r>
    <n v="64"/>
    <n v="33"/>
    <x v="0"/>
    <x v="12"/>
    <x v="3"/>
    <n v="79"/>
    <x v="28"/>
    <x v="0"/>
    <s v="Lavender"/>
    <x v="0"/>
    <n v="2.7"/>
    <x v="0"/>
    <x v="4"/>
    <x v="0"/>
    <x v="0"/>
    <n v="43"/>
    <x v="2"/>
    <x v="1"/>
  </r>
  <r>
    <n v="65"/>
    <n v="65"/>
    <x v="0"/>
    <x v="23"/>
    <x v="1"/>
    <n v="83"/>
    <x v="15"/>
    <x v="1"/>
    <s v="Green"/>
    <x v="3"/>
    <n v="4.8"/>
    <x v="0"/>
    <x v="3"/>
    <x v="0"/>
    <x v="0"/>
    <n v="18"/>
    <x v="5"/>
    <x v="0"/>
  </r>
  <r>
    <n v="66"/>
    <n v="65"/>
    <x v="0"/>
    <x v="21"/>
    <x v="3"/>
    <n v="36"/>
    <x v="32"/>
    <x v="2"/>
    <s v="Purple"/>
    <x v="1"/>
    <n v="4.8"/>
    <x v="0"/>
    <x v="4"/>
    <x v="0"/>
    <x v="0"/>
    <n v="44"/>
    <x v="0"/>
    <x v="6"/>
  </r>
  <r>
    <n v="67"/>
    <n v="31"/>
    <x v="0"/>
    <x v="0"/>
    <x v="0"/>
    <n v="94"/>
    <x v="38"/>
    <x v="1"/>
    <s v="Magenta"/>
    <x v="0"/>
    <n v="4.7"/>
    <x v="0"/>
    <x v="4"/>
    <x v="0"/>
    <x v="0"/>
    <n v="3"/>
    <x v="0"/>
    <x v="6"/>
  </r>
  <r>
    <n v="68"/>
    <n v="45"/>
    <x v="0"/>
    <x v="7"/>
    <x v="2"/>
    <n v="33"/>
    <x v="39"/>
    <x v="0"/>
    <s v="Gray"/>
    <x v="0"/>
    <n v="4.4000000000000004"/>
    <x v="0"/>
    <x v="5"/>
    <x v="0"/>
    <x v="0"/>
    <n v="49"/>
    <x v="5"/>
    <x v="5"/>
  </r>
  <r>
    <n v="69"/>
    <n v="57"/>
    <x v="0"/>
    <x v="8"/>
    <x v="3"/>
    <n v="46"/>
    <x v="40"/>
    <x v="0"/>
    <s v="Silver"/>
    <x v="2"/>
    <n v="3.9"/>
    <x v="0"/>
    <x v="2"/>
    <x v="0"/>
    <x v="0"/>
    <n v="21"/>
    <x v="1"/>
    <x v="6"/>
  </r>
  <r>
    <n v="70"/>
    <n v="48"/>
    <x v="0"/>
    <x v="22"/>
    <x v="3"/>
    <n v="70"/>
    <x v="30"/>
    <x v="1"/>
    <s v="Cyan"/>
    <x v="2"/>
    <n v="4.4000000000000004"/>
    <x v="0"/>
    <x v="0"/>
    <x v="0"/>
    <x v="0"/>
    <n v="5"/>
    <x v="1"/>
    <x v="1"/>
  </r>
  <r>
    <n v="71"/>
    <n v="22"/>
    <x v="0"/>
    <x v="22"/>
    <x v="3"/>
    <n v="29"/>
    <x v="15"/>
    <x v="2"/>
    <s v="Magenta"/>
    <x v="3"/>
    <n v="4.2"/>
    <x v="0"/>
    <x v="0"/>
    <x v="0"/>
    <x v="0"/>
    <n v="32"/>
    <x v="5"/>
    <x v="6"/>
  </r>
  <r>
    <n v="72"/>
    <n v="36"/>
    <x v="0"/>
    <x v="10"/>
    <x v="0"/>
    <n v="48"/>
    <x v="41"/>
    <x v="0"/>
    <s v="Gold"/>
    <x v="2"/>
    <n v="2.9"/>
    <x v="0"/>
    <x v="0"/>
    <x v="0"/>
    <x v="0"/>
    <n v="34"/>
    <x v="4"/>
    <x v="2"/>
  </r>
  <r>
    <n v="73"/>
    <n v="18"/>
    <x v="0"/>
    <x v="10"/>
    <x v="0"/>
    <n v="26"/>
    <x v="42"/>
    <x v="2"/>
    <s v="Olive"/>
    <x v="0"/>
    <n v="2.9"/>
    <x v="0"/>
    <x v="5"/>
    <x v="0"/>
    <x v="0"/>
    <n v="21"/>
    <x v="4"/>
    <x v="6"/>
  </r>
  <r>
    <n v="74"/>
    <n v="48"/>
    <x v="0"/>
    <x v="13"/>
    <x v="0"/>
    <n v="85"/>
    <x v="11"/>
    <x v="2"/>
    <s v="Teal"/>
    <x v="1"/>
    <n v="2.7"/>
    <x v="0"/>
    <x v="1"/>
    <x v="0"/>
    <x v="0"/>
    <n v="43"/>
    <x v="4"/>
    <x v="4"/>
  </r>
  <r>
    <n v="75"/>
    <n v="49"/>
    <x v="0"/>
    <x v="24"/>
    <x v="3"/>
    <n v="58"/>
    <x v="27"/>
    <x v="0"/>
    <s v="Violet"/>
    <x v="1"/>
    <n v="4.5"/>
    <x v="0"/>
    <x v="0"/>
    <x v="0"/>
    <x v="0"/>
    <n v="3"/>
    <x v="1"/>
    <x v="5"/>
  </r>
  <r>
    <n v="76"/>
    <n v="64"/>
    <x v="0"/>
    <x v="18"/>
    <x v="3"/>
    <n v="85"/>
    <x v="40"/>
    <x v="2"/>
    <s v="Blue"/>
    <x v="2"/>
    <n v="2.7"/>
    <x v="0"/>
    <x v="1"/>
    <x v="0"/>
    <x v="0"/>
    <n v="21"/>
    <x v="2"/>
    <x v="2"/>
  </r>
  <r>
    <n v="77"/>
    <n v="50"/>
    <x v="0"/>
    <x v="19"/>
    <x v="3"/>
    <n v="43"/>
    <x v="12"/>
    <x v="1"/>
    <s v="Teal"/>
    <x v="2"/>
    <n v="4.2"/>
    <x v="0"/>
    <x v="1"/>
    <x v="0"/>
    <x v="0"/>
    <n v="32"/>
    <x v="0"/>
    <x v="5"/>
  </r>
  <r>
    <n v="78"/>
    <n v="22"/>
    <x v="0"/>
    <x v="10"/>
    <x v="0"/>
    <n v="53"/>
    <x v="12"/>
    <x v="0"/>
    <s v="Gold"/>
    <x v="2"/>
    <n v="3.3"/>
    <x v="0"/>
    <x v="2"/>
    <x v="0"/>
    <x v="0"/>
    <n v="36"/>
    <x v="5"/>
    <x v="0"/>
  </r>
  <r>
    <n v="79"/>
    <n v="50"/>
    <x v="0"/>
    <x v="11"/>
    <x v="0"/>
    <n v="91"/>
    <x v="43"/>
    <x v="2"/>
    <s v="Maroon"/>
    <x v="1"/>
    <n v="4.7"/>
    <x v="0"/>
    <x v="1"/>
    <x v="0"/>
    <x v="0"/>
    <n v="50"/>
    <x v="0"/>
    <x v="0"/>
  </r>
  <r>
    <n v="80"/>
    <n v="38"/>
    <x v="0"/>
    <x v="14"/>
    <x v="2"/>
    <n v="96"/>
    <x v="44"/>
    <x v="2"/>
    <s v="Olive"/>
    <x v="0"/>
    <n v="2.6"/>
    <x v="0"/>
    <x v="4"/>
    <x v="0"/>
    <x v="0"/>
    <n v="43"/>
    <x v="4"/>
    <x v="6"/>
  </r>
  <r>
    <n v="81"/>
    <n v="19"/>
    <x v="0"/>
    <x v="3"/>
    <x v="1"/>
    <n v="72"/>
    <x v="14"/>
    <x v="3"/>
    <s v="Blue"/>
    <x v="2"/>
    <n v="3.3"/>
    <x v="0"/>
    <x v="5"/>
    <x v="0"/>
    <x v="0"/>
    <n v="24"/>
    <x v="2"/>
    <x v="6"/>
  </r>
  <r>
    <n v="82"/>
    <n v="67"/>
    <x v="0"/>
    <x v="9"/>
    <x v="1"/>
    <n v="96"/>
    <x v="41"/>
    <x v="0"/>
    <s v="Maroon"/>
    <x v="2"/>
    <n v="2.6"/>
    <x v="0"/>
    <x v="0"/>
    <x v="0"/>
    <x v="0"/>
    <n v="36"/>
    <x v="2"/>
    <x v="6"/>
  </r>
  <r>
    <n v="83"/>
    <n v="19"/>
    <x v="0"/>
    <x v="13"/>
    <x v="0"/>
    <n v="28"/>
    <x v="42"/>
    <x v="1"/>
    <s v="Olive"/>
    <x v="1"/>
    <n v="4"/>
    <x v="0"/>
    <x v="4"/>
    <x v="0"/>
    <x v="0"/>
    <n v="21"/>
    <x v="2"/>
    <x v="6"/>
  </r>
  <r>
    <n v="84"/>
    <n v="36"/>
    <x v="0"/>
    <x v="10"/>
    <x v="0"/>
    <n v="40"/>
    <x v="21"/>
    <x v="2"/>
    <s v="Turquoise"/>
    <x v="2"/>
    <n v="4.0999999999999996"/>
    <x v="0"/>
    <x v="3"/>
    <x v="0"/>
    <x v="0"/>
    <n v="34"/>
    <x v="4"/>
    <x v="1"/>
  </r>
  <r>
    <n v="85"/>
    <n v="52"/>
    <x v="0"/>
    <x v="7"/>
    <x v="2"/>
    <n v="32"/>
    <x v="28"/>
    <x v="1"/>
    <s v="Peach"/>
    <x v="1"/>
    <n v="4.4000000000000004"/>
    <x v="0"/>
    <x v="3"/>
    <x v="0"/>
    <x v="0"/>
    <n v="42"/>
    <x v="4"/>
    <x v="6"/>
  </r>
  <r>
    <n v="86"/>
    <n v="53"/>
    <x v="0"/>
    <x v="12"/>
    <x v="3"/>
    <n v="95"/>
    <x v="35"/>
    <x v="2"/>
    <s v="Charcoal"/>
    <x v="0"/>
    <n v="4.5"/>
    <x v="0"/>
    <x v="2"/>
    <x v="0"/>
    <x v="0"/>
    <n v="2"/>
    <x v="5"/>
    <x v="4"/>
  </r>
  <r>
    <n v="87"/>
    <n v="24"/>
    <x v="0"/>
    <x v="15"/>
    <x v="0"/>
    <n v="41"/>
    <x v="22"/>
    <x v="0"/>
    <s v="Pink"/>
    <x v="1"/>
    <n v="3.7"/>
    <x v="0"/>
    <x v="4"/>
    <x v="0"/>
    <x v="0"/>
    <n v="47"/>
    <x v="1"/>
    <x v="4"/>
  </r>
  <r>
    <n v="88"/>
    <n v="52"/>
    <x v="0"/>
    <x v="9"/>
    <x v="1"/>
    <n v="53"/>
    <x v="31"/>
    <x v="2"/>
    <s v="Green"/>
    <x v="3"/>
    <n v="3.7"/>
    <x v="0"/>
    <x v="4"/>
    <x v="0"/>
    <x v="0"/>
    <n v="44"/>
    <x v="5"/>
    <x v="0"/>
  </r>
  <r>
    <n v="89"/>
    <n v="33"/>
    <x v="0"/>
    <x v="17"/>
    <x v="0"/>
    <n v="47"/>
    <x v="5"/>
    <x v="2"/>
    <s v="Orange"/>
    <x v="3"/>
    <n v="3.5"/>
    <x v="0"/>
    <x v="1"/>
    <x v="0"/>
    <x v="0"/>
    <n v="35"/>
    <x v="2"/>
    <x v="5"/>
  </r>
  <r>
    <n v="90"/>
    <n v="47"/>
    <x v="0"/>
    <x v="14"/>
    <x v="2"/>
    <n v="83"/>
    <x v="18"/>
    <x v="3"/>
    <s v="Pink"/>
    <x v="3"/>
    <n v="3.6"/>
    <x v="0"/>
    <x v="2"/>
    <x v="0"/>
    <x v="0"/>
    <n v="15"/>
    <x v="1"/>
    <x v="3"/>
  </r>
  <r>
    <n v="91"/>
    <n v="25"/>
    <x v="0"/>
    <x v="19"/>
    <x v="3"/>
    <n v="48"/>
    <x v="36"/>
    <x v="0"/>
    <s v="Violet"/>
    <x v="2"/>
    <n v="2.9"/>
    <x v="0"/>
    <x v="0"/>
    <x v="0"/>
    <x v="0"/>
    <n v="29"/>
    <x v="2"/>
    <x v="5"/>
  </r>
  <r>
    <n v="92"/>
    <n v="44"/>
    <x v="0"/>
    <x v="18"/>
    <x v="3"/>
    <n v="99"/>
    <x v="36"/>
    <x v="1"/>
    <s v="Green"/>
    <x v="0"/>
    <n v="4.5999999999999996"/>
    <x v="0"/>
    <x v="3"/>
    <x v="0"/>
    <x v="0"/>
    <n v="18"/>
    <x v="2"/>
    <x v="6"/>
  </r>
  <r>
    <n v="93"/>
    <n v="61"/>
    <x v="0"/>
    <x v="14"/>
    <x v="2"/>
    <n v="87"/>
    <x v="21"/>
    <x v="2"/>
    <s v="Olive"/>
    <x v="0"/>
    <n v="4.4000000000000004"/>
    <x v="0"/>
    <x v="4"/>
    <x v="0"/>
    <x v="0"/>
    <n v="13"/>
    <x v="0"/>
    <x v="6"/>
  </r>
  <r>
    <n v="94"/>
    <n v="37"/>
    <x v="0"/>
    <x v="1"/>
    <x v="0"/>
    <n v="62"/>
    <x v="20"/>
    <x v="2"/>
    <s v="Purple"/>
    <x v="3"/>
    <n v="4.5"/>
    <x v="0"/>
    <x v="3"/>
    <x v="0"/>
    <x v="0"/>
    <n v="46"/>
    <x v="2"/>
    <x v="1"/>
  </r>
  <r>
    <n v="95"/>
    <n v="58"/>
    <x v="0"/>
    <x v="11"/>
    <x v="0"/>
    <n v="76"/>
    <x v="22"/>
    <x v="1"/>
    <s v="Silver"/>
    <x v="1"/>
    <n v="4.5999999999999996"/>
    <x v="0"/>
    <x v="1"/>
    <x v="0"/>
    <x v="0"/>
    <n v="28"/>
    <x v="2"/>
    <x v="1"/>
  </r>
  <r>
    <n v="96"/>
    <n v="37"/>
    <x v="0"/>
    <x v="4"/>
    <x v="1"/>
    <n v="100"/>
    <x v="9"/>
    <x v="0"/>
    <s v="Pink"/>
    <x v="3"/>
    <n v="3.8"/>
    <x v="0"/>
    <x v="1"/>
    <x v="0"/>
    <x v="0"/>
    <n v="48"/>
    <x v="3"/>
    <x v="5"/>
  </r>
  <r>
    <n v="97"/>
    <n v="32"/>
    <x v="0"/>
    <x v="24"/>
    <x v="3"/>
    <n v="73"/>
    <x v="12"/>
    <x v="1"/>
    <s v="Gold"/>
    <x v="1"/>
    <n v="3.6"/>
    <x v="0"/>
    <x v="0"/>
    <x v="0"/>
    <x v="0"/>
    <n v="43"/>
    <x v="0"/>
    <x v="6"/>
  </r>
  <r>
    <n v="98"/>
    <n v="21"/>
    <x v="0"/>
    <x v="9"/>
    <x v="1"/>
    <n v="92"/>
    <x v="41"/>
    <x v="2"/>
    <s v="Teal"/>
    <x v="0"/>
    <n v="4.8"/>
    <x v="0"/>
    <x v="5"/>
    <x v="0"/>
    <x v="0"/>
    <n v="37"/>
    <x v="1"/>
    <x v="2"/>
  </r>
  <r>
    <n v="99"/>
    <n v="20"/>
    <x v="0"/>
    <x v="2"/>
    <x v="0"/>
    <n v="67"/>
    <x v="14"/>
    <x v="3"/>
    <s v="Teal"/>
    <x v="1"/>
    <n v="2.6"/>
    <x v="0"/>
    <x v="2"/>
    <x v="0"/>
    <x v="0"/>
    <n v="20"/>
    <x v="4"/>
    <x v="2"/>
  </r>
  <r>
    <n v="100"/>
    <n v="26"/>
    <x v="0"/>
    <x v="15"/>
    <x v="0"/>
    <n v="40"/>
    <x v="9"/>
    <x v="3"/>
    <s v="Indigo"/>
    <x v="2"/>
    <n v="3.7"/>
    <x v="0"/>
    <x v="0"/>
    <x v="0"/>
    <x v="0"/>
    <n v="33"/>
    <x v="5"/>
    <x v="3"/>
  </r>
  <r>
    <n v="101"/>
    <n v="62"/>
    <x v="0"/>
    <x v="12"/>
    <x v="3"/>
    <n v="98"/>
    <x v="45"/>
    <x v="2"/>
    <s v="Maroon"/>
    <x v="3"/>
    <n v="2.7"/>
    <x v="0"/>
    <x v="0"/>
    <x v="0"/>
    <x v="0"/>
    <n v="31"/>
    <x v="1"/>
    <x v="0"/>
  </r>
  <r>
    <n v="102"/>
    <n v="27"/>
    <x v="0"/>
    <x v="7"/>
    <x v="2"/>
    <n v="85"/>
    <x v="25"/>
    <x v="3"/>
    <s v="White"/>
    <x v="1"/>
    <n v="4.5999999999999996"/>
    <x v="0"/>
    <x v="0"/>
    <x v="0"/>
    <x v="0"/>
    <n v="50"/>
    <x v="2"/>
    <x v="4"/>
  </r>
  <r>
    <n v="103"/>
    <n v="51"/>
    <x v="0"/>
    <x v="20"/>
    <x v="0"/>
    <n v="67"/>
    <x v="19"/>
    <x v="0"/>
    <s v="Violet"/>
    <x v="0"/>
    <n v="4.8"/>
    <x v="0"/>
    <x v="2"/>
    <x v="0"/>
    <x v="0"/>
    <n v="35"/>
    <x v="2"/>
    <x v="3"/>
  </r>
  <r>
    <n v="104"/>
    <n v="54"/>
    <x v="0"/>
    <x v="23"/>
    <x v="1"/>
    <n v="89"/>
    <x v="8"/>
    <x v="0"/>
    <s v="Red"/>
    <x v="0"/>
    <n v="4"/>
    <x v="0"/>
    <x v="2"/>
    <x v="0"/>
    <x v="0"/>
    <n v="22"/>
    <x v="0"/>
    <x v="4"/>
  </r>
  <r>
    <n v="105"/>
    <n v="55"/>
    <x v="0"/>
    <x v="12"/>
    <x v="3"/>
    <n v="24"/>
    <x v="13"/>
    <x v="0"/>
    <s v="Pink"/>
    <x v="1"/>
    <n v="4.4000000000000004"/>
    <x v="0"/>
    <x v="4"/>
    <x v="0"/>
    <x v="0"/>
    <n v="1"/>
    <x v="3"/>
    <x v="5"/>
  </r>
  <r>
    <n v="106"/>
    <n v="69"/>
    <x v="0"/>
    <x v="21"/>
    <x v="3"/>
    <n v="96"/>
    <x v="14"/>
    <x v="2"/>
    <s v="Charcoal"/>
    <x v="3"/>
    <n v="3.6"/>
    <x v="0"/>
    <x v="2"/>
    <x v="0"/>
    <x v="0"/>
    <n v="4"/>
    <x v="4"/>
    <x v="2"/>
  </r>
  <r>
    <n v="107"/>
    <n v="64"/>
    <x v="0"/>
    <x v="14"/>
    <x v="2"/>
    <n v="35"/>
    <x v="46"/>
    <x v="0"/>
    <s v="White"/>
    <x v="2"/>
    <n v="3.7"/>
    <x v="0"/>
    <x v="3"/>
    <x v="0"/>
    <x v="0"/>
    <n v="31"/>
    <x v="2"/>
    <x v="5"/>
  </r>
  <r>
    <n v="108"/>
    <n v="28"/>
    <x v="0"/>
    <x v="4"/>
    <x v="1"/>
    <n v="67"/>
    <x v="33"/>
    <x v="0"/>
    <s v="Olive"/>
    <x v="0"/>
    <n v="3.1"/>
    <x v="0"/>
    <x v="2"/>
    <x v="0"/>
    <x v="0"/>
    <n v="46"/>
    <x v="3"/>
    <x v="0"/>
  </r>
  <r>
    <n v="109"/>
    <n v="70"/>
    <x v="0"/>
    <x v="20"/>
    <x v="0"/>
    <n v="79"/>
    <x v="6"/>
    <x v="0"/>
    <s v="Purple"/>
    <x v="1"/>
    <n v="3.4"/>
    <x v="0"/>
    <x v="2"/>
    <x v="0"/>
    <x v="0"/>
    <n v="32"/>
    <x v="4"/>
    <x v="4"/>
  </r>
  <r>
    <n v="110"/>
    <n v="58"/>
    <x v="0"/>
    <x v="17"/>
    <x v="0"/>
    <n v="85"/>
    <x v="15"/>
    <x v="2"/>
    <s v="Violet"/>
    <x v="1"/>
    <n v="2.6"/>
    <x v="0"/>
    <x v="2"/>
    <x v="0"/>
    <x v="0"/>
    <n v="43"/>
    <x v="4"/>
    <x v="0"/>
  </r>
  <r>
    <n v="111"/>
    <n v="56"/>
    <x v="0"/>
    <x v="21"/>
    <x v="3"/>
    <n v="26"/>
    <x v="14"/>
    <x v="2"/>
    <s v="Black"/>
    <x v="2"/>
    <n v="4"/>
    <x v="0"/>
    <x v="3"/>
    <x v="0"/>
    <x v="0"/>
    <n v="26"/>
    <x v="0"/>
    <x v="0"/>
  </r>
  <r>
    <n v="112"/>
    <n v="26"/>
    <x v="0"/>
    <x v="22"/>
    <x v="3"/>
    <n v="75"/>
    <x v="2"/>
    <x v="0"/>
    <s v="Purple"/>
    <x v="2"/>
    <n v="5"/>
    <x v="0"/>
    <x v="1"/>
    <x v="0"/>
    <x v="0"/>
    <n v="9"/>
    <x v="2"/>
    <x v="2"/>
  </r>
  <r>
    <n v="113"/>
    <n v="37"/>
    <x v="0"/>
    <x v="24"/>
    <x v="3"/>
    <n v="65"/>
    <x v="20"/>
    <x v="2"/>
    <s v="Red"/>
    <x v="1"/>
    <n v="4.3"/>
    <x v="0"/>
    <x v="1"/>
    <x v="0"/>
    <x v="0"/>
    <n v="28"/>
    <x v="3"/>
    <x v="4"/>
  </r>
  <r>
    <n v="114"/>
    <n v="44"/>
    <x v="0"/>
    <x v="19"/>
    <x v="3"/>
    <n v="54"/>
    <x v="32"/>
    <x v="0"/>
    <s v="Maroon"/>
    <x v="0"/>
    <n v="3.1"/>
    <x v="0"/>
    <x v="2"/>
    <x v="0"/>
    <x v="0"/>
    <n v="20"/>
    <x v="3"/>
    <x v="3"/>
  </r>
  <r>
    <n v="115"/>
    <n v="70"/>
    <x v="0"/>
    <x v="7"/>
    <x v="2"/>
    <n v="95"/>
    <x v="2"/>
    <x v="1"/>
    <s v="Blue"/>
    <x v="2"/>
    <n v="3.7"/>
    <x v="0"/>
    <x v="5"/>
    <x v="0"/>
    <x v="0"/>
    <n v="9"/>
    <x v="1"/>
    <x v="1"/>
  </r>
  <r>
    <n v="116"/>
    <n v="53"/>
    <x v="0"/>
    <x v="11"/>
    <x v="0"/>
    <n v="94"/>
    <x v="5"/>
    <x v="2"/>
    <s v="Gray"/>
    <x v="1"/>
    <n v="3.8"/>
    <x v="0"/>
    <x v="3"/>
    <x v="0"/>
    <x v="0"/>
    <n v="48"/>
    <x v="5"/>
    <x v="6"/>
  </r>
  <r>
    <n v="117"/>
    <n v="55"/>
    <x v="0"/>
    <x v="9"/>
    <x v="1"/>
    <n v="86"/>
    <x v="41"/>
    <x v="1"/>
    <s v="Blue"/>
    <x v="1"/>
    <n v="3.4"/>
    <x v="0"/>
    <x v="1"/>
    <x v="0"/>
    <x v="0"/>
    <n v="12"/>
    <x v="0"/>
    <x v="2"/>
  </r>
  <r>
    <n v="118"/>
    <n v="50"/>
    <x v="0"/>
    <x v="3"/>
    <x v="1"/>
    <n v="32"/>
    <x v="45"/>
    <x v="0"/>
    <s v="Yellow"/>
    <x v="2"/>
    <n v="4.5999999999999996"/>
    <x v="0"/>
    <x v="0"/>
    <x v="0"/>
    <x v="0"/>
    <n v="29"/>
    <x v="1"/>
    <x v="0"/>
  </r>
  <r>
    <n v="119"/>
    <n v="50"/>
    <x v="0"/>
    <x v="1"/>
    <x v="0"/>
    <n v="45"/>
    <x v="0"/>
    <x v="0"/>
    <s v="Orange"/>
    <x v="3"/>
    <n v="4.8"/>
    <x v="0"/>
    <x v="4"/>
    <x v="0"/>
    <x v="0"/>
    <n v="27"/>
    <x v="1"/>
    <x v="4"/>
  </r>
  <r>
    <n v="120"/>
    <n v="38"/>
    <x v="0"/>
    <x v="7"/>
    <x v="2"/>
    <n v="76"/>
    <x v="5"/>
    <x v="2"/>
    <s v="Orange"/>
    <x v="3"/>
    <n v="4.3"/>
    <x v="0"/>
    <x v="0"/>
    <x v="0"/>
    <x v="0"/>
    <n v="44"/>
    <x v="1"/>
    <x v="2"/>
  </r>
  <r>
    <n v="121"/>
    <n v="64"/>
    <x v="0"/>
    <x v="19"/>
    <x v="3"/>
    <n v="84"/>
    <x v="8"/>
    <x v="0"/>
    <s v="Red"/>
    <x v="2"/>
    <n v="4"/>
    <x v="0"/>
    <x v="0"/>
    <x v="0"/>
    <x v="0"/>
    <n v="32"/>
    <x v="4"/>
    <x v="2"/>
  </r>
  <r>
    <n v="122"/>
    <n v="19"/>
    <x v="0"/>
    <x v="6"/>
    <x v="0"/>
    <n v="72"/>
    <x v="41"/>
    <x v="2"/>
    <s v="Olive"/>
    <x v="0"/>
    <n v="4.2"/>
    <x v="0"/>
    <x v="3"/>
    <x v="0"/>
    <x v="0"/>
    <n v="11"/>
    <x v="1"/>
    <x v="0"/>
  </r>
  <r>
    <n v="123"/>
    <n v="40"/>
    <x v="0"/>
    <x v="21"/>
    <x v="3"/>
    <n v="40"/>
    <x v="47"/>
    <x v="0"/>
    <s v="Brown"/>
    <x v="1"/>
    <n v="4.8"/>
    <x v="0"/>
    <x v="4"/>
    <x v="0"/>
    <x v="0"/>
    <n v="44"/>
    <x v="1"/>
    <x v="0"/>
  </r>
  <r>
    <n v="124"/>
    <n v="57"/>
    <x v="0"/>
    <x v="1"/>
    <x v="0"/>
    <n v="89"/>
    <x v="7"/>
    <x v="0"/>
    <s v="Brown"/>
    <x v="3"/>
    <n v="3.1"/>
    <x v="0"/>
    <x v="1"/>
    <x v="0"/>
    <x v="0"/>
    <n v="46"/>
    <x v="1"/>
    <x v="1"/>
  </r>
  <r>
    <n v="125"/>
    <n v="44"/>
    <x v="0"/>
    <x v="1"/>
    <x v="0"/>
    <n v="86"/>
    <x v="22"/>
    <x v="2"/>
    <s v="Gray"/>
    <x v="1"/>
    <n v="3.1"/>
    <x v="0"/>
    <x v="2"/>
    <x v="0"/>
    <x v="0"/>
    <n v="50"/>
    <x v="3"/>
    <x v="2"/>
  </r>
  <r>
    <n v="126"/>
    <n v="49"/>
    <x v="0"/>
    <x v="6"/>
    <x v="0"/>
    <n v="54"/>
    <x v="18"/>
    <x v="2"/>
    <s v="Indigo"/>
    <x v="0"/>
    <n v="3.6"/>
    <x v="0"/>
    <x v="2"/>
    <x v="0"/>
    <x v="0"/>
    <n v="45"/>
    <x v="0"/>
    <x v="6"/>
  </r>
  <r>
    <n v="127"/>
    <n v="43"/>
    <x v="0"/>
    <x v="6"/>
    <x v="0"/>
    <n v="36"/>
    <x v="16"/>
    <x v="0"/>
    <s v="Pink"/>
    <x v="1"/>
    <n v="3.9"/>
    <x v="0"/>
    <x v="5"/>
    <x v="0"/>
    <x v="0"/>
    <n v="48"/>
    <x v="1"/>
    <x v="6"/>
  </r>
  <r>
    <n v="128"/>
    <n v="24"/>
    <x v="0"/>
    <x v="1"/>
    <x v="0"/>
    <n v="89"/>
    <x v="16"/>
    <x v="2"/>
    <s v="Gray"/>
    <x v="0"/>
    <n v="4.8"/>
    <x v="0"/>
    <x v="2"/>
    <x v="0"/>
    <x v="0"/>
    <n v="26"/>
    <x v="2"/>
    <x v="1"/>
  </r>
  <r>
    <n v="129"/>
    <n v="20"/>
    <x v="0"/>
    <x v="18"/>
    <x v="3"/>
    <n v="32"/>
    <x v="18"/>
    <x v="2"/>
    <s v="Gold"/>
    <x v="1"/>
    <n v="4.7"/>
    <x v="0"/>
    <x v="3"/>
    <x v="0"/>
    <x v="0"/>
    <n v="21"/>
    <x v="2"/>
    <x v="0"/>
  </r>
  <r>
    <n v="130"/>
    <n v="24"/>
    <x v="0"/>
    <x v="10"/>
    <x v="0"/>
    <n v="67"/>
    <x v="38"/>
    <x v="3"/>
    <s v="Olive"/>
    <x v="2"/>
    <n v="4.2"/>
    <x v="0"/>
    <x v="4"/>
    <x v="0"/>
    <x v="0"/>
    <n v="49"/>
    <x v="3"/>
    <x v="4"/>
  </r>
  <r>
    <n v="131"/>
    <n v="44"/>
    <x v="0"/>
    <x v="18"/>
    <x v="3"/>
    <n v="39"/>
    <x v="0"/>
    <x v="0"/>
    <s v="Violet"/>
    <x v="3"/>
    <n v="3.7"/>
    <x v="0"/>
    <x v="2"/>
    <x v="0"/>
    <x v="0"/>
    <n v="13"/>
    <x v="3"/>
    <x v="0"/>
  </r>
  <r>
    <n v="132"/>
    <n v="28"/>
    <x v="0"/>
    <x v="11"/>
    <x v="0"/>
    <n v="29"/>
    <x v="1"/>
    <x v="0"/>
    <s v="Indigo"/>
    <x v="2"/>
    <n v="3.9"/>
    <x v="0"/>
    <x v="3"/>
    <x v="0"/>
    <x v="0"/>
    <n v="46"/>
    <x v="2"/>
    <x v="1"/>
  </r>
  <r>
    <n v="133"/>
    <n v="30"/>
    <x v="0"/>
    <x v="21"/>
    <x v="3"/>
    <n v="58"/>
    <x v="35"/>
    <x v="2"/>
    <s v="Orange"/>
    <x v="3"/>
    <n v="4.7"/>
    <x v="0"/>
    <x v="4"/>
    <x v="0"/>
    <x v="0"/>
    <n v="42"/>
    <x v="3"/>
    <x v="1"/>
  </r>
  <r>
    <n v="134"/>
    <n v="52"/>
    <x v="0"/>
    <x v="1"/>
    <x v="0"/>
    <n v="65"/>
    <x v="6"/>
    <x v="2"/>
    <s v="Violet"/>
    <x v="0"/>
    <n v="2.5"/>
    <x v="0"/>
    <x v="2"/>
    <x v="0"/>
    <x v="0"/>
    <n v="25"/>
    <x v="0"/>
    <x v="2"/>
  </r>
  <r>
    <n v="135"/>
    <n v="43"/>
    <x v="0"/>
    <x v="19"/>
    <x v="3"/>
    <n v="94"/>
    <x v="21"/>
    <x v="0"/>
    <s v="Gray"/>
    <x v="3"/>
    <n v="4.9000000000000004"/>
    <x v="0"/>
    <x v="5"/>
    <x v="0"/>
    <x v="0"/>
    <n v="25"/>
    <x v="1"/>
    <x v="5"/>
  </r>
  <r>
    <n v="136"/>
    <n v="43"/>
    <x v="0"/>
    <x v="3"/>
    <x v="1"/>
    <n v="81"/>
    <x v="23"/>
    <x v="2"/>
    <s v="Purple"/>
    <x v="3"/>
    <n v="4.0999999999999996"/>
    <x v="0"/>
    <x v="0"/>
    <x v="0"/>
    <x v="0"/>
    <n v="12"/>
    <x v="3"/>
    <x v="3"/>
  </r>
  <r>
    <n v="137"/>
    <n v="39"/>
    <x v="0"/>
    <x v="0"/>
    <x v="0"/>
    <n v="86"/>
    <x v="36"/>
    <x v="2"/>
    <s v="White"/>
    <x v="0"/>
    <n v="3.3"/>
    <x v="0"/>
    <x v="1"/>
    <x v="0"/>
    <x v="0"/>
    <n v="4"/>
    <x v="5"/>
    <x v="3"/>
  </r>
  <r>
    <n v="138"/>
    <n v="68"/>
    <x v="0"/>
    <x v="4"/>
    <x v="1"/>
    <n v="43"/>
    <x v="24"/>
    <x v="2"/>
    <s v="Turquoise"/>
    <x v="1"/>
    <n v="4.7"/>
    <x v="0"/>
    <x v="1"/>
    <x v="0"/>
    <x v="0"/>
    <n v="38"/>
    <x v="3"/>
    <x v="1"/>
  </r>
  <r>
    <n v="139"/>
    <n v="68"/>
    <x v="0"/>
    <x v="11"/>
    <x v="0"/>
    <n v="29"/>
    <x v="42"/>
    <x v="2"/>
    <s v="Maroon"/>
    <x v="0"/>
    <n v="4.4000000000000004"/>
    <x v="0"/>
    <x v="5"/>
    <x v="0"/>
    <x v="0"/>
    <n v="42"/>
    <x v="4"/>
    <x v="1"/>
  </r>
  <r>
    <n v="140"/>
    <n v="49"/>
    <x v="0"/>
    <x v="7"/>
    <x v="2"/>
    <n v="95"/>
    <x v="20"/>
    <x v="2"/>
    <s v="White"/>
    <x v="3"/>
    <n v="3.8"/>
    <x v="0"/>
    <x v="5"/>
    <x v="0"/>
    <x v="0"/>
    <n v="30"/>
    <x v="0"/>
    <x v="2"/>
  </r>
  <r>
    <n v="141"/>
    <n v="63"/>
    <x v="0"/>
    <x v="5"/>
    <x v="0"/>
    <n v="28"/>
    <x v="17"/>
    <x v="0"/>
    <s v="Yellow"/>
    <x v="3"/>
    <n v="3.9"/>
    <x v="0"/>
    <x v="4"/>
    <x v="0"/>
    <x v="0"/>
    <n v="50"/>
    <x v="2"/>
    <x v="1"/>
  </r>
  <r>
    <n v="142"/>
    <n v="56"/>
    <x v="0"/>
    <x v="24"/>
    <x v="3"/>
    <n v="46"/>
    <x v="41"/>
    <x v="2"/>
    <s v="Turquoise"/>
    <x v="3"/>
    <n v="4.9000000000000004"/>
    <x v="0"/>
    <x v="1"/>
    <x v="0"/>
    <x v="0"/>
    <n v="45"/>
    <x v="3"/>
    <x v="1"/>
  </r>
  <r>
    <n v="143"/>
    <n v="37"/>
    <x v="0"/>
    <x v="14"/>
    <x v="2"/>
    <n v="58"/>
    <x v="43"/>
    <x v="0"/>
    <s v="Violet"/>
    <x v="3"/>
    <n v="3.1"/>
    <x v="0"/>
    <x v="1"/>
    <x v="0"/>
    <x v="0"/>
    <n v="33"/>
    <x v="2"/>
    <x v="0"/>
  </r>
  <r>
    <n v="144"/>
    <n v="30"/>
    <x v="0"/>
    <x v="7"/>
    <x v="2"/>
    <n v="48"/>
    <x v="9"/>
    <x v="2"/>
    <s v="Beige"/>
    <x v="3"/>
    <n v="2.7"/>
    <x v="0"/>
    <x v="5"/>
    <x v="0"/>
    <x v="0"/>
    <n v="25"/>
    <x v="3"/>
    <x v="3"/>
  </r>
  <r>
    <n v="145"/>
    <n v="19"/>
    <x v="0"/>
    <x v="9"/>
    <x v="1"/>
    <n v="43"/>
    <x v="32"/>
    <x v="2"/>
    <s v="Silver"/>
    <x v="3"/>
    <n v="3.2"/>
    <x v="0"/>
    <x v="0"/>
    <x v="0"/>
    <x v="0"/>
    <n v="25"/>
    <x v="1"/>
    <x v="5"/>
  </r>
  <r>
    <n v="146"/>
    <n v="24"/>
    <x v="0"/>
    <x v="16"/>
    <x v="3"/>
    <n v="95"/>
    <x v="9"/>
    <x v="2"/>
    <s v="Teal"/>
    <x v="3"/>
    <n v="4.5"/>
    <x v="0"/>
    <x v="3"/>
    <x v="0"/>
    <x v="0"/>
    <n v="44"/>
    <x v="5"/>
    <x v="3"/>
  </r>
  <r>
    <n v="147"/>
    <n v="52"/>
    <x v="0"/>
    <x v="11"/>
    <x v="0"/>
    <n v="30"/>
    <x v="24"/>
    <x v="1"/>
    <s v="Black"/>
    <x v="3"/>
    <n v="4"/>
    <x v="0"/>
    <x v="3"/>
    <x v="0"/>
    <x v="0"/>
    <n v="21"/>
    <x v="0"/>
    <x v="0"/>
  </r>
  <r>
    <n v="148"/>
    <n v="63"/>
    <x v="0"/>
    <x v="9"/>
    <x v="1"/>
    <n v="64"/>
    <x v="37"/>
    <x v="2"/>
    <s v="Purple"/>
    <x v="2"/>
    <n v="3.5"/>
    <x v="0"/>
    <x v="4"/>
    <x v="0"/>
    <x v="0"/>
    <n v="31"/>
    <x v="4"/>
    <x v="0"/>
  </r>
  <r>
    <n v="149"/>
    <n v="37"/>
    <x v="0"/>
    <x v="24"/>
    <x v="3"/>
    <n v="90"/>
    <x v="5"/>
    <x v="2"/>
    <s v="Gray"/>
    <x v="3"/>
    <n v="2.6"/>
    <x v="0"/>
    <x v="5"/>
    <x v="0"/>
    <x v="0"/>
    <n v="47"/>
    <x v="5"/>
    <x v="2"/>
  </r>
  <r>
    <n v="150"/>
    <n v="38"/>
    <x v="0"/>
    <x v="13"/>
    <x v="0"/>
    <n v="76"/>
    <x v="12"/>
    <x v="2"/>
    <s v="White"/>
    <x v="2"/>
    <n v="3.2"/>
    <x v="0"/>
    <x v="1"/>
    <x v="0"/>
    <x v="0"/>
    <n v="14"/>
    <x v="3"/>
    <x v="5"/>
  </r>
  <r>
    <n v="151"/>
    <n v="35"/>
    <x v="0"/>
    <x v="23"/>
    <x v="1"/>
    <n v="96"/>
    <x v="18"/>
    <x v="0"/>
    <s v="Cyan"/>
    <x v="3"/>
    <n v="4.9000000000000004"/>
    <x v="0"/>
    <x v="3"/>
    <x v="0"/>
    <x v="0"/>
    <n v="17"/>
    <x v="5"/>
    <x v="6"/>
  </r>
  <r>
    <n v="152"/>
    <n v="28"/>
    <x v="0"/>
    <x v="12"/>
    <x v="3"/>
    <n v="47"/>
    <x v="25"/>
    <x v="0"/>
    <s v="Turquoise"/>
    <x v="3"/>
    <n v="4.5"/>
    <x v="0"/>
    <x v="2"/>
    <x v="0"/>
    <x v="0"/>
    <n v="3"/>
    <x v="0"/>
    <x v="2"/>
  </r>
  <r>
    <n v="153"/>
    <n v="30"/>
    <x v="0"/>
    <x v="5"/>
    <x v="0"/>
    <n v="85"/>
    <x v="36"/>
    <x v="1"/>
    <s v="Brown"/>
    <x v="2"/>
    <n v="4.3"/>
    <x v="0"/>
    <x v="0"/>
    <x v="0"/>
    <x v="0"/>
    <n v="42"/>
    <x v="0"/>
    <x v="2"/>
  </r>
  <r>
    <n v="154"/>
    <n v="69"/>
    <x v="0"/>
    <x v="15"/>
    <x v="0"/>
    <n v="55"/>
    <x v="17"/>
    <x v="2"/>
    <s v="Maroon"/>
    <x v="0"/>
    <n v="3.2"/>
    <x v="0"/>
    <x v="3"/>
    <x v="0"/>
    <x v="0"/>
    <n v="22"/>
    <x v="5"/>
    <x v="2"/>
  </r>
  <r>
    <n v="155"/>
    <n v="41"/>
    <x v="0"/>
    <x v="10"/>
    <x v="0"/>
    <n v="98"/>
    <x v="19"/>
    <x v="2"/>
    <s v="Charcoal"/>
    <x v="3"/>
    <n v="3.6"/>
    <x v="0"/>
    <x v="2"/>
    <x v="0"/>
    <x v="0"/>
    <n v="21"/>
    <x v="0"/>
    <x v="3"/>
  </r>
  <r>
    <n v="156"/>
    <n v="63"/>
    <x v="0"/>
    <x v="20"/>
    <x v="0"/>
    <n v="77"/>
    <x v="1"/>
    <x v="1"/>
    <s v="Olive"/>
    <x v="1"/>
    <n v="4.3"/>
    <x v="0"/>
    <x v="1"/>
    <x v="0"/>
    <x v="0"/>
    <n v="21"/>
    <x v="4"/>
    <x v="3"/>
  </r>
  <r>
    <n v="157"/>
    <n v="35"/>
    <x v="0"/>
    <x v="6"/>
    <x v="0"/>
    <n v="26"/>
    <x v="9"/>
    <x v="2"/>
    <s v="Lavender"/>
    <x v="3"/>
    <n v="4"/>
    <x v="0"/>
    <x v="3"/>
    <x v="0"/>
    <x v="0"/>
    <n v="40"/>
    <x v="5"/>
    <x v="2"/>
  </r>
  <r>
    <n v="158"/>
    <n v="36"/>
    <x v="0"/>
    <x v="19"/>
    <x v="3"/>
    <n v="68"/>
    <x v="34"/>
    <x v="1"/>
    <s v="Yellow"/>
    <x v="3"/>
    <n v="3"/>
    <x v="0"/>
    <x v="2"/>
    <x v="0"/>
    <x v="0"/>
    <n v="1"/>
    <x v="4"/>
    <x v="0"/>
  </r>
  <r>
    <n v="159"/>
    <n v="25"/>
    <x v="0"/>
    <x v="5"/>
    <x v="0"/>
    <n v="73"/>
    <x v="39"/>
    <x v="3"/>
    <s v="Teal"/>
    <x v="3"/>
    <n v="4.0999999999999996"/>
    <x v="0"/>
    <x v="3"/>
    <x v="0"/>
    <x v="0"/>
    <n v="50"/>
    <x v="4"/>
    <x v="5"/>
  </r>
  <r>
    <n v="160"/>
    <n v="58"/>
    <x v="0"/>
    <x v="24"/>
    <x v="3"/>
    <n v="27"/>
    <x v="13"/>
    <x v="2"/>
    <s v="Charcoal"/>
    <x v="3"/>
    <n v="3.8"/>
    <x v="0"/>
    <x v="5"/>
    <x v="0"/>
    <x v="0"/>
    <n v="39"/>
    <x v="4"/>
    <x v="6"/>
  </r>
  <r>
    <n v="161"/>
    <n v="27"/>
    <x v="0"/>
    <x v="24"/>
    <x v="3"/>
    <n v="23"/>
    <x v="21"/>
    <x v="2"/>
    <s v="Orange"/>
    <x v="2"/>
    <n v="4.5999999999999996"/>
    <x v="0"/>
    <x v="1"/>
    <x v="0"/>
    <x v="0"/>
    <n v="34"/>
    <x v="0"/>
    <x v="5"/>
  </r>
  <r>
    <n v="162"/>
    <n v="65"/>
    <x v="0"/>
    <x v="21"/>
    <x v="3"/>
    <n v="49"/>
    <x v="25"/>
    <x v="2"/>
    <s v="Olive"/>
    <x v="3"/>
    <n v="3"/>
    <x v="0"/>
    <x v="0"/>
    <x v="0"/>
    <x v="0"/>
    <n v="29"/>
    <x v="0"/>
    <x v="0"/>
  </r>
  <r>
    <n v="163"/>
    <n v="54"/>
    <x v="0"/>
    <x v="12"/>
    <x v="3"/>
    <n v="74"/>
    <x v="18"/>
    <x v="2"/>
    <s v="Turquoise"/>
    <x v="2"/>
    <n v="3"/>
    <x v="0"/>
    <x v="5"/>
    <x v="0"/>
    <x v="0"/>
    <n v="31"/>
    <x v="3"/>
    <x v="4"/>
  </r>
  <r>
    <n v="164"/>
    <n v="54"/>
    <x v="0"/>
    <x v="11"/>
    <x v="0"/>
    <n v="67"/>
    <x v="41"/>
    <x v="2"/>
    <s v="Purple"/>
    <x v="2"/>
    <n v="3.4"/>
    <x v="0"/>
    <x v="3"/>
    <x v="0"/>
    <x v="0"/>
    <n v="8"/>
    <x v="5"/>
    <x v="1"/>
  </r>
  <r>
    <n v="165"/>
    <n v="59"/>
    <x v="0"/>
    <x v="8"/>
    <x v="3"/>
    <n v="65"/>
    <x v="12"/>
    <x v="1"/>
    <s v="Purple"/>
    <x v="1"/>
    <n v="2.6"/>
    <x v="0"/>
    <x v="1"/>
    <x v="0"/>
    <x v="0"/>
    <n v="5"/>
    <x v="2"/>
    <x v="0"/>
  </r>
  <r>
    <n v="166"/>
    <n v="42"/>
    <x v="0"/>
    <x v="8"/>
    <x v="3"/>
    <n v="60"/>
    <x v="0"/>
    <x v="1"/>
    <s v="Yellow"/>
    <x v="0"/>
    <n v="2.8"/>
    <x v="0"/>
    <x v="5"/>
    <x v="0"/>
    <x v="0"/>
    <n v="7"/>
    <x v="1"/>
    <x v="5"/>
  </r>
  <r>
    <n v="167"/>
    <n v="46"/>
    <x v="0"/>
    <x v="4"/>
    <x v="1"/>
    <n v="31"/>
    <x v="12"/>
    <x v="3"/>
    <s v="Indigo"/>
    <x v="3"/>
    <n v="4"/>
    <x v="0"/>
    <x v="5"/>
    <x v="0"/>
    <x v="0"/>
    <n v="30"/>
    <x v="1"/>
    <x v="5"/>
  </r>
  <r>
    <n v="168"/>
    <n v="33"/>
    <x v="0"/>
    <x v="24"/>
    <x v="3"/>
    <n v="27"/>
    <x v="10"/>
    <x v="2"/>
    <s v="Green"/>
    <x v="3"/>
    <n v="4"/>
    <x v="0"/>
    <x v="0"/>
    <x v="0"/>
    <x v="0"/>
    <n v="14"/>
    <x v="2"/>
    <x v="6"/>
  </r>
  <r>
    <n v="169"/>
    <n v="34"/>
    <x v="0"/>
    <x v="9"/>
    <x v="1"/>
    <n v="80"/>
    <x v="7"/>
    <x v="2"/>
    <s v="Magenta"/>
    <x v="2"/>
    <n v="3"/>
    <x v="0"/>
    <x v="0"/>
    <x v="0"/>
    <x v="0"/>
    <n v="5"/>
    <x v="1"/>
    <x v="0"/>
  </r>
  <r>
    <n v="170"/>
    <n v="27"/>
    <x v="0"/>
    <x v="14"/>
    <x v="2"/>
    <n v="30"/>
    <x v="22"/>
    <x v="1"/>
    <s v="Gold"/>
    <x v="2"/>
    <n v="3.3"/>
    <x v="0"/>
    <x v="3"/>
    <x v="0"/>
    <x v="0"/>
    <n v="3"/>
    <x v="3"/>
    <x v="6"/>
  </r>
  <r>
    <n v="171"/>
    <n v="52"/>
    <x v="0"/>
    <x v="5"/>
    <x v="0"/>
    <n v="25"/>
    <x v="5"/>
    <x v="2"/>
    <s v="Maroon"/>
    <x v="3"/>
    <n v="2.6"/>
    <x v="0"/>
    <x v="5"/>
    <x v="0"/>
    <x v="0"/>
    <n v="46"/>
    <x v="0"/>
    <x v="4"/>
  </r>
  <r>
    <n v="172"/>
    <n v="29"/>
    <x v="0"/>
    <x v="6"/>
    <x v="0"/>
    <n v="35"/>
    <x v="41"/>
    <x v="2"/>
    <s v="Blue"/>
    <x v="2"/>
    <n v="3.6"/>
    <x v="0"/>
    <x v="5"/>
    <x v="0"/>
    <x v="0"/>
    <n v="4"/>
    <x v="2"/>
    <x v="1"/>
  </r>
  <r>
    <n v="173"/>
    <n v="54"/>
    <x v="0"/>
    <x v="16"/>
    <x v="3"/>
    <n v="67"/>
    <x v="43"/>
    <x v="2"/>
    <s v="Violet"/>
    <x v="2"/>
    <n v="3.9"/>
    <x v="0"/>
    <x v="2"/>
    <x v="0"/>
    <x v="0"/>
    <n v="42"/>
    <x v="2"/>
    <x v="4"/>
  </r>
  <r>
    <n v="174"/>
    <n v="25"/>
    <x v="0"/>
    <x v="19"/>
    <x v="3"/>
    <n v="46"/>
    <x v="11"/>
    <x v="2"/>
    <s v="Turquoise"/>
    <x v="3"/>
    <n v="3.4"/>
    <x v="0"/>
    <x v="3"/>
    <x v="0"/>
    <x v="0"/>
    <n v="30"/>
    <x v="1"/>
    <x v="2"/>
  </r>
  <r>
    <n v="175"/>
    <n v="41"/>
    <x v="0"/>
    <x v="9"/>
    <x v="1"/>
    <n v="35"/>
    <x v="34"/>
    <x v="0"/>
    <s v="Brown"/>
    <x v="0"/>
    <n v="3.5"/>
    <x v="0"/>
    <x v="0"/>
    <x v="0"/>
    <x v="0"/>
    <n v="37"/>
    <x v="0"/>
    <x v="2"/>
  </r>
  <r>
    <n v="176"/>
    <n v="53"/>
    <x v="0"/>
    <x v="7"/>
    <x v="2"/>
    <n v="86"/>
    <x v="19"/>
    <x v="0"/>
    <s v="Violet"/>
    <x v="3"/>
    <n v="2.8"/>
    <x v="0"/>
    <x v="2"/>
    <x v="0"/>
    <x v="0"/>
    <n v="2"/>
    <x v="4"/>
    <x v="2"/>
  </r>
  <r>
    <n v="177"/>
    <n v="53"/>
    <x v="0"/>
    <x v="21"/>
    <x v="3"/>
    <n v="81"/>
    <x v="13"/>
    <x v="0"/>
    <s v="Black"/>
    <x v="1"/>
    <n v="2.7"/>
    <x v="0"/>
    <x v="2"/>
    <x v="0"/>
    <x v="0"/>
    <n v="30"/>
    <x v="2"/>
    <x v="3"/>
  </r>
  <r>
    <n v="178"/>
    <n v="21"/>
    <x v="0"/>
    <x v="15"/>
    <x v="0"/>
    <n v="42"/>
    <x v="23"/>
    <x v="0"/>
    <s v="Magenta"/>
    <x v="3"/>
    <n v="3.7"/>
    <x v="0"/>
    <x v="2"/>
    <x v="0"/>
    <x v="0"/>
    <n v="47"/>
    <x v="4"/>
    <x v="5"/>
  </r>
  <r>
    <n v="179"/>
    <n v="61"/>
    <x v="0"/>
    <x v="11"/>
    <x v="0"/>
    <n v="43"/>
    <x v="37"/>
    <x v="0"/>
    <s v="Lavender"/>
    <x v="3"/>
    <n v="4.3"/>
    <x v="0"/>
    <x v="4"/>
    <x v="0"/>
    <x v="0"/>
    <n v="21"/>
    <x v="3"/>
    <x v="3"/>
  </r>
  <r>
    <n v="180"/>
    <n v="64"/>
    <x v="0"/>
    <x v="23"/>
    <x v="1"/>
    <n v="31"/>
    <x v="26"/>
    <x v="2"/>
    <s v="Violet"/>
    <x v="3"/>
    <n v="4.9000000000000004"/>
    <x v="0"/>
    <x v="5"/>
    <x v="0"/>
    <x v="0"/>
    <n v="9"/>
    <x v="4"/>
    <x v="0"/>
  </r>
  <r>
    <n v="181"/>
    <n v="51"/>
    <x v="0"/>
    <x v="3"/>
    <x v="1"/>
    <n v="81"/>
    <x v="45"/>
    <x v="0"/>
    <s v="Green"/>
    <x v="3"/>
    <n v="3.3"/>
    <x v="0"/>
    <x v="5"/>
    <x v="0"/>
    <x v="0"/>
    <n v="12"/>
    <x v="5"/>
    <x v="0"/>
  </r>
  <r>
    <n v="182"/>
    <n v="32"/>
    <x v="0"/>
    <x v="13"/>
    <x v="0"/>
    <n v="61"/>
    <x v="2"/>
    <x v="2"/>
    <s v="Beige"/>
    <x v="2"/>
    <n v="4.7"/>
    <x v="0"/>
    <x v="2"/>
    <x v="0"/>
    <x v="0"/>
    <n v="4"/>
    <x v="4"/>
    <x v="1"/>
  </r>
  <r>
    <n v="183"/>
    <n v="38"/>
    <x v="0"/>
    <x v="24"/>
    <x v="3"/>
    <n v="96"/>
    <x v="15"/>
    <x v="3"/>
    <s v="Purple"/>
    <x v="2"/>
    <n v="2.8"/>
    <x v="0"/>
    <x v="5"/>
    <x v="0"/>
    <x v="0"/>
    <n v="10"/>
    <x v="5"/>
    <x v="2"/>
  </r>
  <r>
    <n v="184"/>
    <n v="58"/>
    <x v="0"/>
    <x v="11"/>
    <x v="0"/>
    <n v="29"/>
    <x v="31"/>
    <x v="3"/>
    <s v="Beige"/>
    <x v="1"/>
    <n v="3.6"/>
    <x v="0"/>
    <x v="4"/>
    <x v="0"/>
    <x v="0"/>
    <n v="26"/>
    <x v="2"/>
    <x v="1"/>
  </r>
  <r>
    <n v="185"/>
    <n v="32"/>
    <x v="0"/>
    <x v="4"/>
    <x v="1"/>
    <n v="33"/>
    <x v="11"/>
    <x v="0"/>
    <s v="Cyan"/>
    <x v="1"/>
    <n v="3"/>
    <x v="0"/>
    <x v="0"/>
    <x v="0"/>
    <x v="0"/>
    <n v="40"/>
    <x v="1"/>
    <x v="0"/>
  </r>
  <r>
    <n v="186"/>
    <n v="46"/>
    <x v="0"/>
    <x v="17"/>
    <x v="0"/>
    <n v="32"/>
    <x v="48"/>
    <x v="3"/>
    <s v="Silver"/>
    <x v="2"/>
    <n v="4.5"/>
    <x v="0"/>
    <x v="5"/>
    <x v="0"/>
    <x v="0"/>
    <n v="34"/>
    <x v="4"/>
    <x v="0"/>
  </r>
  <r>
    <n v="187"/>
    <n v="39"/>
    <x v="0"/>
    <x v="21"/>
    <x v="3"/>
    <n v="56"/>
    <x v="46"/>
    <x v="1"/>
    <s v="Lavender"/>
    <x v="2"/>
    <n v="2.9"/>
    <x v="0"/>
    <x v="3"/>
    <x v="0"/>
    <x v="0"/>
    <n v="31"/>
    <x v="5"/>
    <x v="2"/>
  </r>
  <r>
    <n v="188"/>
    <n v="19"/>
    <x v="0"/>
    <x v="9"/>
    <x v="1"/>
    <n v="94"/>
    <x v="42"/>
    <x v="1"/>
    <s v="Purple"/>
    <x v="1"/>
    <n v="3.3"/>
    <x v="0"/>
    <x v="5"/>
    <x v="0"/>
    <x v="0"/>
    <n v="1"/>
    <x v="4"/>
    <x v="4"/>
  </r>
  <r>
    <n v="189"/>
    <n v="50"/>
    <x v="0"/>
    <x v="15"/>
    <x v="0"/>
    <n v="53"/>
    <x v="10"/>
    <x v="2"/>
    <s v="Pink"/>
    <x v="1"/>
    <n v="3.1"/>
    <x v="0"/>
    <x v="0"/>
    <x v="0"/>
    <x v="0"/>
    <n v="5"/>
    <x v="4"/>
    <x v="4"/>
  </r>
  <r>
    <n v="190"/>
    <n v="36"/>
    <x v="0"/>
    <x v="0"/>
    <x v="0"/>
    <n v="82"/>
    <x v="8"/>
    <x v="2"/>
    <s v="Maroon"/>
    <x v="3"/>
    <n v="4.4000000000000004"/>
    <x v="0"/>
    <x v="2"/>
    <x v="0"/>
    <x v="0"/>
    <n v="4"/>
    <x v="2"/>
    <x v="1"/>
  </r>
  <r>
    <n v="191"/>
    <n v="65"/>
    <x v="0"/>
    <x v="7"/>
    <x v="2"/>
    <n v="70"/>
    <x v="27"/>
    <x v="3"/>
    <s v="Beige"/>
    <x v="3"/>
    <n v="3"/>
    <x v="0"/>
    <x v="1"/>
    <x v="0"/>
    <x v="0"/>
    <n v="48"/>
    <x v="0"/>
    <x v="3"/>
  </r>
  <r>
    <n v="192"/>
    <n v="64"/>
    <x v="0"/>
    <x v="19"/>
    <x v="3"/>
    <n v="76"/>
    <x v="40"/>
    <x v="2"/>
    <s v="Gray"/>
    <x v="3"/>
    <n v="3.9"/>
    <x v="0"/>
    <x v="1"/>
    <x v="0"/>
    <x v="0"/>
    <n v="29"/>
    <x v="1"/>
    <x v="6"/>
  </r>
  <r>
    <n v="193"/>
    <n v="46"/>
    <x v="0"/>
    <x v="9"/>
    <x v="1"/>
    <n v="29"/>
    <x v="43"/>
    <x v="0"/>
    <s v="Turquoise"/>
    <x v="2"/>
    <n v="2.9"/>
    <x v="0"/>
    <x v="0"/>
    <x v="0"/>
    <x v="0"/>
    <n v="12"/>
    <x v="3"/>
    <x v="4"/>
  </r>
  <r>
    <n v="194"/>
    <n v="36"/>
    <x v="0"/>
    <x v="22"/>
    <x v="3"/>
    <n v="100"/>
    <x v="25"/>
    <x v="1"/>
    <s v="Silver"/>
    <x v="3"/>
    <n v="3"/>
    <x v="0"/>
    <x v="3"/>
    <x v="0"/>
    <x v="0"/>
    <n v="29"/>
    <x v="0"/>
    <x v="2"/>
  </r>
  <r>
    <n v="195"/>
    <n v="51"/>
    <x v="0"/>
    <x v="21"/>
    <x v="3"/>
    <n v="94"/>
    <x v="9"/>
    <x v="2"/>
    <s v="Olive"/>
    <x v="1"/>
    <n v="3.1"/>
    <x v="0"/>
    <x v="0"/>
    <x v="0"/>
    <x v="0"/>
    <n v="15"/>
    <x v="5"/>
    <x v="3"/>
  </r>
  <r>
    <n v="196"/>
    <n v="51"/>
    <x v="0"/>
    <x v="14"/>
    <x v="2"/>
    <n v="25"/>
    <x v="14"/>
    <x v="2"/>
    <s v="Magenta"/>
    <x v="3"/>
    <n v="4.3"/>
    <x v="0"/>
    <x v="1"/>
    <x v="0"/>
    <x v="0"/>
    <n v="34"/>
    <x v="2"/>
    <x v="5"/>
  </r>
  <r>
    <n v="197"/>
    <n v="38"/>
    <x v="0"/>
    <x v="23"/>
    <x v="1"/>
    <n v="88"/>
    <x v="47"/>
    <x v="2"/>
    <s v="Lavender"/>
    <x v="2"/>
    <n v="3.9"/>
    <x v="0"/>
    <x v="2"/>
    <x v="0"/>
    <x v="0"/>
    <n v="41"/>
    <x v="2"/>
    <x v="0"/>
  </r>
  <r>
    <n v="198"/>
    <n v="59"/>
    <x v="0"/>
    <x v="18"/>
    <x v="3"/>
    <n v="78"/>
    <x v="36"/>
    <x v="2"/>
    <s v="Black"/>
    <x v="3"/>
    <n v="3.2"/>
    <x v="0"/>
    <x v="4"/>
    <x v="0"/>
    <x v="0"/>
    <n v="41"/>
    <x v="2"/>
    <x v="5"/>
  </r>
  <r>
    <n v="199"/>
    <n v="57"/>
    <x v="0"/>
    <x v="16"/>
    <x v="3"/>
    <n v="45"/>
    <x v="40"/>
    <x v="2"/>
    <s v="Turquoise"/>
    <x v="0"/>
    <n v="4.8"/>
    <x v="0"/>
    <x v="3"/>
    <x v="0"/>
    <x v="0"/>
    <n v="39"/>
    <x v="2"/>
    <x v="0"/>
  </r>
  <r>
    <n v="200"/>
    <n v="54"/>
    <x v="0"/>
    <x v="19"/>
    <x v="3"/>
    <n v="73"/>
    <x v="37"/>
    <x v="3"/>
    <s v="Green"/>
    <x v="2"/>
    <n v="3.8"/>
    <x v="0"/>
    <x v="0"/>
    <x v="0"/>
    <x v="0"/>
    <n v="32"/>
    <x v="1"/>
    <x v="1"/>
  </r>
  <r>
    <n v="201"/>
    <n v="25"/>
    <x v="0"/>
    <x v="10"/>
    <x v="0"/>
    <n v="61"/>
    <x v="38"/>
    <x v="1"/>
    <s v="Teal"/>
    <x v="2"/>
    <n v="3.3"/>
    <x v="0"/>
    <x v="2"/>
    <x v="0"/>
    <x v="0"/>
    <n v="29"/>
    <x v="0"/>
    <x v="5"/>
  </r>
  <r>
    <n v="202"/>
    <n v="69"/>
    <x v="0"/>
    <x v="0"/>
    <x v="0"/>
    <n v="22"/>
    <x v="9"/>
    <x v="1"/>
    <s v="Beige"/>
    <x v="3"/>
    <n v="4.3"/>
    <x v="0"/>
    <x v="1"/>
    <x v="0"/>
    <x v="0"/>
    <n v="15"/>
    <x v="4"/>
    <x v="2"/>
  </r>
  <r>
    <n v="203"/>
    <n v="57"/>
    <x v="0"/>
    <x v="19"/>
    <x v="3"/>
    <n v="38"/>
    <x v="43"/>
    <x v="0"/>
    <s v="Magenta"/>
    <x v="1"/>
    <n v="2.7"/>
    <x v="0"/>
    <x v="0"/>
    <x v="0"/>
    <x v="0"/>
    <n v="33"/>
    <x v="0"/>
    <x v="2"/>
  </r>
  <r>
    <n v="204"/>
    <n v="70"/>
    <x v="0"/>
    <x v="18"/>
    <x v="3"/>
    <n v="38"/>
    <x v="27"/>
    <x v="1"/>
    <s v="Yellow"/>
    <x v="3"/>
    <n v="3.2"/>
    <x v="0"/>
    <x v="2"/>
    <x v="0"/>
    <x v="0"/>
    <n v="18"/>
    <x v="4"/>
    <x v="1"/>
  </r>
  <r>
    <n v="205"/>
    <n v="24"/>
    <x v="0"/>
    <x v="4"/>
    <x v="1"/>
    <n v="100"/>
    <x v="28"/>
    <x v="2"/>
    <s v="Yellow"/>
    <x v="3"/>
    <n v="4"/>
    <x v="0"/>
    <x v="5"/>
    <x v="0"/>
    <x v="0"/>
    <n v="35"/>
    <x v="1"/>
    <x v="4"/>
  </r>
  <r>
    <n v="206"/>
    <n v="67"/>
    <x v="0"/>
    <x v="5"/>
    <x v="0"/>
    <n v="64"/>
    <x v="11"/>
    <x v="2"/>
    <s v="Silver"/>
    <x v="0"/>
    <n v="3"/>
    <x v="0"/>
    <x v="3"/>
    <x v="0"/>
    <x v="0"/>
    <n v="25"/>
    <x v="3"/>
    <x v="1"/>
  </r>
  <r>
    <n v="207"/>
    <n v="24"/>
    <x v="0"/>
    <x v="17"/>
    <x v="0"/>
    <n v="55"/>
    <x v="48"/>
    <x v="0"/>
    <s v="Silver"/>
    <x v="2"/>
    <n v="4.2"/>
    <x v="0"/>
    <x v="1"/>
    <x v="0"/>
    <x v="0"/>
    <n v="6"/>
    <x v="0"/>
    <x v="0"/>
  </r>
  <r>
    <n v="208"/>
    <n v="62"/>
    <x v="0"/>
    <x v="24"/>
    <x v="3"/>
    <n v="91"/>
    <x v="3"/>
    <x v="2"/>
    <s v="Silver"/>
    <x v="2"/>
    <n v="2.9"/>
    <x v="0"/>
    <x v="0"/>
    <x v="0"/>
    <x v="0"/>
    <n v="17"/>
    <x v="4"/>
    <x v="4"/>
  </r>
  <r>
    <n v="209"/>
    <n v="57"/>
    <x v="0"/>
    <x v="11"/>
    <x v="0"/>
    <n v="38"/>
    <x v="48"/>
    <x v="2"/>
    <s v="Gold"/>
    <x v="1"/>
    <n v="4.0999999999999996"/>
    <x v="0"/>
    <x v="5"/>
    <x v="0"/>
    <x v="0"/>
    <n v="17"/>
    <x v="2"/>
    <x v="5"/>
  </r>
  <r>
    <n v="210"/>
    <n v="55"/>
    <x v="0"/>
    <x v="3"/>
    <x v="1"/>
    <n v="97"/>
    <x v="46"/>
    <x v="1"/>
    <s v="Olive"/>
    <x v="0"/>
    <n v="3.2"/>
    <x v="0"/>
    <x v="5"/>
    <x v="0"/>
    <x v="0"/>
    <n v="44"/>
    <x v="1"/>
    <x v="6"/>
  </r>
  <r>
    <n v="211"/>
    <n v="45"/>
    <x v="0"/>
    <x v="14"/>
    <x v="2"/>
    <n v="22"/>
    <x v="34"/>
    <x v="0"/>
    <s v="Teal"/>
    <x v="3"/>
    <n v="3"/>
    <x v="0"/>
    <x v="4"/>
    <x v="0"/>
    <x v="0"/>
    <n v="6"/>
    <x v="3"/>
    <x v="0"/>
  </r>
  <r>
    <n v="212"/>
    <n v="69"/>
    <x v="0"/>
    <x v="11"/>
    <x v="0"/>
    <n v="92"/>
    <x v="45"/>
    <x v="0"/>
    <s v="Maroon"/>
    <x v="3"/>
    <n v="4.2"/>
    <x v="0"/>
    <x v="4"/>
    <x v="0"/>
    <x v="0"/>
    <n v="45"/>
    <x v="5"/>
    <x v="0"/>
  </r>
  <r>
    <n v="213"/>
    <n v="67"/>
    <x v="0"/>
    <x v="8"/>
    <x v="3"/>
    <n v="84"/>
    <x v="41"/>
    <x v="0"/>
    <s v="Blue"/>
    <x v="3"/>
    <n v="4.2"/>
    <x v="0"/>
    <x v="0"/>
    <x v="0"/>
    <x v="0"/>
    <n v="7"/>
    <x v="5"/>
    <x v="2"/>
  </r>
  <r>
    <n v="214"/>
    <n v="30"/>
    <x v="0"/>
    <x v="8"/>
    <x v="3"/>
    <n v="93"/>
    <x v="22"/>
    <x v="0"/>
    <s v="Peach"/>
    <x v="3"/>
    <n v="4.4000000000000004"/>
    <x v="0"/>
    <x v="5"/>
    <x v="0"/>
    <x v="0"/>
    <n v="11"/>
    <x v="5"/>
    <x v="6"/>
  </r>
  <r>
    <n v="215"/>
    <n v="24"/>
    <x v="0"/>
    <x v="14"/>
    <x v="2"/>
    <n v="50"/>
    <x v="11"/>
    <x v="0"/>
    <s v="Blue"/>
    <x v="2"/>
    <n v="4.2"/>
    <x v="0"/>
    <x v="2"/>
    <x v="0"/>
    <x v="0"/>
    <n v="41"/>
    <x v="1"/>
    <x v="6"/>
  </r>
  <r>
    <n v="216"/>
    <n v="62"/>
    <x v="0"/>
    <x v="18"/>
    <x v="3"/>
    <n v="64"/>
    <x v="32"/>
    <x v="1"/>
    <s v="Orange"/>
    <x v="1"/>
    <n v="2.8"/>
    <x v="0"/>
    <x v="4"/>
    <x v="0"/>
    <x v="0"/>
    <n v="24"/>
    <x v="3"/>
    <x v="4"/>
  </r>
  <r>
    <n v="217"/>
    <n v="43"/>
    <x v="0"/>
    <x v="6"/>
    <x v="0"/>
    <n v="61"/>
    <x v="2"/>
    <x v="0"/>
    <s v="Yellow"/>
    <x v="1"/>
    <n v="3.7"/>
    <x v="0"/>
    <x v="1"/>
    <x v="0"/>
    <x v="0"/>
    <n v="21"/>
    <x v="0"/>
    <x v="1"/>
  </r>
  <r>
    <n v="218"/>
    <n v="35"/>
    <x v="0"/>
    <x v="12"/>
    <x v="3"/>
    <n v="48"/>
    <x v="19"/>
    <x v="2"/>
    <s v="Purple"/>
    <x v="0"/>
    <n v="3.5"/>
    <x v="0"/>
    <x v="2"/>
    <x v="0"/>
    <x v="0"/>
    <n v="24"/>
    <x v="4"/>
    <x v="2"/>
  </r>
  <r>
    <n v="219"/>
    <n v="28"/>
    <x v="0"/>
    <x v="17"/>
    <x v="0"/>
    <n v="45"/>
    <x v="18"/>
    <x v="1"/>
    <s v="Magenta"/>
    <x v="1"/>
    <n v="2.9"/>
    <x v="0"/>
    <x v="5"/>
    <x v="0"/>
    <x v="0"/>
    <n v="8"/>
    <x v="2"/>
    <x v="3"/>
  </r>
  <r>
    <n v="220"/>
    <n v="32"/>
    <x v="0"/>
    <x v="22"/>
    <x v="3"/>
    <n v="88"/>
    <x v="22"/>
    <x v="2"/>
    <s v="Cyan"/>
    <x v="1"/>
    <n v="3"/>
    <x v="0"/>
    <x v="1"/>
    <x v="0"/>
    <x v="0"/>
    <n v="12"/>
    <x v="1"/>
    <x v="0"/>
  </r>
  <r>
    <n v="221"/>
    <n v="39"/>
    <x v="0"/>
    <x v="4"/>
    <x v="1"/>
    <n v="57"/>
    <x v="28"/>
    <x v="1"/>
    <s v="Indigo"/>
    <x v="1"/>
    <n v="3.7"/>
    <x v="0"/>
    <x v="0"/>
    <x v="0"/>
    <x v="0"/>
    <n v="48"/>
    <x v="5"/>
    <x v="0"/>
  </r>
  <r>
    <n v="222"/>
    <n v="28"/>
    <x v="0"/>
    <x v="19"/>
    <x v="3"/>
    <n v="68"/>
    <x v="17"/>
    <x v="3"/>
    <s v="Magenta"/>
    <x v="2"/>
    <n v="4.4000000000000004"/>
    <x v="0"/>
    <x v="5"/>
    <x v="0"/>
    <x v="0"/>
    <n v="6"/>
    <x v="4"/>
    <x v="3"/>
  </r>
  <r>
    <n v="223"/>
    <n v="47"/>
    <x v="0"/>
    <x v="24"/>
    <x v="3"/>
    <n v="94"/>
    <x v="14"/>
    <x v="3"/>
    <s v="Gray"/>
    <x v="1"/>
    <n v="4.5"/>
    <x v="0"/>
    <x v="4"/>
    <x v="0"/>
    <x v="0"/>
    <n v="14"/>
    <x v="3"/>
    <x v="0"/>
  </r>
  <r>
    <n v="224"/>
    <n v="20"/>
    <x v="0"/>
    <x v="13"/>
    <x v="0"/>
    <n v="41"/>
    <x v="5"/>
    <x v="2"/>
    <s v="Turquoise"/>
    <x v="1"/>
    <n v="4.8"/>
    <x v="0"/>
    <x v="1"/>
    <x v="0"/>
    <x v="0"/>
    <n v="34"/>
    <x v="3"/>
    <x v="2"/>
  </r>
  <r>
    <n v="225"/>
    <n v="63"/>
    <x v="0"/>
    <x v="20"/>
    <x v="0"/>
    <n v="83"/>
    <x v="45"/>
    <x v="1"/>
    <s v="Beige"/>
    <x v="2"/>
    <n v="2.9"/>
    <x v="0"/>
    <x v="1"/>
    <x v="0"/>
    <x v="0"/>
    <n v="12"/>
    <x v="1"/>
    <x v="6"/>
  </r>
  <r>
    <n v="226"/>
    <n v="25"/>
    <x v="0"/>
    <x v="14"/>
    <x v="2"/>
    <n v="22"/>
    <x v="10"/>
    <x v="2"/>
    <s v="Olive"/>
    <x v="1"/>
    <n v="3.2"/>
    <x v="0"/>
    <x v="2"/>
    <x v="0"/>
    <x v="0"/>
    <n v="11"/>
    <x v="4"/>
    <x v="2"/>
  </r>
  <r>
    <n v="227"/>
    <n v="29"/>
    <x v="0"/>
    <x v="9"/>
    <x v="1"/>
    <n v="74"/>
    <x v="21"/>
    <x v="0"/>
    <s v="Violet"/>
    <x v="1"/>
    <n v="3.3"/>
    <x v="0"/>
    <x v="1"/>
    <x v="0"/>
    <x v="0"/>
    <n v="5"/>
    <x v="3"/>
    <x v="5"/>
  </r>
  <r>
    <n v="228"/>
    <n v="50"/>
    <x v="0"/>
    <x v="2"/>
    <x v="0"/>
    <n v="90"/>
    <x v="3"/>
    <x v="2"/>
    <s v="Turquoise"/>
    <x v="0"/>
    <n v="4.2"/>
    <x v="0"/>
    <x v="3"/>
    <x v="0"/>
    <x v="0"/>
    <n v="25"/>
    <x v="0"/>
    <x v="0"/>
  </r>
  <r>
    <n v="229"/>
    <n v="18"/>
    <x v="0"/>
    <x v="20"/>
    <x v="0"/>
    <n v="79"/>
    <x v="13"/>
    <x v="2"/>
    <s v="White"/>
    <x v="1"/>
    <n v="2.9"/>
    <x v="0"/>
    <x v="5"/>
    <x v="0"/>
    <x v="0"/>
    <n v="11"/>
    <x v="2"/>
    <x v="2"/>
  </r>
  <r>
    <n v="230"/>
    <n v="70"/>
    <x v="0"/>
    <x v="3"/>
    <x v="1"/>
    <n v="28"/>
    <x v="31"/>
    <x v="1"/>
    <s v="Silver"/>
    <x v="1"/>
    <n v="4.5999999999999996"/>
    <x v="0"/>
    <x v="2"/>
    <x v="0"/>
    <x v="0"/>
    <n v="27"/>
    <x v="3"/>
    <x v="6"/>
  </r>
  <r>
    <n v="231"/>
    <n v="66"/>
    <x v="0"/>
    <x v="18"/>
    <x v="3"/>
    <n v="88"/>
    <x v="40"/>
    <x v="0"/>
    <s v="Olive"/>
    <x v="3"/>
    <n v="4.0999999999999996"/>
    <x v="0"/>
    <x v="3"/>
    <x v="0"/>
    <x v="0"/>
    <n v="43"/>
    <x v="2"/>
    <x v="2"/>
  </r>
  <r>
    <n v="232"/>
    <n v="28"/>
    <x v="0"/>
    <x v="0"/>
    <x v="0"/>
    <n v="26"/>
    <x v="30"/>
    <x v="2"/>
    <s v="Blue"/>
    <x v="1"/>
    <n v="3.1"/>
    <x v="0"/>
    <x v="4"/>
    <x v="0"/>
    <x v="0"/>
    <n v="18"/>
    <x v="5"/>
    <x v="6"/>
  </r>
  <r>
    <n v="233"/>
    <n v="54"/>
    <x v="0"/>
    <x v="16"/>
    <x v="3"/>
    <n v="27"/>
    <x v="11"/>
    <x v="0"/>
    <s v="Purple"/>
    <x v="0"/>
    <n v="4.2"/>
    <x v="0"/>
    <x v="0"/>
    <x v="0"/>
    <x v="0"/>
    <n v="32"/>
    <x v="4"/>
    <x v="4"/>
  </r>
  <r>
    <n v="234"/>
    <n v="19"/>
    <x v="0"/>
    <x v="1"/>
    <x v="0"/>
    <n v="83"/>
    <x v="28"/>
    <x v="3"/>
    <s v="Yellow"/>
    <x v="3"/>
    <n v="4.5"/>
    <x v="0"/>
    <x v="2"/>
    <x v="0"/>
    <x v="0"/>
    <n v="27"/>
    <x v="4"/>
    <x v="6"/>
  </r>
  <r>
    <n v="235"/>
    <n v="20"/>
    <x v="0"/>
    <x v="24"/>
    <x v="3"/>
    <n v="39"/>
    <x v="45"/>
    <x v="1"/>
    <s v="Silver"/>
    <x v="2"/>
    <n v="3.7"/>
    <x v="0"/>
    <x v="2"/>
    <x v="0"/>
    <x v="0"/>
    <n v="24"/>
    <x v="2"/>
    <x v="1"/>
  </r>
  <r>
    <n v="236"/>
    <n v="43"/>
    <x v="0"/>
    <x v="12"/>
    <x v="3"/>
    <n v="89"/>
    <x v="32"/>
    <x v="2"/>
    <s v="Cyan"/>
    <x v="0"/>
    <n v="3.7"/>
    <x v="0"/>
    <x v="1"/>
    <x v="0"/>
    <x v="0"/>
    <n v="31"/>
    <x v="5"/>
    <x v="3"/>
  </r>
  <r>
    <n v="237"/>
    <n v="38"/>
    <x v="0"/>
    <x v="7"/>
    <x v="2"/>
    <n v="68"/>
    <x v="25"/>
    <x v="0"/>
    <s v="Green"/>
    <x v="0"/>
    <n v="3.4"/>
    <x v="0"/>
    <x v="2"/>
    <x v="0"/>
    <x v="0"/>
    <n v="39"/>
    <x v="3"/>
    <x v="0"/>
  </r>
  <r>
    <n v="238"/>
    <n v="50"/>
    <x v="0"/>
    <x v="10"/>
    <x v="0"/>
    <n v="90"/>
    <x v="44"/>
    <x v="2"/>
    <s v="Beige"/>
    <x v="2"/>
    <n v="3"/>
    <x v="0"/>
    <x v="5"/>
    <x v="0"/>
    <x v="0"/>
    <n v="36"/>
    <x v="5"/>
    <x v="0"/>
  </r>
  <r>
    <n v="239"/>
    <n v="64"/>
    <x v="0"/>
    <x v="11"/>
    <x v="0"/>
    <n v="34"/>
    <x v="31"/>
    <x v="2"/>
    <s v="Peach"/>
    <x v="3"/>
    <n v="4.2"/>
    <x v="0"/>
    <x v="1"/>
    <x v="0"/>
    <x v="0"/>
    <n v="5"/>
    <x v="1"/>
    <x v="2"/>
  </r>
  <r>
    <n v="240"/>
    <n v="49"/>
    <x v="0"/>
    <x v="13"/>
    <x v="0"/>
    <n v="51"/>
    <x v="34"/>
    <x v="0"/>
    <s v="Yellow"/>
    <x v="2"/>
    <n v="2.9"/>
    <x v="0"/>
    <x v="0"/>
    <x v="0"/>
    <x v="0"/>
    <n v="47"/>
    <x v="2"/>
    <x v="4"/>
  </r>
  <r>
    <n v="241"/>
    <n v="47"/>
    <x v="0"/>
    <x v="1"/>
    <x v="0"/>
    <n v="45"/>
    <x v="6"/>
    <x v="3"/>
    <s v="Turquoise"/>
    <x v="0"/>
    <n v="3.5"/>
    <x v="0"/>
    <x v="1"/>
    <x v="0"/>
    <x v="0"/>
    <n v="29"/>
    <x v="4"/>
    <x v="0"/>
  </r>
  <r>
    <n v="242"/>
    <n v="36"/>
    <x v="0"/>
    <x v="15"/>
    <x v="0"/>
    <n v="88"/>
    <x v="12"/>
    <x v="2"/>
    <s v="Peach"/>
    <x v="0"/>
    <n v="4.0999999999999996"/>
    <x v="0"/>
    <x v="1"/>
    <x v="0"/>
    <x v="0"/>
    <n v="43"/>
    <x v="0"/>
    <x v="4"/>
  </r>
  <r>
    <n v="243"/>
    <n v="55"/>
    <x v="0"/>
    <x v="7"/>
    <x v="2"/>
    <n v="85"/>
    <x v="14"/>
    <x v="0"/>
    <s v="Gray"/>
    <x v="2"/>
    <n v="4.3"/>
    <x v="0"/>
    <x v="5"/>
    <x v="0"/>
    <x v="0"/>
    <n v="40"/>
    <x v="5"/>
    <x v="6"/>
  </r>
  <r>
    <n v="244"/>
    <n v="25"/>
    <x v="0"/>
    <x v="16"/>
    <x v="3"/>
    <n v="100"/>
    <x v="0"/>
    <x v="2"/>
    <s v="Olive"/>
    <x v="0"/>
    <n v="2.8"/>
    <x v="0"/>
    <x v="4"/>
    <x v="0"/>
    <x v="0"/>
    <n v="4"/>
    <x v="5"/>
    <x v="5"/>
  </r>
  <r>
    <n v="245"/>
    <n v="53"/>
    <x v="0"/>
    <x v="22"/>
    <x v="3"/>
    <n v="42"/>
    <x v="4"/>
    <x v="1"/>
    <s v="Indigo"/>
    <x v="1"/>
    <n v="4.9000000000000004"/>
    <x v="0"/>
    <x v="4"/>
    <x v="0"/>
    <x v="0"/>
    <n v="39"/>
    <x v="3"/>
    <x v="1"/>
  </r>
  <r>
    <n v="246"/>
    <n v="49"/>
    <x v="0"/>
    <x v="3"/>
    <x v="1"/>
    <n v="53"/>
    <x v="3"/>
    <x v="0"/>
    <s v="Charcoal"/>
    <x v="2"/>
    <n v="3.3"/>
    <x v="0"/>
    <x v="2"/>
    <x v="0"/>
    <x v="0"/>
    <n v="45"/>
    <x v="0"/>
    <x v="0"/>
  </r>
  <r>
    <n v="247"/>
    <n v="35"/>
    <x v="0"/>
    <x v="12"/>
    <x v="3"/>
    <n v="86"/>
    <x v="22"/>
    <x v="3"/>
    <s v="Beige"/>
    <x v="1"/>
    <n v="3.2"/>
    <x v="0"/>
    <x v="0"/>
    <x v="0"/>
    <x v="0"/>
    <n v="20"/>
    <x v="0"/>
    <x v="4"/>
  </r>
  <r>
    <n v="248"/>
    <n v="29"/>
    <x v="0"/>
    <x v="1"/>
    <x v="0"/>
    <n v="66"/>
    <x v="6"/>
    <x v="3"/>
    <s v="Brown"/>
    <x v="1"/>
    <n v="4.4000000000000004"/>
    <x v="0"/>
    <x v="3"/>
    <x v="0"/>
    <x v="0"/>
    <n v="14"/>
    <x v="5"/>
    <x v="1"/>
  </r>
  <r>
    <n v="249"/>
    <n v="47"/>
    <x v="0"/>
    <x v="22"/>
    <x v="3"/>
    <n v="100"/>
    <x v="38"/>
    <x v="2"/>
    <s v="Blue"/>
    <x v="0"/>
    <n v="4.8"/>
    <x v="0"/>
    <x v="0"/>
    <x v="0"/>
    <x v="0"/>
    <n v="33"/>
    <x v="3"/>
    <x v="1"/>
  </r>
  <r>
    <n v="250"/>
    <n v="53"/>
    <x v="0"/>
    <x v="8"/>
    <x v="3"/>
    <n v="47"/>
    <x v="29"/>
    <x v="1"/>
    <s v="Teal"/>
    <x v="3"/>
    <n v="4.2"/>
    <x v="0"/>
    <x v="3"/>
    <x v="0"/>
    <x v="0"/>
    <n v="18"/>
    <x v="2"/>
    <x v="2"/>
  </r>
  <r>
    <n v="251"/>
    <n v="33"/>
    <x v="0"/>
    <x v="11"/>
    <x v="0"/>
    <n v="25"/>
    <x v="16"/>
    <x v="0"/>
    <s v="Black"/>
    <x v="3"/>
    <n v="4"/>
    <x v="0"/>
    <x v="0"/>
    <x v="0"/>
    <x v="0"/>
    <n v="9"/>
    <x v="4"/>
    <x v="1"/>
  </r>
  <r>
    <n v="252"/>
    <n v="21"/>
    <x v="0"/>
    <x v="8"/>
    <x v="3"/>
    <n v="51"/>
    <x v="5"/>
    <x v="3"/>
    <s v="Gold"/>
    <x v="0"/>
    <n v="2.5"/>
    <x v="0"/>
    <x v="3"/>
    <x v="0"/>
    <x v="0"/>
    <n v="34"/>
    <x v="3"/>
    <x v="2"/>
  </r>
  <r>
    <n v="253"/>
    <n v="32"/>
    <x v="0"/>
    <x v="6"/>
    <x v="0"/>
    <n v="41"/>
    <x v="12"/>
    <x v="2"/>
    <s v="Violet"/>
    <x v="2"/>
    <n v="3.9"/>
    <x v="0"/>
    <x v="1"/>
    <x v="0"/>
    <x v="0"/>
    <n v="33"/>
    <x v="0"/>
    <x v="0"/>
  </r>
  <r>
    <n v="254"/>
    <n v="52"/>
    <x v="0"/>
    <x v="23"/>
    <x v="1"/>
    <n v="73"/>
    <x v="19"/>
    <x v="0"/>
    <s v="Cyan"/>
    <x v="0"/>
    <n v="4.9000000000000004"/>
    <x v="0"/>
    <x v="4"/>
    <x v="0"/>
    <x v="0"/>
    <n v="15"/>
    <x v="4"/>
    <x v="4"/>
  </r>
  <r>
    <n v="255"/>
    <n v="67"/>
    <x v="0"/>
    <x v="12"/>
    <x v="3"/>
    <n v="42"/>
    <x v="27"/>
    <x v="2"/>
    <s v="White"/>
    <x v="0"/>
    <n v="3.5"/>
    <x v="0"/>
    <x v="5"/>
    <x v="0"/>
    <x v="0"/>
    <n v="4"/>
    <x v="3"/>
    <x v="4"/>
  </r>
  <r>
    <n v="256"/>
    <n v="43"/>
    <x v="0"/>
    <x v="18"/>
    <x v="3"/>
    <n v="20"/>
    <x v="33"/>
    <x v="2"/>
    <s v="Charcoal"/>
    <x v="1"/>
    <n v="4.2"/>
    <x v="0"/>
    <x v="1"/>
    <x v="0"/>
    <x v="0"/>
    <n v="25"/>
    <x v="5"/>
    <x v="2"/>
  </r>
  <r>
    <n v="257"/>
    <n v="58"/>
    <x v="0"/>
    <x v="16"/>
    <x v="3"/>
    <n v="30"/>
    <x v="45"/>
    <x v="3"/>
    <s v="Violet"/>
    <x v="1"/>
    <n v="4.7"/>
    <x v="0"/>
    <x v="0"/>
    <x v="0"/>
    <x v="0"/>
    <n v="20"/>
    <x v="2"/>
    <x v="6"/>
  </r>
  <r>
    <n v="258"/>
    <n v="20"/>
    <x v="0"/>
    <x v="8"/>
    <x v="3"/>
    <n v="53"/>
    <x v="8"/>
    <x v="2"/>
    <s v="Red"/>
    <x v="2"/>
    <n v="4.5"/>
    <x v="0"/>
    <x v="0"/>
    <x v="0"/>
    <x v="0"/>
    <n v="5"/>
    <x v="2"/>
    <x v="3"/>
  </r>
  <r>
    <n v="259"/>
    <n v="61"/>
    <x v="0"/>
    <x v="24"/>
    <x v="3"/>
    <n v="74"/>
    <x v="15"/>
    <x v="1"/>
    <s v="Lavender"/>
    <x v="1"/>
    <n v="2.8"/>
    <x v="0"/>
    <x v="0"/>
    <x v="0"/>
    <x v="0"/>
    <n v="16"/>
    <x v="1"/>
    <x v="3"/>
  </r>
  <r>
    <n v="260"/>
    <n v="32"/>
    <x v="0"/>
    <x v="2"/>
    <x v="0"/>
    <n v="57"/>
    <x v="7"/>
    <x v="2"/>
    <s v="Gold"/>
    <x v="3"/>
    <n v="2.9"/>
    <x v="0"/>
    <x v="3"/>
    <x v="0"/>
    <x v="0"/>
    <n v="13"/>
    <x v="5"/>
    <x v="2"/>
  </r>
  <r>
    <n v="261"/>
    <n v="38"/>
    <x v="0"/>
    <x v="19"/>
    <x v="3"/>
    <n v="57"/>
    <x v="6"/>
    <x v="1"/>
    <s v="Red"/>
    <x v="0"/>
    <n v="3.2"/>
    <x v="0"/>
    <x v="4"/>
    <x v="0"/>
    <x v="0"/>
    <n v="11"/>
    <x v="2"/>
    <x v="6"/>
  </r>
  <r>
    <n v="262"/>
    <n v="21"/>
    <x v="0"/>
    <x v="2"/>
    <x v="0"/>
    <n v="77"/>
    <x v="18"/>
    <x v="0"/>
    <s v="Magenta"/>
    <x v="0"/>
    <n v="4.9000000000000004"/>
    <x v="0"/>
    <x v="3"/>
    <x v="0"/>
    <x v="0"/>
    <n v="21"/>
    <x v="2"/>
    <x v="2"/>
  </r>
  <r>
    <n v="263"/>
    <n v="37"/>
    <x v="0"/>
    <x v="13"/>
    <x v="0"/>
    <n v="40"/>
    <x v="11"/>
    <x v="2"/>
    <s v="Teal"/>
    <x v="2"/>
    <n v="3.7"/>
    <x v="0"/>
    <x v="2"/>
    <x v="0"/>
    <x v="0"/>
    <n v="6"/>
    <x v="5"/>
    <x v="2"/>
  </r>
  <r>
    <n v="264"/>
    <n v="27"/>
    <x v="0"/>
    <x v="6"/>
    <x v="0"/>
    <n v="46"/>
    <x v="44"/>
    <x v="2"/>
    <s v="Purple"/>
    <x v="2"/>
    <n v="4.3"/>
    <x v="0"/>
    <x v="5"/>
    <x v="0"/>
    <x v="0"/>
    <n v="29"/>
    <x v="0"/>
    <x v="5"/>
  </r>
  <r>
    <n v="265"/>
    <n v="36"/>
    <x v="0"/>
    <x v="13"/>
    <x v="0"/>
    <n v="78"/>
    <x v="24"/>
    <x v="1"/>
    <s v="Charcoal"/>
    <x v="3"/>
    <n v="3.9"/>
    <x v="0"/>
    <x v="5"/>
    <x v="0"/>
    <x v="0"/>
    <n v="15"/>
    <x v="1"/>
    <x v="2"/>
  </r>
  <r>
    <n v="266"/>
    <n v="32"/>
    <x v="0"/>
    <x v="21"/>
    <x v="3"/>
    <n v="59"/>
    <x v="49"/>
    <x v="2"/>
    <s v="Gray"/>
    <x v="1"/>
    <n v="3.2"/>
    <x v="0"/>
    <x v="4"/>
    <x v="0"/>
    <x v="0"/>
    <n v="17"/>
    <x v="4"/>
    <x v="4"/>
  </r>
  <r>
    <n v="267"/>
    <n v="51"/>
    <x v="0"/>
    <x v="16"/>
    <x v="3"/>
    <n v="75"/>
    <x v="7"/>
    <x v="0"/>
    <s v="White"/>
    <x v="2"/>
    <n v="3.1"/>
    <x v="0"/>
    <x v="0"/>
    <x v="0"/>
    <x v="0"/>
    <n v="32"/>
    <x v="2"/>
    <x v="1"/>
  </r>
  <r>
    <n v="268"/>
    <n v="64"/>
    <x v="0"/>
    <x v="1"/>
    <x v="0"/>
    <n v="54"/>
    <x v="33"/>
    <x v="2"/>
    <s v="Olive"/>
    <x v="1"/>
    <n v="3.9"/>
    <x v="0"/>
    <x v="4"/>
    <x v="0"/>
    <x v="0"/>
    <n v="42"/>
    <x v="0"/>
    <x v="2"/>
  </r>
  <r>
    <n v="269"/>
    <n v="68"/>
    <x v="0"/>
    <x v="9"/>
    <x v="1"/>
    <n v="42"/>
    <x v="42"/>
    <x v="2"/>
    <s v="Charcoal"/>
    <x v="1"/>
    <n v="2.6"/>
    <x v="0"/>
    <x v="5"/>
    <x v="0"/>
    <x v="0"/>
    <n v="21"/>
    <x v="1"/>
    <x v="5"/>
  </r>
  <r>
    <n v="270"/>
    <n v="68"/>
    <x v="0"/>
    <x v="0"/>
    <x v="0"/>
    <n v="44"/>
    <x v="42"/>
    <x v="2"/>
    <s v="Charcoal"/>
    <x v="0"/>
    <n v="3.3"/>
    <x v="0"/>
    <x v="2"/>
    <x v="0"/>
    <x v="0"/>
    <n v="9"/>
    <x v="1"/>
    <x v="4"/>
  </r>
  <r>
    <n v="271"/>
    <n v="33"/>
    <x v="0"/>
    <x v="2"/>
    <x v="0"/>
    <n v="52"/>
    <x v="25"/>
    <x v="3"/>
    <s v="Orange"/>
    <x v="3"/>
    <n v="4.5999999999999996"/>
    <x v="0"/>
    <x v="1"/>
    <x v="0"/>
    <x v="0"/>
    <n v="16"/>
    <x v="4"/>
    <x v="2"/>
  </r>
  <r>
    <n v="272"/>
    <n v="65"/>
    <x v="0"/>
    <x v="12"/>
    <x v="3"/>
    <n v="69"/>
    <x v="33"/>
    <x v="3"/>
    <s v="Yellow"/>
    <x v="2"/>
    <n v="4.5999999999999996"/>
    <x v="0"/>
    <x v="0"/>
    <x v="0"/>
    <x v="0"/>
    <n v="42"/>
    <x v="2"/>
    <x v="0"/>
  </r>
  <r>
    <n v="273"/>
    <n v="48"/>
    <x v="0"/>
    <x v="16"/>
    <x v="3"/>
    <n v="26"/>
    <x v="4"/>
    <x v="2"/>
    <s v="Beige"/>
    <x v="2"/>
    <n v="4.4000000000000004"/>
    <x v="0"/>
    <x v="4"/>
    <x v="0"/>
    <x v="0"/>
    <n v="37"/>
    <x v="5"/>
    <x v="4"/>
  </r>
  <r>
    <n v="274"/>
    <n v="69"/>
    <x v="0"/>
    <x v="7"/>
    <x v="2"/>
    <n v="33"/>
    <x v="25"/>
    <x v="1"/>
    <s v="Silver"/>
    <x v="1"/>
    <n v="4.2"/>
    <x v="0"/>
    <x v="0"/>
    <x v="0"/>
    <x v="0"/>
    <n v="32"/>
    <x v="5"/>
    <x v="3"/>
  </r>
  <r>
    <n v="275"/>
    <n v="59"/>
    <x v="0"/>
    <x v="16"/>
    <x v="3"/>
    <n v="32"/>
    <x v="33"/>
    <x v="2"/>
    <s v="Indigo"/>
    <x v="1"/>
    <n v="3"/>
    <x v="0"/>
    <x v="0"/>
    <x v="0"/>
    <x v="0"/>
    <n v="28"/>
    <x v="1"/>
    <x v="4"/>
  </r>
  <r>
    <n v="276"/>
    <n v="48"/>
    <x v="0"/>
    <x v="21"/>
    <x v="3"/>
    <n v="85"/>
    <x v="41"/>
    <x v="3"/>
    <s v="Lavender"/>
    <x v="0"/>
    <n v="4"/>
    <x v="0"/>
    <x v="0"/>
    <x v="0"/>
    <x v="0"/>
    <n v="13"/>
    <x v="2"/>
    <x v="1"/>
  </r>
  <r>
    <n v="277"/>
    <n v="25"/>
    <x v="0"/>
    <x v="11"/>
    <x v="0"/>
    <n v="30"/>
    <x v="45"/>
    <x v="3"/>
    <s v="Turquoise"/>
    <x v="3"/>
    <n v="3.5"/>
    <x v="0"/>
    <x v="0"/>
    <x v="0"/>
    <x v="0"/>
    <n v="11"/>
    <x v="4"/>
    <x v="0"/>
  </r>
  <r>
    <n v="278"/>
    <n v="29"/>
    <x v="0"/>
    <x v="5"/>
    <x v="0"/>
    <n v="29"/>
    <x v="42"/>
    <x v="2"/>
    <s v="Green"/>
    <x v="0"/>
    <n v="3"/>
    <x v="0"/>
    <x v="5"/>
    <x v="0"/>
    <x v="0"/>
    <n v="36"/>
    <x v="4"/>
    <x v="4"/>
  </r>
  <r>
    <n v="279"/>
    <n v="57"/>
    <x v="0"/>
    <x v="1"/>
    <x v="0"/>
    <n v="95"/>
    <x v="11"/>
    <x v="2"/>
    <s v="Orange"/>
    <x v="1"/>
    <n v="3.7"/>
    <x v="0"/>
    <x v="0"/>
    <x v="0"/>
    <x v="0"/>
    <n v="23"/>
    <x v="5"/>
    <x v="2"/>
  </r>
  <r>
    <n v="280"/>
    <n v="23"/>
    <x v="0"/>
    <x v="4"/>
    <x v="1"/>
    <n v="69"/>
    <x v="10"/>
    <x v="0"/>
    <s v="Turquoise"/>
    <x v="2"/>
    <n v="4"/>
    <x v="0"/>
    <x v="3"/>
    <x v="0"/>
    <x v="0"/>
    <n v="37"/>
    <x v="4"/>
    <x v="5"/>
  </r>
  <r>
    <n v="281"/>
    <n v="45"/>
    <x v="0"/>
    <x v="3"/>
    <x v="1"/>
    <n v="69"/>
    <x v="6"/>
    <x v="1"/>
    <s v="Cyan"/>
    <x v="3"/>
    <n v="4.2"/>
    <x v="0"/>
    <x v="4"/>
    <x v="0"/>
    <x v="0"/>
    <n v="21"/>
    <x v="1"/>
    <x v="4"/>
  </r>
  <r>
    <n v="282"/>
    <n v="38"/>
    <x v="0"/>
    <x v="22"/>
    <x v="3"/>
    <n v="61"/>
    <x v="19"/>
    <x v="3"/>
    <s v="Charcoal"/>
    <x v="1"/>
    <n v="2.5"/>
    <x v="0"/>
    <x v="3"/>
    <x v="0"/>
    <x v="0"/>
    <n v="22"/>
    <x v="5"/>
    <x v="4"/>
  </r>
  <r>
    <n v="283"/>
    <n v="21"/>
    <x v="0"/>
    <x v="11"/>
    <x v="0"/>
    <n v="94"/>
    <x v="46"/>
    <x v="2"/>
    <s v="Teal"/>
    <x v="2"/>
    <n v="3"/>
    <x v="0"/>
    <x v="4"/>
    <x v="0"/>
    <x v="0"/>
    <n v="9"/>
    <x v="1"/>
    <x v="5"/>
  </r>
  <r>
    <n v="284"/>
    <n v="32"/>
    <x v="0"/>
    <x v="1"/>
    <x v="0"/>
    <n v="30"/>
    <x v="6"/>
    <x v="1"/>
    <s v="Maroon"/>
    <x v="3"/>
    <n v="3.2"/>
    <x v="0"/>
    <x v="2"/>
    <x v="0"/>
    <x v="0"/>
    <n v="16"/>
    <x v="0"/>
    <x v="2"/>
  </r>
  <r>
    <n v="285"/>
    <n v="63"/>
    <x v="0"/>
    <x v="11"/>
    <x v="0"/>
    <n v="45"/>
    <x v="31"/>
    <x v="2"/>
    <s v="Red"/>
    <x v="2"/>
    <n v="3.5"/>
    <x v="0"/>
    <x v="3"/>
    <x v="0"/>
    <x v="0"/>
    <n v="4"/>
    <x v="3"/>
    <x v="3"/>
  </r>
  <r>
    <n v="286"/>
    <n v="29"/>
    <x v="0"/>
    <x v="8"/>
    <x v="3"/>
    <n v="39"/>
    <x v="0"/>
    <x v="3"/>
    <s v="Yellow"/>
    <x v="2"/>
    <n v="4.8"/>
    <x v="0"/>
    <x v="0"/>
    <x v="0"/>
    <x v="0"/>
    <n v="3"/>
    <x v="5"/>
    <x v="4"/>
  </r>
  <r>
    <n v="287"/>
    <n v="27"/>
    <x v="0"/>
    <x v="16"/>
    <x v="3"/>
    <n v="51"/>
    <x v="43"/>
    <x v="0"/>
    <s v="Gray"/>
    <x v="2"/>
    <n v="2.6"/>
    <x v="0"/>
    <x v="5"/>
    <x v="0"/>
    <x v="0"/>
    <n v="6"/>
    <x v="5"/>
    <x v="2"/>
  </r>
  <r>
    <n v="288"/>
    <n v="56"/>
    <x v="0"/>
    <x v="18"/>
    <x v="3"/>
    <n v="37"/>
    <x v="12"/>
    <x v="0"/>
    <s v="Blue"/>
    <x v="1"/>
    <n v="3.4"/>
    <x v="0"/>
    <x v="4"/>
    <x v="0"/>
    <x v="0"/>
    <n v="18"/>
    <x v="0"/>
    <x v="0"/>
  </r>
  <r>
    <n v="289"/>
    <n v="30"/>
    <x v="0"/>
    <x v="17"/>
    <x v="0"/>
    <n v="62"/>
    <x v="17"/>
    <x v="2"/>
    <s v="Lavender"/>
    <x v="0"/>
    <n v="3.7"/>
    <x v="0"/>
    <x v="4"/>
    <x v="0"/>
    <x v="0"/>
    <n v="34"/>
    <x v="0"/>
    <x v="4"/>
  </r>
  <r>
    <n v="290"/>
    <n v="49"/>
    <x v="0"/>
    <x v="7"/>
    <x v="2"/>
    <n v="85"/>
    <x v="14"/>
    <x v="2"/>
    <s v="Yellow"/>
    <x v="3"/>
    <n v="4.5"/>
    <x v="0"/>
    <x v="4"/>
    <x v="0"/>
    <x v="0"/>
    <n v="26"/>
    <x v="2"/>
    <x v="5"/>
  </r>
  <r>
    <n v="291"/>
    <n v="58"/>
    <x v="0"/>
    <x v="17"/>
    <x v="0"/>
    <n v="33"/>
    <x v="24"/>
    <x v="2"/>
    <s v="Indigo"/>
    <x v="0"/>
    <n v="3.7"/>
    <x v="0"/>
    <x v="3"/>
    <x v="0"/>
    <x v="0"/>
    <n v="50"/>
    <x v="3"/>
    <x v="1"/>
  </r>
  <r>
    <n v="292"/>
    <n v="57"/>
    <x v="0"/>
    <x v="10"/>
    <x v="0"/>
    <n v="26"/>
    <x v="12"/>
    <x v="3"/>
    <s v="Violet"/>
    <x v="3"/>
    <n v="3.3"/>
    <x v="0"/>
    <x v="2"/>
    <x v="0"/>
    <x v="0"/>
    <n v="40"/>
    <x v="4"/>
    <x v="5"/>
  </r>
  <r>
    <n v="293"/>
    <n v="60"/>
    <x v="0"/>
    <x v="9"/>
    <x v="1"/>
    <n v="99"/>
    <x v="40"/>
    <x v="2"/>
    <s v="Green"/>
    <x v="1"/>
    <n v="4.7"/>
    <x v="0"/>
    <x v="1"/>
    <x v="0"/>
    <x v="0"/>
    <n v="24"/>
    <x v="1"/>
    <x v="3"/>
  </r>
  <r>
    <n v="294"/>
    <n v="69"/>
    <x v="0"/>
    <x v="8"/>
    <x v="3"/>
    <n v="39"/>
    <x v="39"/>
    <x v="2"/>
    <s v="White"/>
    <x v="1"/>
    <n v="2.7"/>
    <x v="0"/>
    <x v="0"/>
    <x v="0"/>
    <x v="0"/>
    <n v="33"/>
    <x v="3"/>
    <x v="2"/>
  </r>
  <r>
    <n v="295"/>
    <n v="70"/>
    <x v="0"/>
    <x v="11"/>
    <x v="0"/>
    <n v="20"/>
    <x v="32"/>
    <x v="2"/>
    <s v="Gold"/>
    <x v="1"/>
    <n v="4.5999999999999996"/>
    <x v="0"/>
    <x v="5"/>
    <x v="0"/>
    <x v="0"/>
    <n v="19"/>
    <x v="2"/>
    <x v="6"/>
  </r>
  <r>
    <n v="296"/>
    <n v="53"/>
    <x v="0"/>
    <x v="12"/>
    <x v="3"/>
    <n v="42"/>
    <x v="8"/>
    <x v="2"/>
    <s v="Indigo"/>
    <x v="0"/>
    <n v="2.7"/>
    <x v="0"/>
    <x v="5"/>
    <x v="0"/>
    <x v="0"/>
    <n v="24"/>
    <x v="2"/>
    <x v="3"/>
  </r>
  <r>
    <n v="297"/>
    <n v="25"/>
    <x v="0"/>
    <x v="3"/>
    <x v="1"/>
    <n v="74"/>
    <x v="27"/>
    <x v="1"/>
    <s v="Lavender"/>
    <x v="1"/>
    <n v="4.8"/>
    <x v="0"/>
    <x v="4"/>
    <x v="0"/>
    <x v="0"/>
    <n v="19"/>
    <x v="2"/>
    <x v="1"/>
  </r>
  <r>
    <n v="298"/>
    <n v="48"/>
    <x v="0"/>
    <x v="9"/>
    <x v="1"/>
    <n v="26"/>
    <x v="12"/>
    <x v="3"/>
    <s v="Purple"/>
    <x v="2"/>
    <n v="4.4000000000000004"/>
    <x v="0"/>
    <x v="3"/>
    <x v="0"/>
    <x v="0"/>
    <n v="4"/>
    <x v="2"/>
    <x v="4"/>
  </r>
  <r>
    <n v="299"/>
    <n v="69"/>
    <x v="0"/>
    <x v="17"/>
    <x v="0"/>
    <n v="53"/>
    <x v="33"/>
    <x v="2"/>
    <s v="Lavender"/>
    <x v="0"/>
    <n v="4"/>
    <x v="0"/>
    <x v="3"/>
    <x v="0"/>
    <x v="0"/>
    <n v="11"/>
    <x v="0"/>
    <x v="6"/>
  </r>
  <r>
    <n v="300"/>
    <n v="25"/>
    <x v="0"/>
    <x v="4"/>
    <x v="1"/>
    <n v="80"/>
    <x v="38"/>
    <x v="2"/>
    <s v="Maroon"/>
    <x v="2"/>
    <n v="3.2"/>
    <x v="0"/>
    <x v="2"/>
    <x v="0"/>
    <x v="0"/>
    <n v="28"/>
    <x v="3"/>
    <x v="0"/>
  </r>
  <r>
    <n v="301"/>
    <n v="29"/>
    <x v="0"/>
    <x v="19"/>
    <x v="3"/>
    <n v="98"/>
    <x v="44"/>
    <x v="2"/>
    <s v="Teal"/>
    <x v="1"/>
    <n v="4.4000000000000004"/>
    <x v="0"/>
    <x v="5"/>
    <x v="0"/>
    <x v="0"/>
    <n v="24"/>
    <x v="3"/>
    <x v="1"/>
  </r>
  <r>
    <n v="302"/>
    <n v="46"/>
    <x v="0"/>
    <x v="11"/>
    <x v="0"/>
    <n v="95"/>
    <x v="38"/>
    <x v="2"/>
    <s v="Green"/>
    <x v="1"/>
    <n v="3.8"/>
    <x v="0"/>
    <x v="3"/>
    <x v="0"/>
    <x v="0"/>
    <n v="25"/>
    <x v="2"/>
    <x v="6"/>
  </r>
  <r>
    <n v="303"/>
    <n v="37"/>
    <x v="0"/>
    <x v="1"/>
    <x v="0"/>
    <n v="44"/>
    <x v="12"/>
    <x v="0"/>
    <s v="Olive"/>
    <x v="2"/>
    <n v="3.6"/>
    <x v="0"/>
    <x v="0"/>
    <x v="0"/>
    <x v="0"/>
    <n v="27"/>
    <x v="4"/>
    <x v="6"/>
  </r>
  <r>
    <n v="304"/>
    <n v="20"/>
    <x v="0"/>
    <x v="3"/>
    <x v="1"/>
    <n v="60"/>
    <x v="4"/>
    <x v="2"/>
    <s v="Turquoise"/>
    <x v="2"/>
    <n v="3.3"/>
    <x v="0"/>
    <x v="2"/>
    <x v="0"/>
    <x v="0"/>
    <n v="49"/>
    <x v="0"/>
    <x v="1"/>
  </r>
  <r>
    <n v="305"/>
    <n v="40"/>
    <x v="0"/>
    <x v="10"/>
    <x v="0"/>
    <n v="84"/>
    <x v="4"/>
    <x v="2"/>
    <s v="Green"/>
    <x v="0"/>
    <n v="3.4"/>
    <x v="0"/>
    <x v="2"/>
    <x v="0"/>
    <x v="0"/>
    <n v="45"/>
    <x v="2"/>
    <x v="4"/>
  </r>
  <r>
    <n v="306"/>
    <n v="60"/>
    <x v="0"/>
    <x v="1"/>
    <x v="0"/>
    <n v="59"/>
    <x v="40"/>
    <x v="2"/>
    <s v="Teal"/>
    <x v="3"/>
    <n v="3.5"/>
    <x v="0"/>
    <x v="4"/>
    <x v="0"/>
    <x v="0"/>
    <n v="26"/>
    <x v="3"/>
    <x v="2"/>
  </r>
  <r>
    <n v="307"/>
    <n v="26"/>
    <x v="0"/>
    <x v="14"/>
    <x v="2"/>
    <n v="49"/>
    <x v="25"/>
    <x v="1"/>
    <s v="White"/>
    <x v="2"/>
    <n v="3.6"/>
    <x v="0"/>
    <x v="0"/>
    <x v="0"/>
    <x v="0"/>
    <n v="4"/>
    <x v="1"/>
    <x v="2"/>
  </r>
  <r>
    <n v="308"/>
    <n v="29"/>
    <x v="0"/>
    <x v="24"/>
    <x v="3"/>
    <n v="32"/>
    <x v="20"/>
    <x v="2"/>
    <s v="Orange"/>
    <x v="0"/>
    <n v="3.2"/>
    <x v="0"/>
    <x v="1"/>
    <x v="0"/>
    <x v="0"/>
    <n v="3"/>
    <x v="2"/>
    <x v="6"/>
  </r>
  <r>
    <n v="309"/>
    <n v="66"/>
    <x v="0"/>
    <x v="8"/>
    <x v="3"/>
    <n v="29"/>
    <x v="33"/>
    <x v="2"/>
    <s v="Beige"/>
    <x v="3"/>
    <n v="3.7"/>
    <x v="0"/>
    <x v="3"/>
    <x v="0"/>
    <x v="0"/>
    <n v="45"/>
    <x v="0"/>
    <x v="4"/>
  </r>
  <r>
    <n v="310"/>
    <n v="66"/>
    <x v="0"/>
    <x v="10"/>
    <x v="0"/>
    <n v="22"/>
    <x v="46"/>
    <x v="2"/>
    <s v="Yellow"/>
    <x v="1"/>
    <n v="4.5"/>
    <x v="0"/>
    <x v="3"/>
    <x v="0"/>
    <x v="0"/>
    <n v="21"/>
    <x v="1"/>
    <x v="0"/>
  </r>
  <r>
    <n v="311"/>
    <n v="56"/>
    <x v="0"/>
    <x v="13"/>
    <x v="0"/>
    <n v="85"/>
    <x v="6"/>
    <x v="2"/>
    <s v="Charcoal"/>
    <x v="0"/>
    <n v="4.5999999999999996"/>
    <x v="0"/>
    <x v="3"/>
    <x v="0"/>
    <x v="0"/>
    <n v="50"/>
    <x v="1"/>
    <x v="0"/>
  </r>
  <r>
    <n v="312"/>
    <n v="69"/>
    <x v="0"/>
    <x v="2"/>
    <x v="0"/>
    <n v="52"/>
    <x v="3"/>
    <x v="0"/>
    <s v="Silver"/>
    <x v="0"/>
    <n v="4.0999999999999996"/>
    <x v="0"/>
    <x v="5"/>
    <x v="0"/>
    <x v="0"/>
    <n v="19"/>
    <x v="4"/>
    <x v="5"/>
  </r>
  <r>
    <n v="313"/>
    <n v="38"/>
    <x v="0"/>
    <x v="13"/>
    <x v="0"/>
    <n v="89"/>
    <x v="2"/>
    <x v="0"/>
    <s v="Green"/>
    <x v="1"/>
    <n v="3.4"/>
    <x v="0"/>
    <x v="2"/>
    <x v="0"/>
    <x v="0"/>
    <n v="6"/>
    <x v="3"/>
    <x v="2"/>
  </r>
  <r>
    <n v="314"/>
    <n v="42"/>
    <x v="0"/>
    <x v="10"/>
    <x v="0"/>
    <n v="77"/>
    <x v="34"/>
    <x v="2"/>
    <s v="Pink"/>
    <x v="1"/>
    <n v="3.7"/>
    <x v="0"/>
    <x v="0"/>
    <x v="0"/>
    <x v="0"/>
    <n v="50"/>
    <x v="2"/>
    <x v="6"/>
  </r>
  <r>
    <n v="315"/>
    <n v="30"/>
    <x v="0"/>
    <x v="13"/>
    <x v="0"/>
    <n v="24"/>
    <x v="32"/>
    <x v="2"/>
    <s v="Purple"/>
    <x v="2"/>
    <n v="3.3"/>
    <x v="0"/>
    <x v="5"/>
    <x v="0"/>
    <x v="0"/>
    <n v="17"/>
    <x v="5"/>
    <x v="6"/>
  </r>
  <r>
    <n v="316"/>
    <n v="66"/>
    <x v="0"/>
    <x v="16"/>
    <x v="3"/>
    <n v="24"/>
    <x v="48"/>
    <x v="3"/>
    <s v="Orange"/>
    <x v="1"/>
    <n v="4.5"/>
    <x v="0"/>
    <x v="0"/>
    <x v="0"/>
    <x v="0"/>
    <n v="24"/>
    <x v="5"/>
    <x v="2"/>
  </r>
  <r>
    <n v="317"/>
    <n v="36"/>
    <x v="0"/>
    <x v="8"/>
    <x v="3"/>
    <n v="22"/>
    <x v="18"/>
    <x v="2"/>
    <s v="Charcoal"/>
    <x v="3"/>
    <n v="3.3"/>
    <x v="0"/>
    <x v="1"/>
    <x v="0"/>
    <x v="0"/>
    <n v="46"/>
    <x v="0"/>
    <x v="5"/>
  </r>
  <r>
    <n v="318"/>
    <n v="58"/>
    <x v="0"/>
    <x v="1"/>
    <x v="0"/>
    <n v="82"/>
    <x v="8"/>
    <x v="0"/>
    <s v="Teal"/>
    <x v="3"/>
    <n v="4.3"/>
    <x v="0"/>
    <x v="3"/>
    <x v="0"/>
    <x v="0"/>
    <n v="42"/>
    <x v="1"/>
    <x v="6"/>
  </r>
  <r>
    <n v="319"/>
    <n v="45"/>
    <x v="0"/>
    <x v="21"/>
    <x v="3"/>
    <n v="67"/>
    <x v="45"/>
    <x v="2"/>
    <s v="Beige"/>
    <x v="0"/>
    <n v="2.5"/>
    <x v="0"/>
    <x v="3"/>
    <x v="0"/>
    <x v="0"/>
    <n v="10"/>
    <x v="1"/>
    <x v="2"/>
  </r>
  <r>
    <n v="320"/>
    <n v="47"/>
    <x v="0"/>
    <x v="6"/>
    <x v="0"/>
    <n v="74"/>
    <x v="1"/>
    <x v="3"/>
    <s v="White"/>
    <x v="1"/>
    <n v="2.6"/>
    <x v="0"/>
    <x v="3"/>
    <x v="0"/>
    <x v="0"/>
    <n v="1"/>
    <x v="1"/>
    <x v="6"/>
  </r>
  <r>
    <n v="321"/>
    <n v="66"/>
    <x v="0"/>
    <x v="16"/>
    <x v="3"/>
    <n v="72"/>
    <x v="23"/>
    <x v="0"/>
    <s v="White"/>
    <x v="2"/>
    <n v="4.9000000000000004"/>
    <x v="0"/>
    <x v="3"/>
    <x v="0"/>
    <x v="0"/>
    <n v="28"/>
    <x v="5"/>
    <x v="3"/>
  </r>
  <r>
    <n v="322"/>
    <n v="41"/>
    <x v="0"/>
    <x v="4"/>
    <x v="1"/>
    <n v="36"/>
    <x v="34"/>
    <x v="0"/>
    <s v="Orange"/>
    <x v="2"/>
    <n v="4.7"/>
    <x v="0"/>
    <x v="1"/>
    <x v="0"/>
    <x v="0"/>
    <n v="48"/>
    <x v="5"/>
    <x v="3"/>
  </r>
  <r>
    <n v="323"/>
    <n v="41"/>
    <x v="0"/>
    <x v="22"/>
    <x v="3"/>
    <n v="95"/>
    <x v="30"/>
    <x v="1"/>
    <s v="Cyan"/>
    <x v="0"/>
    <n v="3"/>
    <x v="0"/>
    <x v="3"/>
    <x v="0"/>
    <x v="0"/>
    <n v="47"/>
    <x v="2"/>
    <x v="5"/>
  </r>
  <r>
    <n v="324"/>
    <n v="66"/>
    <x v="0"/>
    <x v="15"/>
    <x v="0"/>
    <n v="78"/>
    <x v="30"/>
    <x v="2"/>
    <s v="Orange"/>
    <x v="0"/>
    <n v="3.5"/>
    <x v="0"/>
    <x v="2"/>
    <x v="0"/>
    <x v="0"/>
    <n v="29"/>
    <x v="3"/>
    <x v="4"/>
  </r>
  <r>
    <n v="325"/>
    <n v="37"/>
    <x v="0"/>
    <x v="5"/>
    <x v="0"/>
    <n v="82"/>
    <x v="5"/>
    <x v="2"/>
    <s v="Olive"/>
    <x v="2"/>
    <n v="4.8"/>
    <x v="0"/>
    <x v="3"/>
    <x v="0"/>
    <x v="0"/>
    <n v="37"/>
    <x v="0"/>
    <x v="3"/>
  </r>
  <r>
    <n v="326"/>
    <n v="70"/>
    <x v="0"/>
    <x v="13"/>
    <x v="0"/>
    <n v="70"/>
    <x v="34"/>
    <x v="2"/>
    <s v="Charcoal"/>
    <x v="0"/>
    <n v="4.3"/>
    <x v="0"/>
    <x v="1"/>
    <x v="0"/>
    <x v="0"/>
    <n v="38"/>
    <x v="5"/>
    <x v="2"/>
  </r>
  <r>
    <n v="327"/>
    <n v="62"/>
    <x v="0"/>
    <x v="18"/>
    <x v="3"/>
    <n v="41"/>
    <x v="32"/>
    <x v="2"/>
    <s v="White"/>
    <x v="3"/>
    <n v="3.2"/>
    <x v="0"/>
    <x v="5"/>
    <x v="0"/>
    <x v="0"/>
    <n v="48"/>
    <x v="4"/>
    <x v="1"/>
  </r>
  <r>
    <n v="328"/>
    <n v="61"/>
    <x v="0"/>
    <x v="7"/>
    <x v="2"/>
    <n v="42"/>
    <x v="44"/>
    <x v="2"/>
    <s v="Teal"/>
    <x v="2"/>
    <n v="3.1"/>
    <x v="0"/>
    <x v="1"/>
    <x v="0"/>
    <x v="0"/>
    <n v="36"/>
    <x v="3"/>
    <x v="1"/>
  </r>
  <r>
    <n v="329"/>
    <n v="48"/>
    <x v="0"/>
    <x v="7"/>
    <x v="2"/>
    <n v="50"/>
    <x v="20"/>
    <x v="2"/>
    <s v="Yellow"/>
    <x v="3"/>
    <n v="2.8"/>
    <x v="0"/>
    <x v="1"/>
    <x v="0"/>
    <x v="0"/>
    <n v="9"/>
    <x v="2"/>
    <x v="1"/>
  </r>
  <r>
    <n v="330"/>
    <n v="70"/>
    <x v="0"/>
    <x v="20"/>
    <x v="0"/>
    <n v="31"/>
    <x v="22"/>
    <x v="1"/>
    <s v="White"/>
    <x v="2"/>
    <n v="2.9"/>
    <x v="0"/>
    <x v="4"/>
    <x v="0"/>
    <x v="0"/>
    <n v="34"/>
    <x v="4"/>
    <x v="5"/>
  </r>
  <r>
    <n v="331"/>
    <n v="46"/>
    <x v="0"/>
    <x v="1"/>
    <x v="0"/>
    <n v="51"/>
    <x v="25"/>
    <x v="2"/>
    <s v="Beige"/>
    <x v="0"/>
    <n v="3.7"/>
    <x v="0"/>
    <x v="0"/>
    <x v="0"/>
    <x v="0"/>
    <n v="43"/>
    <x v="0"/>
    <x v="4"/>
  </r>
  <r>
    <n v="332"/>
    <n v="31"/>
    <x v="0"/>
    <x v="5"/>
    <x v="0"/>
    <n v="98"/>
    <x v="20"/>
    <x v="0"/>
    <s v="Beige"/>
    <x v="3"/>
    <n v="3.3"/>
    <x v="0"/>
    <x v="5"/>
    <x v="0"/>
    <x v="0"/>
    <n v="46"/>
    <x v="3"/>
    <x v="3"/>
  </r>
  <r>
    <n v="333"/>
    <n v="19"/>
    <x v="0"/>
    <x v="5"/>
    <x v="0"/>
    <n v="86"/>
    <x v="14"/>
    <x v="2"/>
    <s v="Maroon"/>
    <x v="0"/>
    <n v="2.8"/>
    <x v="0"/>
    <x v="4"/>
    <x v="0"/>
    <x v="0"/>
    <n v="5"/>
    <x v="2"/>
    <x v="5"/>
  </r>
  <r>
    <n v="334"/>
    <n v="39"/>
    <x v="0"/>
    <x v="1"/>
    <x v="0"/>
    <n v="64"/>
    <x v="29"/>
    <x v="2"/>
    <s v="Teal"/>
    <x v="0"/>
    <n v="4.5"/>
    <x v="0"/>
    <x v="3"/>
    <x v="0"/>
    <x v="0"/>
    <n v="15"/>
    <x v="4"/>
    <x v="4"/>
  </r>
  <r>
    <n v="335"/>
    <n v="41"/>
    <x v="0"/>
    <x v="0"/>
    <x v="0"/>
    <n v="46"/>
    <x v="23"/>
    <x v="2"/>
    <s v="Lavender"/>
    <x v="3"/>
    <n v="2.6"/>
    <x v="0"/>
    <x v="2"/>
    <x v="0"/>
    <x v="0"/>
    <n v="30"/>
    <x v="2"/>
    <x v="2"/>
  </r>
  <r>
    <n v="336"/>
    <n v="20"/>
    <x v="0"/>
    <x v="1"/>
    <x v="0"/>
    <n v="85"/>
    <x v="4"/>
    <x v="0"/>
    <s v="Maroon"/>
    <x v="1"/>
    <n v="3.7"/>
    <x v="0"/>
    <x v="3"/>
    <x v="0"/>
    <x v="0"/>
    <n v="44"/>
    <x v="0"/>
    <x v="6"/>
  </r>
  <r>
    <n v="337"/>
    <n v="36"/>
    <x v="0"/>
    <x v="19"/>
    <x v="3"/>
    <n v="81"/>
    <x v="3"/>
    <x v="1"/>
    <s v="Orange"/>
    <x v="3"/>
    <n v="4.4000000000000004"/>
    <x v="0"/>
    <x v="0"/>
    <x v="0"/>
    <x v="0"/>
    <n v="16"/>
    <x v="3"/>
    <x v="2"/>
  </r>
  <r>
    <n v="338"/>
    <n v="32"/>
    <x v="0"/>
    <x v="1"/>
    <x v="0"/>
    <n v="59"/>
    <x v="35"/>
    <x v="2"/>
    <s v="Cyan"/>
    <x v="0"/>
    <n v="4.3"/>
    <x v="0"/>
    <x v="4"/>
    <x v="0"/>
    <x v="0"/>
    <n v="16"/>
    <x v="4"/>
    <x v="2"/>
  </r>
  <r>
    <n v="339"/>
    <n v="69"/>
    <x v="0"/>
    <x v="15"/>
    <x v="0"/>
    <n v="79"/>
    <x v="2"/>
    <x v="2"/>
    <s v="Silver"/>
    <x v="0"/>
    <n v="3.5"/>
    <x v="0"/>
    <x v="0"/>
    <x v="0"/>
    <x v="0"/>
    <n v="16"/>
    <x v="1"/>
    <x v="1"/>
  </r>
  <r>
    <n v="340"/>
    <n v="40"/>
    <x v="0"/>
    <x v="6"/>
    <x v="0"/>
    <n v="33"/>
    <x v="38"/>
    <x v="2"/>
    <s v="Teal"/>
    <x v="1"/>
    <n v="3.8"/>
    <x v="0"/>
    <x v="4"/>
    <x v="0"/>
    <x v="0"/>
    <n v="21"/>
    <x v="2"/>
    <x v="6"/>
  </r>
  <r>
    <n v="341"/>
    <n v="40"/>
    <x v="0"/>
    <x v="6"/>
    <x v="0"/>
    <n v="47"/>
    <x v="32"/>
    <x v="0"/>
    <s v="Blue"/>
    <x v="2"/>
    <n v="3.5"/>
    <x v="0"/>
    <x v="0"/>
    <x v="0"/>
    <x v="0"/>
    <n v="39"/>
    <x v="0"/>
    <x v="6"/>
  </r>
  <r>
    <n v="342"/>
    <n v="20"/>
    <x v="0"/>
    <x v="19"/>
    <x v="3"/>
    <n v="20"/>
    <x v="40"/>
    <x v="1"/>
    <s v="Blue"/>
    <x v="2"/>
    <n v="4.5999999999999996"/>
    <x v="0"/>
    <x v="5"/>
    <x v="0"/>
    <x v="0"/>
    <n v="40"/>
    <x v="5"/>
    <x v="4"/>
  </r>
  <r>
    <n v="343"/>
    <n v="64"/>
    <x v="0"/>
    <x v="7"/>
    <x v="2"/>
    <n v="36"/>
    <x v="0"/>
    <x v="2"/>
    <s v="Olive"/>
    <x v="1"/>
    <n v="2.6"/>
    <x v="0"/>
    <x v="2"/>
    <x v="0"/>
    <x v="0"/>
    <n v="48"/>
    <x v="2"/>
    <x v="6"/>
  </r>
  <r>
    <n v="344"/>
    <n v="27"/>
    <x v="0"/>
    <x v="3"/>
    <x v="1"/>
    <n v="39"/>
    <x v="43"/>
    <x v="2"/>
    <s v="Purple"/>
    <x v="2"/>
    <n v="4.4000000000000004"/>
    <x v="0"/>
    <x v="2"/>
    <x v="0"/>
    <x v="0"/>
    <n v="26"/>
    <x v="0"/>
    <x v="5"/>
  </r>
  <r>
    <n v="345"/>
    <n v="24"/>
    <x v="0"/>
    <x v="11"/>
    <x v="0"/>
    <n v="71"/>
    <x v="41"/>
    <x v="2"/>
    <s v="Charcoal"/>
    <x v="0"/>
    <n v="4"/>
    <x v="0"/>
    <x v="3"/>
    <x v="0"/>
    <x v="0"/>
    <n v="46"/>
    <x v="5"/>
    <x v="5"/>
  </r>
  <r>
    <n v="346"/>
    <n v="48"/>
    <x v="0"/>
    <x v="9"/>
    <x v="1"/>
    <n v="59"/>
    <x v="5"/>
    <x v="1"/>
    <s v="Olive"/>
    <x v="0"/>
    <n v="4.4000000000000004"/>
    <x v="0"/>
    <x v="2"/>
    <x v="0"/>
    <x v="0"/>
    <n v="27"/>
    <x v="4"/>
    <x v="2"/>
  </r>
  <r>
    <n v="347"/>
    <n v="49"/>
    <x v="0"/>
    <x v="2"/>
    <x v="0"/>
    <n v="50"/>
    <x v="35"/>
    <x v="0"/>
    <s v="Violet"/>
    <x v="1"/>
    <n v="4.7"/>
    <x v="0"/>
    <x v="2"/>
    <x v="0"/>
    <x v="0"/>
    <n v="5"/>
    <x v="1"/>
    <x v="1"/>
  </r>
  <r>
    <n v="348"/>
    <n v="36"/>
    <x v="0"/>
    <x v="3"/>
    <x v="1"/>
    <n v="41"/>
    <x v="4"/>
    <x v="0"/>
    <s v="Red"/>
    <x v="3"/>
    <n v="3.9"/>
    <x v="0"/>
    <x v="5"/>
    <x v="0"/>
    <x v="0"/>
    <n v="43"/>
    <x v="3"/>
    <x v="0"/>
  </r>
  <r>
    <n v="349"/>
    <n v="56"/>
    <x v="0"/>
    <x v="0"/>
    <x v="0"/>
    <n v="59"/>
    <x v="36"/>
    <x v="2"/>
    <s v="Beige"/>
    <x v="3"/>
    <n v="2.7"/>
    <x v="0"/>
    <x v="1"/>
    <x v="0"/>
    <x v="0"/>
    <n v="17"/>
    <x v="3"/>
    <x v="0"/>
  </r>
  <r>
    <n v="350"/>
    <n v="37"/>
    <x v="0"/>
    <x v="19"/>
    <x v="3"/>
    <n v="87"/>
    <x v="28"/>
    <x v="2"/>
    <s v="Green"/>
    <x v="0"/>
    <n v="3.7"/>
    <x v="0"/>
    <x v="4"/>
    <x v="0"/>
    <x v="0"/>
    <n v="3"/>
    <x v="4"/>
    <x v="4"/>
  </r>
  <r>
    <n v="351"/>
    <n v="42"/>
    <x v="0"/>
    <x v="1"/>
    <x v="0"/>
    <n v="68"/>
    <x v="0"/>
    <x v="2"/>
    <s v="Violet"/>
    <x v="1"/>
    <n v="2.6"/>
    <x v="0"/>
    <x v="4"/>
    <x v="0"/>
    <x v="0"/>
    <n v="47"/>
    <x v="4"/>
    <x v="0"/>
  </r>
  <r>
    <n v="352"/>
    <n v="28"/>
    <x v="0"/>
    <x v="11"/>
    <x v="0"/>
    <n v="90"/>
    <x v="14"/>
    <x v="2"/>
    <s v="Teal"/>
    <x v="0"/>
    <n v="3.9"/>
    <x v="0"/>
    <x v="3"/>
    <x v="0"/>
    <x v="0"/>
    <n v="24"/>
    <x v="5"/>
    <x v="4"/>
  </r>
  <r>
    <n v="353"/>
    <n v="27"/>
    <x v="0"/>
    <x v="2"/>
    <x v="0"/>
    <n v="71"/>
    <x v="21"/>
    <x v="3"/>
    <s v="Yellow"/>
    <x v="3"/>
    <n v="4.9000000000000004"/>
    <x v="0"/>
    <x v="2"/>
    <x v="0"/>
    <x v="0"/>
    <n v="12"/>
    <x v="1"/>
    <x v="6"/>
  </r>
  <r>
    <n v="354"/>
    <n v="63"/>
    <x v="0"/>
    <x v="4"/>
    <x v="1"/>
    <n v="64"/>
    <x v="9"/>
    <x v="0"/>
    <s v="Yellow"/>
    <x v="3"/>
    <n v="4.0999999999999996"/>
    <x v="0"/>
    <x v="5"/>
    <x v="0"/>
    <x v="0"/>
    <n v="35"/>
    <x v="5"/>
    <x v="5"/>
  </r>
  <r>
    <n v="355"/>
    <n v="58"/>
    <x v="0"/>
    <x v="16"/>
    <x v="3"/>
    <n v="76"/>
    <x v="38"/>
    <x v="1"/>
    <s v="Olive"/>
    <x v="3"/>
    <n v="3"/>
    <x v="0"/>
    <x v="1"/>
    <x v="0"/>
    <x v="0"/>
    <n v="42"/>
    <x v="0"/>
    <x v="1"/>
  </r>
  <r>
    <n v="356"/>
    <n v="37"/>
    <x v="0"/>
    <x v="16"/>
    <x v="3"/>
    <n v="42"/>
    <x v="4"/>
    <x v="3"/>
    <s v="Magenta"/>
    <x v="3"/>
    <n v="4.0999999999999996"/>
    <x v="0"/>
    <x v="4"/>
    <x v="0"/>
    <x v="0"/>
    <n v="1"/>
    <x v="3"/>
    <x v="6"/>
  </r>
  <r>
    <n v="357"/>
    <n v="56"/>
    <x v="0"/>
    <x v="13"/>
    <x v="0"/>
    <n v="80"/>
    <x v="22"/>
    <x v="0"/>
    <s v="Black"/>
    <x v="1"/>
    <n v="3.8"/>
    <x v="0"/>
    <x v="3"/>
    <x v="0"/>
    <x v="0"/>
    <n v="27"/>
    <x v="1"/>
    <x v="1"/>
  </r>
  <r>
    <n v="358"/>
    <n v="18"/>
    <x v="0"/>
    <x v="22"/>
    <x v="3"/>
    <n v="56"/>
    <x v="10"/>
    <x v="2"/>
    <s v="Olive"/>
    <x v="1"/>
    <n v="4"/>
    <x v="0"/>
    <x v="3"/>
    <x v="0"/>
    <x v="0"/>
    <n v="16"/>
    <x v="2"/>
    <x v="4"/>
  </r>
  <r>
    <n v="359"/>
    <n v="48"/>
    <x v="0"/>
    <x v="19"/>
    <x v="3"/>
    <n v="25"/>
    <x v="46"/>
    <x v="3"/>
    <s v="Magenta"/>
    <x v="2"/>
    <n v="3.6"/>
    <x v="0"/>
    <x v="0"/>
    <x v="0"/>
    <x v="0"/>
    <n v="36"/>
    <x v="2"/>
    <x v="6"/>
  </r>
  <r>
    <n v="360"/>
    <n v="31"/>
    <x v="0"/>
    <x v="4"/>
    <x v="1"/>
    <n v="74"/>
    <x v="42"/>
    <x v="2"/>
    <s v="Olive"/>
    <x v="0"/>
    <n v="3"/>
    <x v="0"/>
    <x v="5"/>
    <x v="0"/>
    <x v="0"/>
    <n v="30"/>
    <x v="2"/>
    <x v="6"/>
  </r>
  <r>
    <n v="361"/>
    <n v="51"/>
    <x v="0"/>
    <x v="13"/>
    <x v="0"/>
    <n v="30"/>
    <x v="3"/>
    <x v="2"/>
    <s v="Teal"/>
    <x v="2"/>
    <n v="3"/>
    <x v="0"/>
    <x v="3"/>
    <x v="0"/>
    <x v="0"/>
    <n v="18"/>
    <x v="5"/>
    <x v="0"/>
  </r>
  <r>
    <n v="362"/>
    <n v="65"/>
    <x v="0"/>
    <x v="17"/>
    <x v="0"/>
    <n v="96"/>
    <x v="22"/>
    <x v="2"/>
    <s v="White"/>
    <x v="1"/>
    <n v="2.6"/>
    <x v="0"/>
    <x v="1"/>
    <x v="0"/>
    <x v="0"/>
    <n v="45"/>
    <x v="1"/>
    <x v="2"/>
  </r>
  <r>
    <n v="363"/>
    <n v="53"/>
    <x v="0"/>
    <x v="4"/>
    <x v="1"/>
    <n v="64"/>
    <x v="21"/>
    <x v="2"/>
    <s v="Charcoal"/>
    <x v="3"/>
    <n v="3.4"/>
    <x v="0"/>
    <x v="1"/>
    <x v="0"/>
    <x v="0"/>
    <n v="1"/>
    <x v="0"/>
    <x v="0"/>
  </r>
  <r>
    <n v="364"/>
    <n v="55"/>
    <x v="0"/>
    <x v="6"/>
    <x v="0"/>
    <n v="88"/>
    <x v="20"/>
    <x v="0"/>
    <s v="Yellow"/>
    <x v="0"/>
    <n v="3.1"/>
    <x v="0"/>
    <x v="1"/>
    <x v="0"/>
    <x v="0"/>
    <n v="42"/>
    <x v="4"/>
    <x v="0"/>
  </r>
  <r>
    <n v="365"/>
    <n v="62"/>
    <x v="0"/>
    <x v="9"/>
    <x v="1"/>
    <n v="88"/>
    <x v="25"/>
    <x v="0"/>
    <s v="Charcoal"/>
    <x v="2"/>
    <n v="3"/>
    <x v="0"/>
    <x v="1"/>
    <x v="0"/>
    <x v="0"/>
    <n v="7"/>
    <x v="0"/>
    <x v="6"/>
  </r>
  <r>
    <n v="366"/>
    <n v="55"/>
    <x v="0"/>
    <x v="24"/>
    <x v="3"/>
    <n v="88"/>
    <x v="8"/>
    <x v="3"/>
    <s v="Gray"/>
    <x v="2"/>
    <n v="3.7"/>
    <x v="0"/>
    <x v="3"/>
    <x v="0"/>
    <x v="0"/>
    <n v="50"/>
    <x v="3"/>
    <x v="3"/>
  </r>
  <r>
    <n v="367"/>
    <n v="64"/>
    <x v="0"/>
    <x v="20"/>
    <x v="0"/>
    <n v="36"/>
    <x v="43"/>
    <x v="2"/>
    <s v="Turquoise"/>
    <x v="1"/>
    <n v="3.5"/>
    <x v="0"/>
    <x v="5"/>
    <x v="0"/>
    <x v="0"/>
    <n v="37"/>
    <x v="0"/>
    <x v="0"/>
  </r>
  <r>
    <n v="368"/>
    <n v="52"/>
    <x v="0"/>
    <x v="10"/>
    <x v="0"/>
    <n v="40"/>
    <x v="30"/>
    <x v="3"/>
    <s v="Cyan"/>
    <x v="1"/>
    <n v="2.8"/>
    <x v="0"/>
    <x v="5"/>
    <x v="0"/>
    <x v="0"/>
    <n v="18"/>
    <x v="4"/>
    <x v="5"/>
  </r>
  <r>
    <n v="369"/>
    <n v="24"/>
    <x v="0"/>
    <x v="8"/>
    <x v="3"/>
    <n v="39"/>
    <x v="19"/>
    <x v="2"/>
    <s v="Charcoal"/>
    <x v="1"/>
    <n v="4.5"/>
    <x v="0"/>
    <x v="3"/>
    <x v="0"/>
    <x v="0"/>
    <n v="29"/>
    <x v="1"/>
    <x v="5"/>
  </r>
  <r>
    <n v="370"/>
    <n v="38"/>
    <x v="0"/>
    <x v="22"/>
    <x v="3"/>
    <n v="40"/>
    <x v="48"/>
    <x v="2"/>
    <s v="Silver"/>
    <x v="2"/>
    <n v="3.3"/>
    <x v="0"/>
    <x v="5"/>
    <x v="0"/>
    <x v="0"/>
    <n v="45"/>
    <x v="3"/>
    <x v="3"/>
  </r>
  <r>
    <n v="371"/>
    <n v="59"/>
    <x v="0"/>
    <x v="18"/>
    <x v="3"/>
    <n v="34"/>
    <x v="4"/>
    <x v="2"/>
    <s v="Olive"/>
    <x v="0"/>
    <n v="3.4"/>
    <x v="0"/>
    <x v="0"/>
    <x v="0"/>
    <x v="0"/>
    <n v="13"/>
    <x v="3"/>
    <x v="1"/>
  </r>
  <r>
    <n v="372"/>
    <n v="27"/>
    <x v="0"/>
    <x v="4"/>
    <x v="1"/>
    <n v="83"/>
    <x v="17"/>
    <x v="1"/>
    <s v="Pink"/>
    <x v="0"/>
    <n v="3.2"/>
    <x v="0"/>
    <x v="4"/>
    <x v="0"/>
    <x v="0"/>
    <n v="47"/>
    <x v="3"/>
    <x v="5"/>
  </r>
  <r>
    <n v="373"/>
    <n v="24"/>
    <x v="0"/>
    <x v="1"/>
    <x v="0"/>
    <n v="85"/>
    <x v="38"/>
    <x v="0"/>
    <s v="Orange"/>
    <x v="2"/>
    <n v="3.7"/>
    <x v="0"/>
    <x v="3"/>
    <x v="0"/>
    <x v="0"/>
    <n v="7"/>
    <x v="5"/>
    <x v="1"/>
  </r>
  <r>
    <n v="374"/>
    <n v="23"/>
    <x v="0"/>
    <x v="7"/>
    <x v="2"/>
    <n v="27"/>
    <x v="25"/>
    <x v="0"/>
    <s v="White"/>
    <x v="2"/>
    <n v="4.5999999999999996"/>
    <x v="0"/>
    <x v="0"/>
    <x v="0"/>
    <x v="0"/>
    <n v="11"/>
    <x v="0"/>
    <x v="4"/>
  </r>
  <r>
    <n v="375"/>
    <n v="69"/>
    <x v="0"/>
    <x v="16"/>
    <x v="3"/>
    <n v="78"/>
    <x v="31"/>
    <x v="1"/>
    <s v="Purple"/>
    <x v="1"/>
    <n v="5"/>
    <x v="0"/>
    <x v="5"/>
    <x v="0"/>
    <x v="0"/>
    <n v="39"/>
    <x v="4"/>
    <x v="5"/>
  </r>
  <r>
    <n v="376"/>
    <n v="59"/>
    <x v="0"/>
    <x v="12"/>
    <x v="3"/>
    <n v="32"/>
    <x v="19"/>
    <x v="2"/>
    <s v="Olive"/>
    <x v="2"/>
    <n v="4.4000000000000004"/>
    <x v="0"/>
    <x v="3"/>
    <x v="0"/>
    <x v="0"/>
    <n v="6"/>
    <x v="5"/>
    <x v="3"/>
  </r>
  <r>
    <n v="377"/>
    <n v="51"/>
    <x v="0"/>
    <x v="9"/>
    <x v="1"/>
    <n v="51"/>
    <x v="36"/>
    <x v="1"/>
    <s v="Gray"/>
    <x v="3"/>
    <n v="4.9000000000000004"/>
    <x v="0"/>
    <x v="0"/>
    <x v="0"/>
    <x v="0"/>
    <n v="2"/>
    <x v="0"/>
    <x v="4"/>
  </r>
  <r>
    <n v="378"/>
    <n v="63"/>
    <x v="0"/>
    <x v="18"/>
    <x v="3"/>
    <n v="32"/>
    <x v="1"/>
    <x v="2"/>
    <s v="Silver"/>
    <x v="1"/>
    <n v="4.0999999999999996"/>
    <x v="0"/>
    <x v="3"/>
    <x v="0"/>
    <x v="0"/>
    <n v="39"/>
    <x v="2"/>
    <x v="6"/>
  </r>
  <r>
    <n v="379"/>
    <n v="54"/>
    <x v="0"/>
    <x v="10"/>
    <x v="0"/>
    <n v="62"/>
    <x v="22"/>
    <x v="0"/>
    <s v="Orange"/>
    <x v="0"/>
    <n v="4.9000000000000004"/>
    <x v="0"/>
    <x v="2"/>
    <x v="0"/>
    <x v="0"/>
    <n v="23"/>
    <x v="2"/>
    <x v="5"/>
  </r>
  <r>
    <n v="380"/>
    <n v="32"/>
    <x v="0"/>
    <x v="17"/>
    <x v="0"/>
    <n v="29"/>
    <x v="6"/>
    <x v="1"/>
    <s v="Magenta"/>
    <x v="3"/>
    <n v="4.7"/>
    <x v="0"/>
    <x v="4"/>
    <x v="0"/>
    <x v="0"/>
    <n v="46"/>
    <x v="5"/>
    <x v="4"/>
  </r>
  <r>
    <n v="381"/>
    <n v="39"/>
    <x v="0"/>
    <x v="21"/>
    <x v="3"/>
    <n v="69"/>
    <x v="13"/>
    <x v="3"/>
    <s v="Beige"/>
    <x v="3"/>
    <n v="3"/>
    <x v="0"/>
    <x v="5"/>
    <x v="0"/>
    <x v="0"/>
    <n v="19"/>
    <x v="4"/>
    <x v="1"/>
  </r>
  <r>
    <n v="382"/>
    <n v="66"/>
    <x v="0"/>
    <x v="16"/>
    <x v="3"/>
    <n v="25"/>
    <x v="1"/>
    <x v="0"/>
    <s v="Lavender"/>
    <x v="0"/>
    <n v="3.4"/>
    <x v="0"/>
    <x v="5"/>
    <x v="0"/>
    <x v="0"/>
    <n v="3"/>
    <x v="2"/>
    <x v="6"/>
  </r>
  <r>
    <n v="383"/>
    <n v="28"/>
    <x v="0"/>
    <x v="2"/>
    <x v="0"/>
    <n v="76"/>
    <x v="18"/>
    <x v="2"/>
    <s v="Peach"/>
    <x v="0"/>
    <n v="3.2"/>
    <x v="0"/>
    <x v="5"/>
    <x v="0"/>
    <x v="0"/>
    <n v="47"/>
    <x v="3"/>
    <x v="3"/>
  </r>
  <r>
    <n v="384"/>
    <n v="50"/>
    <x v="0"/>
    <x v="12"/>
    <x v="3"/>
    <n v="77"/>
    <x v="8"/>
    <x v="1"/>
    <s v="Magenta"/>
    <x v="3"/>
    <n v="2.9"/>
    <x v="0"/>
    <x v="3"/>
    <x v="0"/>
    <x v="0"/>
    <n v="6"/>
    <x v="3"/>
    <x v="3"/>
  </r>
  <r>
    <n v="385"/>
    <n v="70"/>
    <x v="0"/>
    <x v="1"/>
    <x v="0"/>
    <n v="33"/>
    <x v="18"/>
    <x v="2"/>
    <s v="Beige"/>
    <x v="3"/>
    <n v="4.5"/>
    <x v="0"/>
    <x v="4"/>
    <x v="0"/>
    <x v="0"/>
    <n v="6"/>
    <x v="0"/>
    <x v="2"/>
  </r>
  <r>
    <n v="386"/>
    <n v="67"/>
    <x v="0"/>
    <x v="6"/>
    <x v="0"/>
    <n v="93"/>
    <x v="8"/>
    <x v="1"/>
    <s v="Yellow"/>
    <x v="3"/>
    <n v="2.7"/>
    <x v="0"/>
    <x v="2"/>
    <x v="0"/>
    <x v="0"/>
    <n v="12"/>
    <x v="2"/>
    <x v="4"/>
  </r>
  <r>
    <n v="387"/>
    <n v="64"/>
    <x v="0"/>
    <x v="16"/>
    <x v="3"/>
    <n v="39"/>
    <x v="7"/>
    <x v="0"/>
    <s v="Brown"/>
    <x v="1"/>
    <n v="3.4"/>
    <x v="0"/>
    <x v="0"/>
    <x v="0"/>
    <x v="0"/>
    <n v="40"/>
    <x v="3"/>
    <x v="3"/>
  </r>
  <r>
    <n v="388"/>
    <n v="45"/>
    <x v="0"/>
    <x v="7"/>
    <x v="2"/>
    <n v="93"/>
    <x v="42"/>
    <x v="0"/>
    <s v="Silver"/>
    <x v="2"/>
    <n v="4.5999999999999996"/>
    <x v="0"/>
    <x v="5"/>
    <x v="0"/>
    <x v="0"/>
    <n v="38"/>
    <x v="3"/>
    <x v="0"/>
  </r>
  <r>
    <n v="389"/>
    <n v="22"/>
    <x v="0"/>
    <x v="8"/>
    <x v="3"/>
    <n v="82"/>
    <x v="47"/>
    <x v="2"/>
    <s v="Orange"/>
    <x v="2"/>
    <n v="2.7"/>
    <x v="0"/>
    <x v="5"/>
    <x v="0"/>
    <x v="0"/>
    <n v="10"/>
    <x v="3"/>
    <x v="3"/>
  </r>
  <r>
    <n v="390"/>
    <n v="27"/>
    <x v="0"/>
    <x v="23"/>
    <x v="1"/>
    <n v="42"/>
    <x v="41"/>
    <x v="0"/>
    <s v="Purple"/>
    <x v="1"/>
    <n v="4.2"/>
    <x v="0"/>
    <x v="3"/>
    <x v="0"/>
    <x v="0"/>
    <n v="28"/>
    <x v="4"/>
    <x v="5"/>
  </r>
  <r>
    <n v="391"/>
    <n v="25"/>
    <x v="0"/>
    <x v="24"/>
    <x v="3"/>
    <n v="71"/>
    <x v="27"/>
    <x v="2"/>
    <s v="Indigo"/>
    <x v="0"/>
    <n v="3.2"/>
    <x v="0"/>
    <x v="4"/>
    <x v="0"/>
    <x v="0"/>
    <n v="19"/>
    <x v="3"/>
    <x v="2"/>
  </r>
  <r>
    <n v="392"/>
    <n v="37"/>
    <x v="0"/>
    <x v="1"/>
    <x v="0"/>
    <n v="86"/>
    <x v="46"/>
    <x v="0"/>
    <s v="Gray"/>
    <x v="1"/>
    <n v="4.8"/>
    <x v="0"/>
    <x v="3"/>
    <x v="0"/>
    <x v="0"/>
    <n v="25"/>
    <x v="1"/>
    <x v="0"/>
  </r>
  <r>
    <n v="393"/>
    <n v="26"/>
    <x v="0"/>
    <x v="17"/>
    <x v="0"/>
    <n v="82"/>
    <x v="37"/>
    <x v="3"/>
    <s v="Black"/>
    <x v="1"/>
    <n v="3.3"/>
    <x v="0"/>
    <x v="2"/>
    <x v="0"/>
    <x v="0"/>
    <n v="38"/>
    <x v="2"/>
    <x v="2"/>
  </r>
  <r>
    <n v="394"/>
    <n v="33"/>
    <x v="0"/>
    <x v="9"/>
    <x v="1"/>
    <n v="65"/>
    <x v="34"/>
    <x v="0"/>
    <s v="Maroon"/>
    <x v="3"/>
    <n v="4.2"/>
    <x v="0"/>
    <x v="3"/>
    <x v="0"/>
    <x v="0"/>
    <n v="6"/>
    <x v="3"/>
    <x v="0"/>
  </r>
  <r>
    <n v="395"/>
    <n v="43"/>
    <x v="0"/>
    <x v="18"/>
    <x v="3"/>
    <n v="29"/>
    <x v="25"/>
    <x v="2"/>
    <s v="Beige"/>
    <x v="1"/>
    <n v="4.8"/>
    <x v="0"/>
    <x v="5"/>
    <x v="0"/>
    <x v="0"/>
    <n v="7"/>
    <x v="5"/>
    <x v="4"/>
  </r>
  <r>
    <n v="396"/>
    <n v="37"/>
    <x v="0"/>
    <x v="4"/>
    <x v="1"/>
    <n v="65"/>
    <x v="3"/>
    <x v="0"/>
    <s v="Brown"/>
    <x v="0"/>
    <n v="4.9000000000000004"/>
    <x v="0"/>
    <x v="5"/>
    <x v="0"/>
    <x v="0"/>
    <n v="2"/>
    <x v="3"/>
    <x v="2"/>
  </r>
  <r>
    <n v="397"/>
    <n v="46"/>
    <x v="0"/>
    <x v="10"/>
    <x v="0"/>
    <n v="88"/>
    <x v="36"/>
    <x v="1"/>
    <s v="Black"/>
    <x v="3"/>
    <n v="3.9"/>
    <x v="0"/>
    <x v="3"/>
    <x v="0"/>
    <x v="0"/>
    <n v="24"/>
    <x v="4"/>
    <x v="2"/>
  </r>
  <r>
    <n v="398"/>
    <n v="22"/>
    <x v="0"/>
    <x v="22"/>
    <x v="3"/>
    <n v="46"/>
    <x v="16"/>
    <x v="2"/>
    <s v="Indigo"/>
    <x v="3"/>
    <n v="3"/>
    <x v="0"/>
    <x v="1"/>
    <x v="0"/>
    <x v="0"/>
    <n v="26"/>
    <x v="1"/>
    <x v="2"/>
  </r>
  <r>
    <n v="399"/>
    <n v="20"/>
    <x v="0"/>
    <x v="23"/>
    <x v="1"/>
    <n v="67"/>
    <x v="6"/>
    <x v="1"/>
    <s v="Silver"/>
    <x v="0"/>
    <n v="4.5999999999999996"/>
    <x v="0"/>
    <x v="1"/>
    <x v="0"/>
    <x v="0"/>
    <n v="25"/>
    <x v="5"/>
    <x v="6"/>
  </r>
  <r>
    <n v="400"/>
    <n v="60"/>
    <x v="0"/>
    <x v="18"/>
    <x v="3"/>
    <n v="35"/>
    <x v="37"/>
    <x v="0"/>
    <s v="Blue"/>
    <x v="3"/>
    <n v="3.5"/>
    <x v="0"/>
    <x v="4"/>
    <x v="0"/>
    <x v="0"/>
    <n v="10"/>
    <x v="5"/>
    <x v="5"/>
  </r>
  <r>
    <n v="401"/>
    <n v="39"/>
    <x v="0"/>
    <x v="23"/>
    <x v="1"/>
    <n v="66"/>
    <x v="40"/>
    <x v="2"/>
    <s v="Green"/>
    <x v="0"/>
    <n v="4.8"/>
    <x v="0"/>
    <x v="1"/>
    <x v="0"/>
    <x v="0"/>
    <n v="14"/>
    <x v="3"/>
    <x v="0"/>
  </r>
  <r>
    <n v="402"/>
    <n v="43"/>
    <x v="0"/>
    <x v="17"/>
    <x v="0"/>
    <n v="91"/>
    <x v="19"/>
    <x v="0"/>
    <s v="Orange"/>
    <x v="3"/>
    <n v="4.8"/>
    <x v="0"/>
    <x v="3"/>
    <x v="0"/>
    <x v="0"/>
    <n v="21"/>
    <x v="1"/>
    <x v="3"/>
  </r>
  <r>
    <n v="403"/>
    <n v="31"/>
    <x v="0"/>
    <x v="21"/>
    <x v="3"/>
    <n v="78"/>
    <x v="18"/>
    <x v="0"/>
    <s v="Cyan"/>
    <x v="3"/>
    <n v="3"/>
    <x v="0"/>
    <x v="0"/>
    <x v="0"/>
    <x v="0"/>
    <n v="26"/>
    <x v="3"/>
    <x v="5"/>
  </r>
  <r>
    <n v="404"/>
    <n v="19"/>
    <x v="0"/>
    <x v="4"/>
    <x v="1"/>
    <n v="45"/>
    <x v="22"/>
    <x v="2"/>
    <s v="Orange"/>
    <x v="0"/>
    <n v="4.5"/>
    <x v="0"/>
    <x v="2"/>
    <x v="0"/>
    <x v="0"/>
    <n v="12"/>
    <x v="4"/>
    <x v="2"/>
  </r>
  <r>
    <n v="405"/>
    <n v="35"/>
    <x v="0"/>
    <x v="17"/>
    <x v="0"/>
    <n v="93"/>
    <x v="12"/>
    <x v="2"/>
    <s v="Indigo"/>
    <x v="1"/>
    <n v="4.8"/>
    <x v="0"/>
    <x v="5"/>
    <x v="0"/>
    <x v="0"/>
    <n v="11"/>
    <x v="2"/>
    <x v="5"/>
  </r>
  <r>
    <n v="406"/>
    <n v="41"/>
    <x v="0"/>
    <x v="2"/>
    <x v="0"/>
    <n v="74"/>
    <x v="36"/>
    <x v="1"/>
    <s v="Silver"/>
    <x v="2"/>
    <n v="3.8"/>
    <x v="0"/>
    <x v="3"/>
    <x v="0"/>
    <x v="0"/>
    <n v="15"/>
    <x v="1"/>
    <x v="2"/>
  </r>
  <r>
    <n v="407"/>
    <n v="52"/>
    <x v="0"/>
    <x v="24"/>
    <x v="3"/>
    <n v="55"/>
    <x v="33"/>
    <x v="2"/>
    <s v="Peach"/>
    <x v="1"/>
    <n v="4.5999999999999996"/>
    <x v="0"/>
    <x v="0"/>
    <x v="0"/>
    <x v="0"/>
    <n v="13"/>
    <x v="1"/>
    <x v="5"/>
  </r>
  <r>
    <n v="408"/>
    <n v="45"/>
    <x v="0"/>
    <x v="15"/>
    <x v="0"/>
    <n v="76"/>
    <x v="17"/>
    <x v="3"/>
    <s v="Teal"/>
    <x v="1"/>
    <n v="3.1"/>
    <x v="0"/>
    <x v="2"/>
    <x v="0"/>
    <x v="0"/>
    <n v="5"/>
    <x v="2"/>
    <x v="4"/>
  </r>
  <r>
    <n v="409"/>
    <n v="34"/>
    <x v="0"/>
    <x v="4"/>
    <x v="1"/>
    <n v="66"/>
    <x v="15"/>
    <x v="0"/>
    <s v="White"/>
    <x v="1"/>
    <n v="3.4"/>
    <x v="0"/>
    <x v="0"/>
    <x v="0"/>
    <x v="0"/>
    <n v="36"/>
    <x v="1"/>
    <x v="0"/>
  </r>
  <r>
    <n v="410"/>
    <n v="35"/>
    <x v="0"/>
    <x v="6"/>
    <x v="0"/>
    <n v="51"/>
    <x v="46"/>
    <x v="2"/>
    <s v="Brown"/>
    <x v="0"/>
    <n v="3.3"/>
    <x v="0"/>
    <x v="4"/>
    <x v="0"/>
    <x v="0"/>
    <n v="32"/>
    <x v="4"/>
    <x v="5"/>
  </r>
  <r>
    <n v="411"/>
    <n v="29"/>
    <x v="0"/>
    <x v="1"/>
    <x v="0"/>
    <n v="26"/>
    <x v="41"/>
    <x v="0"/>
    <s v="Lavender"/>
    <x v="1"/>
    <n v="4.8"/>
    <x v="0"/>
    <x v="4"/>
    <x v="0"/>
    <x v="0"/>
    <n v="1"/>
    <x v="2"/>
    <x v="3"/>
  </r>
  <r>
    <n v="412"/>
    <n v="59"/>
    <x v="0"/>
    <x v="2"/>
    <x v="0"/>
    <n v="29"/>
    <x v="49"/>
    <x v="2"/>
    <s v="Indigo"/>
    <x v="2"/>
    <n v="2.8"/>
    <x v="0"/>
    <x v="0"/>
    <x v="0"/>
    <x v="0"/>
    <n v="15"/>
    <x v="3"/>
    <x v="2"/>
  </r>
  <r>
    <n v="413"/>
    <n v="24"/>
    <x v="0"/>
    <x v="14"/>
    <x v="2"/>
    <n v="74"/>
    <x v="1"/>
    <x v="2"/>
    <s v="Yellow"/>
    <x v="2"/>
    <n v="3.1"/>
    <x v="0"/>
    <x v="5"/>
    <x v="0"/>
    <x v="0"/>
    <n v="3"/>
    <x v="4"/>
    <x v="1"/>
  </r>
  <r>
    <n v="414"/>
    <n v="70"/>
    <x v="0"/>
    <x v="16"/>
    <x v="3"/>
    <n v="99"/>
    <x v="22"/>
    <x v="1"/>
    <s v="White"/>
    <x v="2"/>
    <n v="4.5999999999999996"/>
    <x v="0"/>
    <x v="1"/>
    <x v="0"/>
    <x v="0"/>
    <n v="48"/>
    <x v="1"/>
    <x v="5"/>
  </r>
  <r>
    <n v="415"/>
    <n v="29"/>
    <x v="0"/>
    <x v="21"/>
    <x v="3"/>
    <n v="88"/>
    <x v="5"/>
    <x v="0"/>
    <s v="Violet"/>
    <x v="0"/>
    <n v="2.6"/>
    <x v="0"/>
    <x v="5"/>
    <x v="0"/>
    <x v="0"/>
    <n v="30"/>
    <x v="5"/>
    <x v="1"/>
  </r>
  <r>
    <n v="416"/>
    <n v="67"/>
    <x v="0"/>
    <x v="7"/>
    <x v="2"/>
    <n v="31"/>
    <x v="39"/>
    <x v="2"/>
    <s v="Lavender"/>
    <x v="0"/>
    <n v="2.6"/>
    <x v="0"/>
    <x v="0"/>
    <x v="0"/>
    <x v="0"/>
    <n v="40"/>
    <x v="4"/>
    <x v="5"/>
  </r>
  <r>
    <n v="417"/>
    <n v="36"/>
    <x v="0"/>
    <x v="22"/>
    <x v="3"/>
    <n v="55"/>
    <x v="4"/>
    <x v="0"/>
    <s v="Olive"/>
    <x v="1"/>
    <n v="3.8"/>
    <x v="0"/>
    <x v="1"/>
    <x v="0"/>
    <x v="0"/>
    <n v="24"/>
    <x v="4"/>
    <x v="0"/>
  </r>
  <r>
    <n v="418"/>
    <n v="23"/>
    <x v="0"/>
    <x v="3"/>
    <x v="1"/>
    <n v="81"/>
    <x v="16"/>
    <x v="0"/>
    <s v="Beige"/>
    <x v="3"/>
    <n v="4.5"/>
    <x v="0"/>
    <x v="1"/>
    <x v="0"/>
    <x v="0"/>
    <n v="48"/>
    <x v="5"/>
    <x v="3"/>
  </r>
  <r>
    <n v="419"/>
    <n v="18"/>
    <x v="0"/>
    <x v="1"/>
    <x v="0"/>
    <n v="73"/>
    <x v="26"/>
    <x v="0"/>
    <s v="Purple"/>
    <x v="1"/>
    <n v="3"/>
    <x v="0"/>
    <x v="3"/>
    <x v="0"/>
    <x v="0"/>
    <n v="27"/>
    <x v="0"/>
    <x v="4"/>
  </r>
  <r>
    <n v="420"/>
    <n v="53"/>
    <x v="0"/>
    <x v="6"/>
    <x v="0"/>
    <n v="91"/>
    <x v="40"/>
    <x v="1"/>
    <s v="Teal"/>
    <x v="0"/>
    <n v="3.5"/>
    <x v="0"/>
    <x v="1"/>
    <x v="0"/>
    <x v="0"/>
    <n v="14"/>
    <x v="2"/>
    <x v="6"/>
  </r>
  <r>
    <n v="421"/>
    <n v="32"/>
    <x v="0"/>
    <x v="20"/>
    <x v="0"/>
    <n v="54"/>
    <x v="17"/>
    <x v="1"/>
    <s v="Peach"/>
    <x v="1"/>
    <n v="3.8"/>
    <x v="0"/>
    <x v="1"/>
    <x v="0"/>
    <x v="0"/>
    <n v="18"/>
    <x v="5"/>
    <x v="4"/>
  </r>
  <r>
    <n v="422"/>
    <n v="38"/>
    <x v="0"/>
    <x v="5"/>
    <x v="0"/>
    <n v="40"/>
    <x v="0"/>
    <x v="2"/>
    <s v="Violet"/>
    <x v="0"/>
    <n v="3.5"/>
    <x v="0"/>
    <x v="3"/>
    <x v="0"/>
    <x v="0"/>
    <n v="48"/>
    <x v="1"/>
    <x v="4"/>
  </r>
  <r>
    <n v="423"/>
    <n v="47"/>
    <x v="0"/>
    <x v="13"/>
    <x v="0"/>
    <n v="59"/>
    <x v="46"/>
    <x v="2"/>
    <s v="Purple"/>
    <x v="3"/>
    <n v="3.1"/>
    <x v="0"/>
    <x v="5"/>
    <x v="0"/>
    <x v="0"/>
    <n v="32"/>
    <x v="5"/>
    <x v="2"/>
  </r>
  <r>
    <n v="424"/>
    <n v="46"/>
    <x v="0"/>
    <x v="18"/>
    <x v="3"/>
    <n v="26"/>
    <x v="14"/>
    <x v="0"/>
    <s v="Teal"/>
    <x v="1"/>
    <n v="3"/>
    <x v="0"/>
    <x v="5"/>
    <x v="0"/>
    <x v="0"/>
    <n v="21"/>
    <x v="2"/>
    <x v="4"/>
  </r>
  <r>
    <n v="425"/>
    <n v="66"/>
    <x v="0"/>
    <x v="1"/>
    <x v="0"/>
    <n v="23"/>
    <x v="26"/>
    <x v="2"/>
    <s v="Gold"/>
    <x v="0"/>
    <n v="4.3"/>
    <x v="0"/>
    <x v="3"/>
    <x v="0"/>
    <x v="0"/>
    <n v="42"/>
    <x v="3"/>
    <x v="0"/>
  </r>
  <r>
    <n v="426"/>
    <n v="40"/>
    <x v="0"/>
    <x v="2"/>
    <x v="0"/>
    <n v="87"/>
    <x v="25"/>
    <x v="1"/>
    <s v="Teal"/>
    <x v="0"/>
    <n v="3.3"/>
    <x v="0"/>
    <x v="5"/>
    <x v="0"/>
    <x v="0"/>
    <n v="4"/>
    <x v="2"/>
    <x v="3"/>
  </r>
  <r>
    <n v="427"/>
    <n v="43"/>
    <x v="0"/>
    <x v="13"/>
    <x v="0"/>
    <n v="71"/>
    <x v="7"/>
    <x v="2"/>
    <s v="Violet"/>
    <x v="0"/>
    <n v="4.7"/>
    <x v="0"/>
    <x v="0"/>
    <x v="0"/>
    <x v="0"/>
    <n v="19"/>
    <x v="2"/>
    <x v="3"/>
  </r>
  <r>
    <n v="428"/>
    <n v="58"/>
    <x v="0"/>
    <x v="21"/>
    <x v="3"/>
    <n v="91"/>
    <x v="26"/>
    <x v="0"/>
    <s v="Black"/>
    <x v="0"/>
    <n v="4.5"/>
    <x v="0"/>
    <x v="5"/>
    <x v="0"/>
    <x v="0"/>
    <n v="6"/>
    <x v="2"/>
    <x v="3"/>
  </r>
  <r>
    <n v="429"/>
    <n v="21"/>
    <x v="0"/>
    <x v="7"/>
    <x v="2"/>
    <n v="64"/>
    <x v="5"/>
    <x v="3"/>
    <s v="Gold"/>
    <x v="0"/>
    <n v="2.9"/>
    <x v="0"/>
    <x v="1"/>
    <x v="0"/>
    <x v="0"/>
    <n v="2"/>
    <x v="5"/>
    <x v="0"/>
  </r>
  <r>
    <n v="430"/>
    <n v="42"/>
    <x v="0"/>
    <x v="3"/>
    <x v="1"/>
    <n v="94"/>
    <x v="47"/>
    <x v="2"/>
    <s v="Gold"/>
    <x v="0"/>
    <n v="4.0999999999999996"/>
    <x v="0"/>
    <x v="4"/>
    <x v="0"/>
    <x v="0"/>
    <n v="21"/>
    <x v="1"/>
    <x v="0"/>
  </r>
  <r>
    <n v="431"/>
    <n v="24"/>
    <x v="0"/>
    <x v="5"/>
    <x v="0"/>
    <n v="40"/>
    <x v="21"/>
    <x v="2"/>
    <s v="Brown"/>
    <x v="2"/>
    <n v="3.5"/>
    <x v="0"/>
    <x v="5"/>
    <x v="0"/>
    <x v="0"/>
    <n v="40"/>
    <x v="5"/>
    <x v="2"/>
  </r>
  <r>
    <n v="432"/>
    <n v="43"/>
    <x v="0"/>
    <x v="19"/>
    <x v="3"/>
    <n v="76"/>
    <x v="13"/>
    <x v="0"/>
    <s v="Cyan"/>
    <x v="0"/>
    <n v="3.4"/>
    <x v="0"/>
    <x v="5"/>
    <x v="0"/>
    <x v="0"/>
    <n v="33"/>
    <x v="1"/>
    <x v="0"/>
  </r>
  <r>
    <n v="433"/>
    <n v="47"/>
    <x v="0"/>
    <x v="5"/>
    <x v="0"/>
    <n v="86"/>
    <x v="27"/>
    <x v="1"/>
    <s v="Indigo"/>
    <x v="3"/>
    <n v="3.3"/>
    <x v="0"/>
    <x v="1"/>
    <x v="0"/>
    <x v="0"/>
    <n v="26"/>
    <x v="0"/>
    <x v="1"/>
  </r>
  <r>
    <n v="434"/>
    <n v="49"/>
    <x v="0"/>
    <x v="11"/>
    <x v="0"/>
    <n v="92"/>
    <x v="15"/>
    <x v="2"/>
    <s v="Orange"/>
    <x v="3"/>
    <n v="3.2"/>
    <x v="0"/>
    <x v="5"/>
    <x v="0"/>
    <x v="0"/>
    <n v="23"/>
    <x v="2"/>
    <x v="0"/>
  </r>
  <r>
    <n v="435"/>
    <n v="50"/>
    <x v="0"/>
    <x v="9"/>
    <x v="1"/>
    <n v="52"/>
    <x v="19"/>
    <x v="0"/>
    <s v="Pink"/>
    <x v="1"/>
    <n v="4"/>
    <x v="0"/>
    <x v="5"/>
    <x v="0"/>
    <x v="0"/>
    <n v="39"/>
    <x v="3"/>
    <x v="6"/>
  </r>
  <r>
    <n v="436"/>
    <n v="51"/>
    <x v="0"/>
    <x v="7"/>
    <x v="2"/>
    <n v="28"/>
    <x v="6"/>
    <x v="3"/>
    <s v="Olive"/>
    <x v="0"/>
    <n v="3.6"/>
    <x v="0"/>
    <x v="2"/>
    <x v="0"/>
    <x v="0"/>
    <n v="42"/>
    <x v="4"/>
    <x v="5"/>
  </r>
  <r>
    <n v="437"/>
    <n v="40"/>
    <x v="0"/>
    <x v="13"/>
    <x v="0"/>
    <n v="46"/>
    <x v="30"/>
    <x v="0"/>
    <s v="Cyan"/>
    <x v="2"/>
    <n v="4.5999999999999996"/>
    <x v="0"/>
    <x v="1"/>
    <x v="0"/>
    <x v="0"/>
    <n v="41"/>
    <x v="4"/>
    <x v="1"/>
  </r>
  <r>
    <n v="438"/>
    <n v="45"/>
    <x v="0"/>
    <x v="16"/>
    <x v="3"/>
    <n v="50"/>
    <x v="35"/>
    <x v="2"/>
    <s v="Peach"/>
    <x v="2"/>
    <n v="2.6"/>
    <x v="0"/>
    <x v="2"/>
    <x v="0"/>
    <x v="0"/>
    <n v="41"/>
    <x v="3"/>
    <x v="2"/>
  </r>
  <r>
    <n v="439"/>
    <n v="52"/>
    <x v="0"/>
    <x v="22"/>
    <x v="3"/>
    <n v="23"/>
    <x v="44"/>
    <x v="2"/>
    <s v="Turquoise"/>
    <x v="0"/>
    <n v="4.3"/>
    <x v="0"/>
    <x v="0"/>
    <x v="0"/>
    <x v="0"/>
    <n v="12"/>
    <x v="2"/>
    <x v="0"/>
  </r>
  <r>
    <n v="440"/>
    <n v="62"/>
    <x v="0"/>
    <x v="14"/>
    <x v="2"/>
    <n v="50"/>
    <x v="37"/>
    <x v="2"/>
    <s v="Turquoise"/>
    <x v="2"/>
    <n v="3.4"/>
    <x v="0"/>
    <x v="1"/>
    <x v="0"/>
    <x v="0"/>
    <n v="31"/>
    <x v="1"/>
    <x v="5"/>
  </r>
  <r>
    <n v="441"/>
    <n v="20"/>
    <x v="0"/>
    <x v="5"/>
    <x v="0"/>
    <n v="89"/>
    <x v="19"/>
    <x v="3"/>
    <s v="Maroon"/>
    <x v="0"/>
    <n v="3.5"/>
    <x v="0"/>
    <x v="5"/>
    <x v="0"/>
    <x v="0"/>
    <n v="34"/>
    <x v="5"/>
    <x v="0"/>
  </r>
  <r>
    <n v="442"/>
    <n v="43"/>
    <x v="0"/>
    <x v="15"/>
    <x v="0"/>
    <n v="81"/>
    <x v="20"/>
    <x v="2"/>
    <s v="Maroon"/>
    <x v="0"/>
    <n v="4.2"/>
    <x v="0"/>
    <x v="3"/>
    <x v="0"/>
    <x v="0"/>
    <n v="32"/>
    <x v="2"/>
    <x v="2"/>
  </r>
  <r>
    <n v="443"/>
    <n v="29"/>
    <x v="0"/>
    <x v="12"/>
    <x v="3"/>
    <n v="69"/>
    <x v="49"/>
    <x v="2"/>
    <s v="Olive"/>
    <x v="3"/>
    <n v="3.5"/>
    <x v="0"/>
    <x v="5"/>
    <x v="0"/>
    <x v="0"/>
    <n v="31"/>
    <x v="2"/>
    <x v="3"/>
  </r>
  <r>
    <n v="444"/>
    <n v="22"/>
    <x v="0"/>
    <x v="12"/>
    <x v="3"/>
    <n v="67"/>
    <x v="11"/>
    <x v="2"/>
    <s v="Magenta"/>
    <x v="2"/>
    <n v="3.6"/>
    <x v="0"/>
    <x v="1"/>
    <x v="0"/>
    <x v="0"/>
    <n v="24"/>
    <x v="3"/>
    <x v="2"/>
  </r>
  <r>
    <n v="445"/>
    <n v="48"/>
    <x v="0"/>
    <x v="10"/>
    <x v="0"/>
    <n v="20"/>
    <x v="18"/>
    <x v="2"/>
    <s v="Red"/>
    <x v="2"/>
    <n v="4.3"/>
    <x v="0"/>
    <x v="5"/>
    <x v="0"/>
    <x v="0"/>
    <n v="31"/>
    <x v="5"/>
    <x v="2"/>
  </r>
  <r>
    <n v="446"/>
    <n v="42"/>
    <x v="0"/>
    <x v="23"/>
    <x v="1"/>
    <n v="29"/>
    <x v="44"/>
    <x v="2"/>
    <s v="Olive"/>
    <x v="3"/>
    <n v="4.9000000000000004"/>
    <x v="0"/>
    <x v="3"/>
    <x v="0"/>
    <x v="0"/>
    <n v="18"/>
    <x v="0"/>
    <x v="2"/>
  </r>
  <r>
    <n v="447"/>
    <n v="19"/>
    <x v="0"/>
    <x v="5"/>
    <x v="0"/>
    <n v="74"/>
    <x v="8"/>
    <x v="2"/>
    <s v="Silver"/>
    <x v="2"/>
    <n v="4.0999999999999996"/>
    <x v="0"/>
    <x v="5"/>
    <x v="0"/>
    <x v="0"/>
    <n v="15"/>
    <x v="0"/>
    <x v="5"/>
  </r>
  <r>
    <n v="448"/>
    <n v="60"/>
    <x v="0"/>
    <x v="6"/>
    <x v="0"/>
    <n v="82"/>
    <x v="47"/>
    <x v="1"/>
    <s v="Turquoise"/>
    <x v="1"/>
    <n v="3.6"/>
    <x v="0"/>
    <x v="3"/>
    <x v="0"/>
    <x v="0"/>
    <n v="7"/>
    <x v="4"/>
    <x v="6"/>
  </r>
  <r>
    <n v="449"/>
    <n v="32"/>
    <x v="0"/>
    <x v="24"/>
    <x v="3"/>
    <n v="23"/>
    <x v="9"/>
    <x v="2"/>
    <s v="Yellow"/>
    <x v="2"/>
    <n v="3.4"/>
    <x v="0"/>
    <x v="2"/>
    <x v="0"/>
    <x v="0"/>
    <n v="35"/>
    <x v="4"/>
    <x v="0"/>
  </r>
  <r>
    <n v="450"/>
    <n v="26"/>
    <x v="0"/>
    <x v="16"/>
    <x v="3"/>
    <n v="45"/>
    <x v="14"/>
    <x v="0"/>
    <s v="Peach"/>
    <x v="2"/>
    <n v="2.9"/>
    <x v="0"/>
    <x v="4"/>
    <x v="0"/>
    <x v="0"/>
    <n v="35"/>
    <x v="4"/>
    <x v="5"/>
  </r>
  <r>
    <n v="451"/>
    <n v="25"/>
    <x v="0"/>
    <x v="23"/>
    <x v="1"/>
    <n v="21"/>
    <x v="39"/>
    <x v="0"/>
    <s v="Beige"/>
    <x v="2"/>
    <n v="2.7"/>
    <x v="0"/>
    <x v="5"/>
    <x v="0"/>
    <x v="0"/>
    <n v="19"/>
    <x v="2"/>
    <x v="5"/>
  </r>
  <r>
    <n v="452"/>
    <n v="66"/>
    <x v="0"/>
    <x v="16"/>
    <x v="3"/>
    <n v="31"/>
    <x v="41"/>
    <x v="2"/>
    <s v="Pink"/>
    <x v="2"/>
    <n v="4.3"/>
    <x v="0"/>
    <x v="0"/>
    <x v="0"/>
    <x v="0"/>
    <n v="26"/>
    <x v="2"/>
    <x v="0"/>
  </r>
  <r>
    <n v="453"/>
    <n v="45"/>
    <x v="0"/>
    <x v="13"/>
    <x v="0"/>
    <n v="45"/>
    <x v="9"/>
    <x v="2"/>
    <s v="Violet"/>
    <x v="2"/>
    <n v="3.3"/>
    <x v="0"/>
    <x v="0"/>
    <x v="0"/>
    <x v="0"/>
    <n v="39"/>
    <x v="3"/>
    <x v="0"/>
  </r>
  <r>
    <n v="454"/>
    <n v="54"/>
    <x v="0"/>
    <x v="16"/>
    <x v="3"/>
    <n v="56"/>
    <x v="43"/>
    <x v="3"/>
    <s v="Peach"/>
    <x v="0"/>
    <n v="2.8"/>
    <x v="0"/>
    <x v="2"/>
    <x v="0"/>
    <x v="0"/>
    <n v="22"/>
    <x v="2"/>
    <x v="1"/>
  </r>
  <r>
    <n v="455"/>
    <n v="37"/>
    <x v="0"/>
    <x v="14"/>
    <x v="2"/>
    <n v="97"/>
    <x v="32"/>
    <x v="1"/>
    <s v="Gold"/>
    <x v="2"/>
    <n v="3.2"/>
    <x v="0"/>
    <x v="2"/>
    <x v="0"/>
    <x v="0"/>
    <n v="14"/>
    <x v="1"/>
    <x v="4"/>
  </r>
  <r>
    <n v="456"/>
    <n v="54"/>
    <x v="0"/>
    <x v="0"/>
    <x v="0"/>
    <n v="100"/>
    <x v="40"/>
    <x v="3"/>
    <s v="Gold"/>
    <x v="3"/>
    <n v="3.6"/>
    <x v="0"/>
    <x v="5"/>
    <x v="0"/>
    <x v="0"/>
    <n v="50"/>
    <x v="5"/>
    <x v="0"/>
  </r>
  <r>
    <n v="457"/>
    <n v="50"/>
    <x v="0"/>
    <x v="0"/>
    <x v="0"/>
    <n v="96"/>
    <x v="17"/>
    <x v="1"/>
    <s v="Indigo"/>
    <x v="3"/>
    <n v="4"/>
    <x v="0"/>
    <x v="4"/>
    <x v="0"/>
    <x v="0"/>
    <n v="33"/>
    <x v="2"/>
    <x v="3"/>
  </r>
  <r>
    <n v="458"/>
    <n v="25"/>
    <x v="0"/>
    <x v="24"/>
    <x v="3"/>
    <n v="99"/>
    <x v="3"/>
    <x v="2"/>
    <s v="Blue"/>
    <x v="1"/>
    <n v="4.9000000000000004"/>
    <x v="0"/>
    <x v="2"/>
    <x v="0"/>
    <x v="0"/>
    <n v="48"/>
    <x v="5"/>
    <x v="6"/>
  </r>
  <r>
    <n v="459"/>
    <n v="47"/>
    <x v="0"/>
    <x v="6"/>
    <x v="0"/>
    <n v="91"/>
    <x v="10"/>
    <x v="0"/>
    <s v="Black"/>
    <x v="0"/>
    <n v="4"/>
    <x v="0"/>
    <x v="4"/>
    <x v="0"/>
    <x v="0"/>
    <n v="48"/>
    <x v="3"/>
    <x v="5"/>
  </r>
  <r>
    <n v="460"/>
    <n v="63"/>
    <x v="0"/>
    <x v="19"/>
    <x v="3"/>
    <n v="30"/>
    <x v="33"/>
    <x v="0"/>
    <s v="Black"/>
    <x v="0"/>
    <n v="3.8"/>
    <x v="0"/>
    <x v="3"/>
    <x v="0"/>
    <x v="0"/>
    <n v="27"/>
    <x v="3"/>
    <x v="0"/>
  </r>
  <r>
    <n v="461"/>
    <n v="64"/>
    <x v="0"/>
    <x v="9"/>
    <x v="1"/>
    <n v="65"/>
    <x v="36"/>
    <x v="0"/>
    <s v="Teal"/>
    <x v="2"/>
    <n v="3.7"/>
    <x v="0"/>
    <x v="5"/>
    <x v="0"/>
    <x v="0"/>
    <n v="27"/>
    <x v="4"/>
    <x v="1"/>
  </r>
  <r>
    <n v="462"/>
    <n v="18"/>
    <x v="0"/>
    <x v="23"/>
    <x v="1"/>
    <n v="93"/>
    <x v="31"/>
    <x v="2"/>
    <s v="Yellow"/>
    <x v="0"/>
    <n v="3.9"/>
    <x v="0"/>
    <x v="0"/>
    <x v="0"/>
    <x v="0"/>
    <n v="20"/>
    <x v="0"/>
    <x v="1"/>
  </r>
  <r>
    <n v="463"/>
    <n v="59"/>
    <x v="0"/>
    <x v="14"/>
    <x v="2"/>
    <n v="81"/>
    <x v="26"/>
    <x v="2"/>
    <s v="White"/>
    <x v="3"/>
    <n v="3.3"/>
    <x v="0"/>
    <x v="0"/>
    <x v="0"/>
    <x v="0"/>
    <n v="48"/>
    <x v="0"/>
    <x v="6"/>
  </r>
  <r>
    <n v="464"/>
    <n v="37"/>
    <x v="0"/>
    <x v="16"/>
    <x v="3"/>
    <n v="81"/>
    <x v="42"/>
    <x v="1"/>
    <s v="Orange"/>
    <x v="2"/>
    <n v="2.7"/>
    <x v="0"/>
    <x v="3"/>
    <x v="0"/>
    <x v="0"/>
    <n v="29"/>
    <x v="0"/>
    <x v="1"/>
  </r>
  <r>
    <n v="465"/>
    <n v="23"/>
    <x v="0"/>
    <x v="12"/>
    <x v="3"/>
    <n v="52"/>
    <x v="15"/>
    <x v="2"/>
    <s v="Silver"/>
    <x v="0"/>
    <n v="4.7"/>
    <x v="0"/>
    <x v="2"/>
    <x v="0"/>
    <x v="0"/>
    <n v="45"/>
    <x v="3"/>
    <x v="5"/>
  </r>
  <r>
    <n v="466"/>
    <n v="54"/>
    <x v="0"/>
    <x v="11"/>
    <x v="0"/>
    <n v="88"/>
    <x v="19"/>
    <x v="2"/>
    <s v="Pink"/>
    <x v="2"/>
    <n v="2.8"/>
    <x v="0"/>
    <x v="2"/>
    <x v="0"/>
    <x v="0"/>
    <n v="25"/>
    <x v="1"/>
    <x v="3"/>
  </r>
  <r>
    <n v="467"/>
    <n v="38"/>
    <x v="0"/>
    <x v="2"/>
    <x v="0"/>
    <n v="24"/>
    <x v="34"/>
    <x v="0"/>
    <s v="Turquoise"/>
    <x v="0"/>
    <n v="4.5999999999999996"/>
    <x v="0"/>
    <x v="1"/>
    <x v="0"/>
    <x v="0"/>
    <n v="25"/>
    <x v="3"/>
    <x v="1"/>
  </r>
  <r>
    <n v="468"/>
    <n v="19"/>
    <x v="0"/>
    <x v="21"/>
    <x v="3"/>
    <n v="51"/>
    <x v="43"/>
    <x v="1"/>
    <s v="Orange"/>
    <x v="1"/>
    <n v="4.5"/>
    <x v="0"/>
    <x v="4"/>
    <x v="0"/>
    <x v="0"/>
    <n v="37"/>
    <x v="5"/>
    <x v="6"/>
  </r>
  <r>
    <n v="469"/>
    <n v="34"/>
    <x v="0"/>
    <x v="21"/>
    <x v="3"/>
    <n v="38"/>
    <x v="42"/>
    <x v="1"/>
    <s v="Peach"/>
    <x v="3"/>
    <n v="5"/>
    <x v="0"/>
    <x v="1"/>
    <x v="0"/>
    <x v="0"/>
    <n v="16"/>
    <x v="1"/>
    <x v="3"/>
  </r>
  <r>
    <n v="470"/>
    <n v="21"/>
    <x v="0"/>
    <x v="6"/>
    <x v="0"/>
    <n v="46"/>
    <x v="15"/>
    <x v="0"/>
    <s v="Pink"/>
    <x v="3"/>
    <n v="4.0999999999999996"/>
    <x v="0"/>
    <x v="4"/>
    <x v="0"/>
    <x v="0"/>
    <n v="30"/>
    <x v="5"/>
    <x v="4"/>
  </r>
  <r>
    <n v="471"/>
    <n v="50"/>
    <x v="0"/>
    <x v="10"/>
    <x v="0"/>
    <n v="63"/>
    <x v="46"/>
    <x v="0"/>
    <s v="Teal"/>
    <x v="2"/>
    <n v="4.5999999999999996"/>
    <x v="0"/>
    <x v="0"/>
    <x v="0"/>
    <x v="0"/>
    <n v="6"/>
    <x v="1"/>
    <x v="6"/>
  </r>
  <r>
    <n v="472"/>
    <n v="55"/>
    <x v="0"/>
    <x v="18"/>
    <x v="3"/>
    <n v="72"/>
    <x v="9"/>
    <x v="3"/>
    <s v="White"/>
    <x v="0"/>
    <n v="4.9000000000000004"/>
    <x v="0"/>
    <x v="4"/>
    <x v="0"/>
    <x v="0"/>
    <n v="36"/>
    <x v="4"/>
    <x v="3"/>
  </r>
  <r>
    <n v="473"/>
    <n v="20"/>
    <x v="0"/>
    <x v="2"/>
    <x v="0"/>
    <n v="39"/>
    <x v="42"/>
    <x v="0"/>
    <s v="Gray"/>
    <x v="0"/>
    <n v="3.9"/>
    <x v="0"/>
    <x v="1"/>
    <x v="0"/>
    <x v="0"/>
    <n v="3"/>
    <x v="4"/>
    <x v="3"/>
  </r>
  <r>
    <n v="474"/>
    <n v="34"/>
    <x v="0"/>
    <x v="7"/>
    <x v="2"/>
    <n v="42"/>
    <x v="8"/>
    <x v="0"/>
    <s v="Olive"/>
    <x v="1"/>
    <n v="3.9"/>
    <x v="0"/>
    <x v="5"/>
    <x v="0"/>
    <x v="0"/>
    <n v="29"/>
    <x v="3"/>
    <x v="6"/>
  </r>
  <r>
    <n v="475"/>
    <n v="62"/>
    <x v="0"/>
    <x v="1"/>
    <x v="0"/>
    <n v="76"/>
    <x v="10"/>
    <x v="3"/>
    <s v="Maroon"/>
    <x v="2"/>
    <n v="2.6"/>
    <x v="0"/>
    <x v="4"/>
    <x v="0"/>
    <x v="0"/>
    <n v="15"/>
    <x v="1"/>
    <x v="3"/>
  </r>
  <r>
    <n v="476"/>
    <n v="21"/>
    <x v="0"/>
    <x v="4"/>
    <x v="1"/>
    <n v="66"/>
    <x v="31"/>
    <x v="0"/>
    <s v="Magenta"/>
    <x v="2"/>
    <n v="2.7"/>
    <x v="0"/>
    <x v="1"/>
    <x v="0"/>
    <x v="0"/>
    <n v="18"/>
    <x v="5"/>
    <x v="2"/>
  </r>
  <r>
    <n v="477"/>
    <n v="21"/>
    <x v="0"/>
    <x v="18"/>
    <x v="3"/>
    <n v="90"/>
    <x v="39"/>
    <x v="2"/>
    <s v="Magenta"/>
    <x v="1"/>
    <n v="3.5"/>
    <x v="0"/>
    <x v="1"/>
    <x v="0"/>
    <x v="0"/>
    <n v="2"/>
    <x v="5"/>
    <x v="0"/>
  </r>
  <r>
    <n v="478"/>
    <n v="42"/>
    <x v="0"/>
    <x v="1"/>
    <x v="0"/>
    <n v="56"/>
    <x v="25"/>
    <x v="2"/>
    <s v="Green"/>
    <x v="2"/>
    <n v="3.7"/>
    <x v="0"/>
    <x v="1"/>
    <x v="0"/>
    <x v="0"/>
    <n v="49"/>
    <x v="5"/>
    <x v="1"/>
  </r>
  <r>
    <n v="479"/>
    <n v="35"/>
    <x v="0"/>
    <x v="16"/>
    <x v="3"/>
    <n v="43"/>
    <x v="23"/>
    <x v="3"/>
    <s v="Turquoise"/>
    <x v="0"/>
    <n v="3.2"/>
    <x v="0"/>
    <x v="1"/>
    <x v="0"/>
    <x v="0"/>
    <n v="48"/>
    <x v="0"/>
    <x v="2"/>
  </r>
  <r>
    <n v="480"/>
    <n v="39"/>
    <x v="0"/>
    <x v="8"/>
    <x v="3"/>
    <n v="84"/>
    <x v="44"/>
    <x v="0"/>
    <s v="Yellow"/>
    <x v="0"/>
    <n v="3.3"/>
    <x v="0"/>
    <x v="5"/>
    <x v="0"/>
    <x v="0"/>
    <n v="43"/>
    <x v="0"/>
    <x v="5"/>
  </r>
  <r>
    <n v="481"/>
    <n v="68"/>
    <x v="0"/>
    <x v="15"/>
    <x v="0"/>
    <n v="88"/>
    <x v="34"/>
    <x v="2"/>
    <s v="Gray"/>
    <x v="2"/>
    <n v="4.8"/>
    <x v="0"/>
    <x v="3"/>
    <x v="0"/>
    <x v="0"/>
    <n v="30"/>
    <x v="5"/>
    <x v="4"/>
  </r>
  <r>
    <n v="482"/>
    <n v="46"/>
    <x v="0"/>
    <x v="19"/>
    <x v="3"/>
    <n v="88"/>
    <x v="48"/>
    <x v="0"/>
    <s v="Peach"/>
    <x v="3"/>
    <n v="3.2"/>
    <x v="0"/>
    <x v="4"/>
    <x v="0"/>
    <x v="0"/>
    <n v="10"/>
    <x v="3"/>
    <x v="0"/>
  </r>
  <r>
    <n v="483"/>
    <n v="41"/>
    <x v="0"/>
    <x v="22"/>
    <x v="3"/>
    <n v="42"/>
    <x v="39"/>
    <x v="2"/>
    <s v="Yellow"/>
    <x v="0"/>
    <n v="2.5"/>
    <x v="0"/>
    <x v="4"/>
    <x v="0"/>
    <x v="0"/>
    <n v="11"/>
    <x v="0"/>
    <x v="2"/>
  </r>
  <r>
    <n v="484"/>
    <n v="23"/>
    <x v="0"/>
    <x v="15"/>
    <x v="0"/>
    <n v="73"/>
    <x v="19"/>
    <x v="2"/>
    <s v="White"/>
    <x v="3"/>
    <n v="3.9"/>
    <x v="0"/>
    <x v="5"/>
    <x v="0"/>
    <x v="0"/>
    <n v="12"/>
    <x v="5"/>
    <x v="1"/>
  </r>
  <r>
    <n v="485"/>
    <n v="68"/>
    <x v="0"/>
    <x v="19"/>
    <x v="3"/>
    <n v="73"/>
    <x v="9"/>
    <x v="0"/>
    <s v="Lavender"/>
    <x v="2"/>
    <n v="4.7"/>
    <x v="0"/>
    <x v="1"/>
    <x v="0"/>
    <x v="0"/>
    <n v="28"/>
    <x v="4"/>
    <x v="3"/>
  </r>
  <r>
    <n v="486"/>
    <n v="48"/>
    <x v="0"/>
    <x v="9"/>
    <x v="1"/>
    <n v="44"/>
    <x v="30"/>
    <x v="1"/>
    <s v="Blue"/>
    <x v="1"/>
    <n v="2.6"/>
    <x v="0"/>
    <x v="2"/>
    <x v="0"/>
    <x v="0"/>
    <n v="36"/>
    <x v="5"/>
    <x v="0"/>
  </r>
  <r>
    <n v="487"/>
    <n v="38"/>
    <x v="0"/>
    <x v="3"/>
    <x v="1"/>
    <n v="63"/>
    <x v="35"/>
    <x v="2"/>
    <s v="Charcoal"/>
    <x v="3"/>
    <n v="2.8"/>
    <x v="0"/>
    <x v="5"/>
    <x v="0"/>
    <x v="0"/>
    <n v="37"/>
    <x v="0"/>
    <x v="6"/>
  </r>
  <r>
    <n v="488"/>
    <n v="41"/>
    <x v="0"/>
    <x v="14"/>
    <x v="2"/>
    <n v="68"/>
    <x v="44"/>
    <x v="0"/>
    <s v="Red"/>
    <x v="0"/>
    <n v="4.4000000000000004"/>
    <x v="0"/>
    <x v="5"/>
    <x v="0"/>
    <x v="0"/>
    <n v="22"/>
    <x v="2"/>
    <x v="3"/>
  </r>
  <r>
    <n v="489"/>
    <n v="58"/>
    <x v="0"/>
    <x v="1"/>
    <x v="0"/>
    <n v="29"/>
    <x v="1"/>
    <x v="0"/>
    <s v="Olive"/>
    <x v="1"/>
    <n v="4.5999999999999996"/>
    <x v="0"/>
    <x v="3"/>
    <x v="0"/>
    <x v="0"/>
    <n v="32"/>
    <x v="0"/>
    <x v="1"/>
  </r>
  <r>
    <n v="490"/>
    <n v="49"/>
    <x v="0"/>
    <x v="20"/>
    <x v="0"/>
    <n v="85"/>
    <x v="45"/>
    <x v="2"/>
    <s v="Green"/>
    <x v="2"/>
    <n v="3.2"/>
    <x v="0"/>
    <x v="3"/>
    <x v="0"/>
    <x v="0"/>
    <n v="40"/>
    <x v="3"/>
    <x v="2"/>
  </r>
  <r>
    <n v="491"/>
    <n v="57"/>
    <x v="0"/>
    <x v="4"/>
    <x v="1"/>
    <n v="42"/>
    <x v="24"/>
    <x v="2"/>
    <s v="Silver"/>
    <x v="0"/>
    <n v="4.2"/>
    <x v="0"/>
    <x v="4"/>
    <x v="0"/>
    <x v="0"/>
    <n v="47"/>
    <x v="1"/>
    <x v="5"/>
  </r>
  <r>
    <n v="492"/>
    <n v="49"/>
    <x v="0"/>
    <x v="7"/>
    <x v="2"/>
    <n v="69"/>
    <x v="34"/>
    <x v="2"/>
    <s v="Silver"/>
    <x v="2"/>
    <n v="3.7"/>
    <x v="0"/>
    <x v="4"/>
    <x v="0"/>
    <x v="0"/>
    <n v="24"/>
    <x v="2"/>
    <x v="4"/>
  </r>
  <r>
    <n v="493"/>
    <n v="50"/>
    <x v="0"/>
    <x v="5"/>
    <x v="0"/>
    <n v="62"/>
    <x v="49"/>
    <x v="2"/>
    <s v="Black"/>
    <x v="3"/>
    <n v="3.9"/>
    <x v="0"/>
    <x v="3"/>
    <x v="0"/>
    <x v="0"/>
    <n v="11"/>
    <x v="5"/>
    <x v="1"/>
  </r>
  <r>
    <n v="494"/>
    <n v="28"/>
    <x v="0"/>
    <x v="21"/>
    <x v="3"/>
    <n v="48"/>
    <x v="22"/>
    <x v="3"/>
    <s v="Red"/>
    <x v="2"/>
    <n v="4.7"/>
    <x v="0"/>
    <x v="5"/>
    <x v="0"/>
    <x v="0"/>
    <n v="19"/>
    <x v="1"/>
    <x v="4"/>
  </r>
  <r>
    <n v="495"/>
    <n v="38"/>
    <x v="0"/>
    <x v="23"/>
    <x v="1"/>
    <n v="68"/>
    <x v="27"/>
    <x v="2"/>
    <s v="Indigo"/>
    <x v="0"/>
    <n v="4.5"/>
    <x v="0"/>
    <x v="0"/>
    <x v="0"/>
    <x v="0"/>
    <n v="42"/>
    <x v="5"/>
    <x v="1"/>
  </r>
  <r>
    <n v="496"/>
    <n v="33"/>
    <x v="0"/>
    <x v="8"/>
    <x v="3"/>
    <n v="36"/>
    <x v="49"/>
    <x v="3"/>
    <s v="Cyan"/>
    <x v="3"/>
    <n v="3.3"/>
    <x v="0"/>
    <x v="1"/>
    <x v="0"/>
    <x v="0"/>
    <n v="6"/>
    <x v="5"/>
    <x v="0"/>
  </r>
  <r>
    <n v="497"/>
    <n v="30"/>
    <x v="0"/>
    <x v="10"/>
    <x v="0"/>
    <n v="63"/>
    <x v="18"/>
    <x v="1"/>
    <s v="Maroon"/>
    <x v="3"/>
    <n v="3.3"/>
    <x v="0"/>
    <x v="0"/>
    <x v="0"/>
    <x v="0"/>
    <n v="31"/>
    <x v="0"/>
    <x v="0"/>
  </r>
  <r>
    <n v="498"/>
    <n v="43"/>
    <x v="0"/>
    <x v="4"/>
    <x v="1"/>
    <n v="39"/>
    <x v="19"/>
    <x v="1"/>
    <s v="Silver"/>
    <x v="0"/>
    <n v="4.5999999999999996"/>
    <x v="0"/>
    <x v="1"/>
    <x v="0"/>
    <x v="0"/>
    <n v="31"/>
    <x v="1"/>
    <x v="1"/>
  </r>
  <r>
    <n v="499"/>
    <n v="43"/>
    <x v="0"/>
    <x v="23"/>
    <x v="1"/>
    <n v="78"/>
    <x v="44"/>
    <x v="2"/>
    <s v="Lavender"/>
    <x v="1"/>
    <n v="3.6"/>
    <x v="0"/>
    <x v="1"/>
    <x v="0"/>
    <x v="0"/>
    <n v="27"/>
    <x v="4"/>
    <x v="5"/>
  </r>
  <r>
    <n v="500"/>
    <n v="36"/>
    <x v="0"/>
    <x v="9"/>
    <x v="1"/>
    <n v="99"/>
    <x v="3"/>
    <x v="0"/>
    <s v="Silver"/>
    <x v="0"/>
    <n v="4.8"/>
    <x v="0"/>
    <x v="0"/>
    <x v="0"/>
    <x v="0"/>
    <n v="24"/>
    <x v="3"/>
    <x v="5"/>
  </r>
  <r>
    <n v="501"/>
    <n v="36"/>
    <x v="0"/>
    <x v="17"/>
    <x v="0"/>
    <n v="31"/>
    <x v="47"/>
    <x v="0"/>
    <s v="Purple"/>
    <x v="3"/>
    <n v="4.8"/>
    <x v="0"/>
    <x v="2"/>
    <x v="0"/>
    <x v="0"/>
    <n v="35"/>
    <x v="0"/>
    <x v="6"/>
  </r>
  <r>
    <n v="502"/>
    <n v="64"/>
    <x v="0"/>
    <x v="23"/>
    <x v="1"/>
    <n v="45"/>
    <x v="20"/>
    <x v="2"/>
    <s v="Cyan"/>
    <x v="1"/>
    <n v="2.9"/>
    <x v="0"/>
    <x v="2"/>
    <x v="0"/>
    <x v="0"/>
    <n v="21"/>
    <x v="0"/>
    <x v="2"/>
  </r>
  <r>
    <n v="503"/>
    <n v="59"/>
    <x v="0"/>
    <x v="13"/>
    <x v="0"/>
    <n v="30"/>
    <x v="36"/>
    <x v="1"/>
    <s v="Cyan"/>
    <x v="3"/>
    <n v="2.8"/>
    <x v="0"/>
    <x v="0"/>
    <x v="0"/>
    <x v="0"/>
    <n v="8"/>
    <x v="3"/>
    <x v="0"/>
  </r>
  <r>
    <n v="504"/>
    <n v="55"/>
    <x v="0"/>
    <x v="9"/>
    <x v="1"/>
    <n v="24"/>
    <x v="8"/>
    <x v="2"/>
    <s v="Lavender"/>
    <x v="2"/>
    <n v="3.2"/>
    <x v="0"/>
    <x v="2"/>
    <x v="0"/>
    <x v="0"/>
    <n v="26"/>
    <x v="4"/>
    <x v="3"/>
  </r>
  <r>
    <n v="505"/>
    <n v="42"/>
    <x v="0"/>
    <x v="9"/>
    <x v="1"/>
    <n v="22"/>
    <x v="9"/>
    <x v="2"/>
    <s v="Maroon"/>
    <x v="0"/>
    <n v="3.9"/>
    <x v="0"/>
    <x v="1"/>
    <x v="0"/>
    <x v="0"/>
    <n v="26"/>
    <x v="3"/>
    <x v="2"/>
  </r>
  <r>
    <n v="506"/>
    <n v="61"/>
    <x v="0"/>
    <x v="17"/>
    <x v="0"/>
    <n v="63"/>
    <x v="1"/>
    <x v="0"/>
    <s v="Gray"/>
    <x v="1"/>
    <n v="4.3"/>
    <x v="0"/>
    <x v="0"/>
    <x v="0"/>
    <x v="0"/>
    <n v="9"/>
    <x v="1"/>
    <x v="4"/>
  </r>
  <r>
    <n v="507"/>
    <n v="28"/>
    <x v="0"/>
    <x v="18"/>
    <x v="3"/>
    <n v="40"/>
    <x v="42"/>
    <x v="2"/>
    <s v="Olive"/>
    <x v="3"/>
    <n v="2.7"/>
    <x v="0"/>
    <x v="4"/>
    <x v="0"/>
    <x v="0"/>
    <n v="48"/>
    <x v="5"/>
    <x v="2"/>
  </r>
  <r>
    <n v="508"/>
    <n v="65"/>
    <x v="0"/>
    <x v="6"/>
    <x v="0"/>
    <n v="20"/>
    <x v="1"/>
    <x v="2"/>
    <s v="Magenta"/>
    <x v="1"/>
    <n v="5"/>
    <x v="0"/>
    <x v="5"/>
    <x v="0"/>
    <x v="0"/>
    <n v="33"/>
    <x v="5"/>
    <x v="0"/>
  </r>
  <r>
    <n v="509"/>
    <n v="27"/>
    <x v="0"/>
    <x v="16"/>
    <x v="3"/>
    <n v="20"/>
    <x v="26"/>
    <x v="1"/>
    <s v="Yellow"/>
    <x v="0"/>
    <n v="3.7"/>
    <x v="0"/>
    <x v="5"/>
    <x v="0"/>
    <x v="0"/>
    <n v="31"/>
    <x v="3"/>
    <x v="3"/>
  </r>
  <r>
    <n v="510"/>
    <n v="41"/>
    <x v="0"/>
    <x v="17"/>
    <x v="0"/>
    <n v="80"/>
    <x v="12"/>
    <x v="0"/>
    <s v="Cyan"/>
    <x v="2"/>
    <n v="3.9"/>
    <x v="0"/>
    <x v="1"/>
    <x v="0"/>
    <x v="0"/>
    <n v="17"/>
    <x v="5"/>
    <x v="1"/>
  </r>
  <r>
    <n v="511"/>
    <n v="21"/>
    <x v="0"/>
    <x v="5"/>
    <x v="0"/>
    <n v="87"/>
    <x v="8"/>
    <x v="2"/>
    <s v="Teal"/>
    <x v="3"/>
    <n v="3.9"/>
    <x v="0"/>
    <x v="4"/>
    <x v="0"/>
    <x v="0"/>
    <n v="22"/>
    <x v="0"/>
    <x v="2"/>
  </r>
  <r>
    <n v="512"/>
    <n v="61"/>
    <x v="0"/>
    <x v="5"/>
    <x v="0"/>
    <n v="46"/>
    <x v="11"/>
    <x v="0"/>
    <s v="Yellow"/>
    <x v="3"/>
    <n v="3.1"/>
    <x v="0"/>
    <x v="1"/>
    <x v="0"/>
    <x v="0"/>
    <n v="8"/>
    <x v="3"/>
    <x v="2"/>
  </r>
  <r>
    <n v="513"/>
    <n v="19"/>
    <x v="0"/>
    <x v="24"/>
    <x v="3"/>
    <n v="49"/>
    <x v="14"/>
    <x v="0"/>
    <s v="Peach"/>
    <x v="0"/>
    <n v="3.3"/>
    <x v="0"/>
    <x v="2"/>
    <x v="0"/>
    <x v="0"/>
    <n v="2"/>
    <x v="4"/>
    <x v="5"/>
  </r>
  <r>
    <n v="514"/>
    <n v="22"/>
    <x v="0"/>
    <x v="18"/>
    <x v="3"/>
    <n v="65"/>
    <x v="35"/>
    <x v="2"/>
    <s v="Peach"/>
    <x v="3"/>
    <n v="3.6"/>
    <x v="0"/>
    <x v="5"/>
    <x v="0"/>
    <x v="0"/>
    <n v="45"/>
    <x v="0"/>
    <x v="2"/>
  </r>
  <r>
    <n v="515"/>
    <n v="64"/>
    <x v="0"/>
    <x v="11"/>
    <x v="0"/>
    <n v="62"/>
    <x v="27"/>
    <x v="1"/>
    <s v="Olive"/>
    <x v="0"/>
    <n v="4.3"/>
    <x v="0"/>
    <x v="3"/>
    <x v="0"/>
    <x v="0"/>
    <n v="47"/>
    <x v="3"/>
    <x v="3"/>
  </r>
  <r>
    <n v="516"/>
    <n v="28"/>
    <x v="0"/>
    <x v="19"/>
    <x v="3"/>
    <n v="67"/>
    <x v="0"/>
    <x v="0"/>
    <s v="Charcoal"/>
    <x v="1"/>
    <n v="4.5"/>
    <x v="0"/>
    <x v="2"/>
    <x v="0"/>
    <x v="0"/>
    <n v="7"/>
    <x v="1"/>
    <x v="5"/>
  </r>
  <r>
    <n v="517"/>
    <n v="34"/>
    <x v="0"/>
    <x v="15"/>
    <x v="0"/>
    <n v="41"/>
    <x v="8"/>
    <x v="0"/>
    <s v="Indigo"/>
    <x v="3"/>
    <n v="2.8"/>
    <x v="0"/>
    <x v="4"/>
    <x v="0"/>
    <x v="0"/>
    <n v="19"/>
    <x v="5"/>
    <x v="4"/>
  </r>
  <r>
    <n v="518"/>
    <n v="61"/>
    <x v="0"/>
    <x v="23"/>
    <x v="1"/>
    <n v="49"/>
    <x v="25"/>
    <x v="0"/>
    <s v="Silver"/>
    <x v="3"/>
    <n v="2.7"/>
    <x v="0"/>
    <x v="1"/>
    <x v="0"/>
    <x v="0"/>
    <n v="44"/>
    <x v="1"/>
    <x v="6"/>
  </r>
  <r>
    <n v="519"/>
    <n v="24"/>
    <x v="0"/>
    <x v="0"/>
    <x v="0"/>
    <n v="100"/>
    <x v="4"/>
    <x v="2"/>
    <s v="Beige"/>
    <x v="3"/>
    <n v="2.9"/>
    <x v="0"/>
    <x v="2"/>
    <x v="0"/>
    <x v="0"/>
    <n v="16"/>
    <x v="0"/>
    <x v="6"/>
  </r>
  <r>
    <n v="520"/>
    <n v="19"/>
    <x v="0"/>
    <x v="22"/>
    <x v="3"/>
    <n v="54"/>
    <x v="46"/>
    <x v="0"/>
    <s v="Blue"/>
    <x v="2"/>
    <n v="4.4000000000000004"/>
    <x v="0"/>
    <x v="4"/>
    <x v="0"/>
    <x v="0"/>
    <n v="17"/>
    <x v="4"/>
    <x v="3"/>
  </r>
  <r>
    <n v="521"/>
    <n v="51"/>
    <x v="0"/>
    <x v="12"/>
    <x v="3"/>
    <n v="84"/>
    <x v="36"/>
    <x v="2"/>
    <s v="White"/>
    <x v="1"/>
    <n v="3.9"/>
    <x v="0"/>
    <x v="1"/>
    <x v="0"/>
    <x v="0"/>
    <n v="20"/>
    <x v="5"/>
    <x v="3"/>
  </r>
  <r>
    <n v="522"/>
    <n v="36"/>
    <x v="0"/>
    <x v="6"/>
    <x v="0"/>
    <n v="41"/>
    <x v="34"/>
    <x v="0"/>
    <s v="Gold"/>
    <x v="0"/>
    <n v="3.5"/>
    <x v="0"/>
    <x v="3"/>
    <x v="0"/>
    <x v="0"/>
    <n v="50"/>
    <x v="4"/>
    <x v="2"/>
  </r>
  <r>
    <n v="523"/>
    <n v="65"/>
    <x v="0"/>
    <x v="24"/>
    <x v="3"/>
    <n v="88"/>
    <x v="46"/>
    <x v="2"/>
    <s v="Blue"/>
    <x v="1"/>
    <n v="2.5"/>
    <x v="0"/>
    <x v="5"/>
    <x v="0"/>
    <x v="0"/>
    <n v="37"/>
    <x v="1"/>
    <x v="3"/>
  </r>
  <r>
    <n v="524"/>
    <n v="46"/>
    <x v="0"/>
    <x v="3"/>
    <x v="1"/>
    <n v="40"/>
    <x v="12"/>
    <x v="2"/>
    <s v="Orange"/>
    <x v="1"/>
    <n v="4.9000000000000004"/>
    <x v="0"/>
    <x v="0"/>
    <x v="0"/>
    <x v="0"/>
    <n v="5"/>
    <x v="3"/>
    <x v="3"/>
  </r>
  <r>
    <n v="525"/>
    <n v="59"/>
    <x v="0"/>
    <x v="5"/>
    <x v="0"/>
    <n v="39"/>
    <x v="38"/>
    <x v="2"/>
    <s v="Gold"/>
    <x v="2"/>
    <n v="4.8"/>
    <x v="0"/>
    <x v="1"/>
    <x v="0"/>
    <x v="0"/>
    <n v="44"/>
    <x v="3"/>
    <x v="2"/>
  </r>
  <r>
    <n v="526"/>
    <n v="51"/>
    <x v="0"/>
    <x v="7"/>
    <x v="2"/>
    <n v="37"/>
    <x v="44"/>
    <x v="2"/>
    <s v="Cyan"/>
    <x v="1"/>
    <n v="3.2"/>
    <x v="0"/>
    <x v="2"/>
    <x v="0"/>
    <x v="0"/>
    <n v="41"/>
    <x v="5"/>
    <x v="5"/>
  </r>
  <r>
    <n v="527"/>
    <n v="51"/>
    <x v="0"/>
    <x v="13"/>
    <x v="0"/>
    <n v="52"/>
    <x v="32"/>
    <x v="1"/>
    <s v="Red"/>
    <x v="0"/>
    <n v="4.9000000000000004"/>
    <x v="0"/>
    <x v="3"/>
    <x v="0"/>
    <x v="0"/>
    <n v="19"/>
    <x v="1"/>
    <x v="5"/>
  </r>
  <r>
    <n v="528"/>
    <n v="21"/>
    <x v="0"/>
    <x v="17"/>
    <x v="0"/>
    <n v="23"/>
    <x v="36"/>
    <x v="0"/>
    <s v="Yellow"/>
    <x v="0"/>
    <n v="4.3"/>
    <x v="0"/>
    <x v="2"/>
    <x v="0"/>
    <x v="0"/>
    <n v="47"/>
    <x v="4"/>
    <x v="6"/>
  </r>
  <r>
    <n v="529"/>
    <n v="34"/>
    <x v="0"/>
    <x v="4"/>
    <x v="1"/>
    <n v="88"/>
    <x v="33"/>
    <x v="1"/>
    <s v="Beige"/>
    <x v="0"/>
    <n v="3.2"/>
    <x v="0"/>
    <x v="0"/>
    <x v="0"/>
    <x v="0"/>
    <n v="40"/>
    <x v="1"/>
    <x v="2"/>
  </r>
  <r>
    <n v="530"/>
    <n v="32"/>
    <x v="0"/>
    <x v="6"/>
    <x v="0"/>
    <n v="84"/>
    <x v="18"/>
    <x v="2"/>
    <s v="Orange"/>
    <x v="3"/>
    <n v="3.7"/>
    <x v="0"/>
    <x v="3"/>
    <x v="0"/>
    <x v="0"/>
    <n v="6"/>
    <x v="2"/>
    <x v="5"/>
  </r>
  <r>
    <n v="531"/>
    <n v="48"/>
    <x v="0"/>
    <x v="7"/>
    <x v="2"/>
    <n v="37"/>
    <x v="6"/>
    <x v="3"/>
    <s v="Magenta"/>
    <x v="0"/>
    <n v="3.2"/>
    <x v="0"/>
    <x v="5"/>
    <x v="0"/>
    <x v="0"/>
    <n v="25"/>
    <x v="2"/>
    <x v="4"/>
  </r>
  <r>
    <n v="532"/>
    <n v="50"/>
    <x v="0"/>
    <x v="3"/>
    <x v="1"/>
    <n v="51"/>
    <x v="34"/>
    <x v="0"/>
    <s v="Purple"/>
    <x v="3"/>
    <n v="3.4"/>
    <x v="0"/>
    <x v="2"/>
    <x v="0"/>
    <x v="0"/>
    <n v="42"/>
    <x v="1"/>
    <x v="1"/>
  </r>
  <r>
    <n v="533"/>
    <n v="26"/>
    <x v="0"/>
    <x v="13"/>
    <x v="0"/>
    <n v="76"/>
    <x v="21"/>
    <x v="0"/>
    <s v="Black"/>
    <x v="0"/>
    <n v="4.0999999999999996"/>
    <x v="0"/>
    <x v="0"/>
    <x v="0"/>
    <x v="0"/>
    <n v="35"/>
    <x v="4"/>
    <x v="6"/>
  </r>
  <r>
    <n v="534"/>
    <n v="57"/>
    <x v="0"/>
    <x v="3"/>
    <x v="1"/>
    <n v="60"/>
    <x v="17"/>
    <x v="0"/>
    <s v="Pink"/>
    <x v="1"/>
    <n v="4.5"/>
    <x v="0"/>
    <x v="2"/>
    <x v="0"/>
    <x v="0"/>
    <n v="17"/>
    <x v="5"/>
    <x v="1"/>
  </r>
  <r>
    <n v="535"/>
    <n v="65"/>
    <x v="0"/>
    <x v="24"/>
    <x v="3"/>
    <n v="72"/>
    <x v="20"/>
    <x v="0"/>
    <s v="Pink"/>
    <x v="3"/>
    <n v="4.5"/>
    <x v="0"/>
    <x v="2"/>
    <x v="0"/>
    <x v="0"/>
    <n v="4"/>
    <x v="3"/>
    <x v="3"/>
  </r>
  <r>
    <n v="536"/>
    <n v="56"/>
    <x v="0"/>
    <x v="17"/>
    <x v="0"/>
    <n v="45"/>
    <x v="8"/>
    <x v="0"/>
    <s v="Maroon"/>
    <x v="1"/>
    <n v="3.2"/>
    <x v="0"/>
    <x v="1"/>
    <x v="0"/>
    <x v="0"/>
    <n v="24"/>
    <x v="4"/>
    <x v="1"/>
  </r>
  <r>
    <n v="537"/>
    <n v="44"/>
    <x v="0"/>
    <x v="14"/>
    <x v="2"/>
    <n v="84"/>
    <x v="26"/>
    <x v="1"/>
    <s v="Maroon"/>
    <x v="3"/>
    <n v="4.4000000000000004"/>
    <x v="0"/>
    <x v="5"/>
    <x v="0"/>
    <x v="0"/>
    <n v="16"/>
    <x v="5"/>
    <x v="6"/>
  </r>
  <r>
    <n v="538"/>
    <n v="50"/>
    <x v="0"/>
    <x v="0"/>
    <x v="0"/>
    <n v="49"/>
    <x v="41"/>
    <x v="1"/>
    <s v="Turquoise"/>
    <x v="2"/>
    <n v="3"/>
    <x v="0"/>
    <x v="5"/>
    <x v="0"/>
    <x v="0"/>
    <n v="14"/>
    <x v="5"/>
    <x v="2"/>
  </r>
  <r>
    <n v="539"/>
    <n v="27"/>
    <x v="0"/>
    <x v="20"/>
    <x v="0"/>
    <n v="22"/>
    <x v="41"/>
    <x v="3"/>
    <s v="Green"/>
    <x v="1"/>
    <n v="3.2"/>
    <x v="0"/>
    <x v="1"/>
    <x v="0"/>
    <x v="0"/>
    <n v="43"/>
    <x v="1"/>
    <x v="1"/>
  </r>
  <r>
    <n v="540"/>
    <n v="49"/>
    <x v="0"/>
    <x v="7"/>
    <x v="2"/>
    <n v="48"/>
    <x v="5"/>
    <x v="2"/>
    <s v="Violet"/>
    <x v="0"/>
    <n v="4"/>
    <x v="0"/>
    <x v="5"/>
    <x v="0"/>
    <x v="0"/>
    <n v="49"/>
    <x v="5"/>
    <x v="1"/>
  </r>
  <r>
    <n v="541"/>
    <n v="49"/>
    <x v="0"/>
    <x v="10"/>
    <x v="0"/>
    <n v="37"/>
    <x v="36"/>
    <x v="2"/>
    <s v="Lavender"/>
    <x v="1"/>
    <n v="3.1"/>
    <x v="0"/>
    <x v="2"/>
    <x v="0"/>
    <x v="0"/>
    <n v="33"/>
    <x v="1"/>
    <x v="6"/>
  </r>
  <r>
    <n v="542"/>
    <n v="52"/>
    <x v="0"/>
    <x v="14"/>
    <x v="2"/>
    <n v="27"/>
    <x v="39"/>
    <x v="0"/>
    <s v="Gray"/>
    <x v="3"/>
    <n v="2.8"/>
    <x v="0"/>
    <x v="2"/>
    <x v="0"/>
    <x v="0"/>
    <n v="45"/>
    <x v="1"/>
    <x v="4"/>
  </r>
  <r>
    <n v="543"/>
    <n v="27"/>
    <x v="0"/>
    <x v="23"/>
    <x v="1"/>
    <n v="79"/>
    <x v="26"/>
    <x v="3"/>
    <s v="Teal"/>
    <x v="1"/>
    <n v="4.5999999999999996"/>
    <x v="0"/>
    <x v="2"/>
    <x v="0"/>
    <x v="0"/>
    <n v="35"/>
    <x v="1"/>
    <x v="4"/>
  </r>
  <r>
    <n v="544"/>
    <n v="53"/>
    <x v="0"/>
    <x v="11"/>
    <x v="0"/>
    <n v="98"/>
    <x v="15"/>
    <x v="1"/>
    <s v="Red"/>
    <x v="1"/>
    <n v="4.3"/>
    <x v="0"/>
    <x v="0"/>
    <x v="0"/>
    <x v="0"/>
    <n v="11"/>
    <x v="2"/>
    <x v="5"/>
  </r>
  <r>
    <n v="545"/>
    <n v="34"/>
    <x v="0"/>
    <x v="3"/>
    <x v="1"/>
    <n v="64"/>
    <x v="47"/>
    <x v="1"/>
    <s v="Yellow"/>
    <x v="2"/>
    <n v="3.3"/>
    <x v="0"/>
    <x v="3"/>
    <x v="0"/>
    <x v="0"/>
    <n v="30"/>
    <x v="4"/>
    <x v="6"/>
  </r>
  <r>
    <n v="546"/>
    <n v="33"/>
    <x v="0"/>
    <x v="7"/>
    <x v="2"/>
    <n v="32"/>
    <x v="15"/>
    <x v="0"/>
    <s v="Magenta"/>
    <x v="2"/>
    <n v="3.5"/>
    <x v="0"/>
    <x v="4"/>
    <x v="0"/>
    <x v="0"/>
    <n v="48"/>
    <x v="5"/>
    <x v="2"/>
  </r>
  <r>
    <n v="547"/>
    <n v="62"/>
    <x v="0"/>
    <x v="15"/>
    <x v="0"/>
    <n v="74"/>
    <x v="35"/>
    <x v="2"/>
    <s v="Brown"/>
    <x v="0"/>
    <n v="3.4"/>
    <x v="0"/>
    <x v="1"/>
    <x v="0"/>
    <x v="0"/>
    <n v="45"/>
    <x v="0"/>
    <x v="4"/>
  </r>
  <r>
    <n v="548"/>
    <n v="38"/>
    <x v="0"/>
    <x v="14"/>
    <x v="2"/>
    <n v="50"/>
    <x v="22"/>
    <x v="2"/>
    <s v="Blue"/>
    <x v="0"/>
    <n v="2.8"/>
    <x v="0"/>
    <x v="1"/>
    <x v="0"/>
    <x v="0"/>
    <n v="26"/>
    <x v="0"/>
    <x v="1"/>
  </r>
  <r>
    <n v="549"/>
    <n v="36"/>
    <x v="0"/>
    <x v="21"/>
    <x v="3"/>
    <n v="64"/>
    <x v="43"/>
    <x v="2"/>
    <s v="Black"/>
    <x v="0"/>
    <n v="4.5999999999999996"/>
    <x v="0"/>
    <x v="5"/>
    <x v="0"/>
    <x v="0"/>
    <n v="41"/>
    <x v="5"/>
    <x v="6"/>
  </r>
  <r>
    <n v="550"/>
    <n v="31"/>
    <x v="0"/>
    <x v="21"/>
    <x v="3"/>
    <n v="29"/>
    <x v="28"/>
    <x v="1"/>
    <s v="Olive"/>
    <x v="3"/>
    <n v="3.6"/>
    <x v="0"/>
    <x v="0"/>
    <x v="0"/>
    <x v="0"/>
    <n v="37"/>
    <x v="0"/>
    <x v="4"/>
  </r>
  <r>
    <n v="551"/>
    <n v="62"/>
    <x v="0"/>
    <x v="22"/>
    <x v="3"/>
    <n v="62"/>
    <x v="42"/>
    <x v="2"/>
    <s v="Olive"/>
    <x v="2"/>
    <n v="3.3"/>
    <x v="0"/>
    <x v="5"/>
    <x v="0"/>
    <x v="0"/>
    <n v="12"/>
    <x v="3"/>
    <x v="1"/>
  </r>
  <r>
    <n v="552"/>
    <n v="29"/>
    <x v="0"/>
    <x v="7"/>
    <x v="2"/>
    <n v="78"/>
    <x v="37"/>
    <x v="3"/>
    <s v="Green"/>
    <x v="3"/>
    <n v="3.1"/>
    <x v="0"/>
    <x v="4"/>
    <x v="0"/>
    <x v="0"/>
    <n v="27"/>
    <x v="1"/>
    <x v="4"/>
  </r>
  <r>
    <n v="553"/>
    <n v="24"/>
    <x v="0"/>
    <x v="17"/>
    <x v="0"/>
    <n v="94"/>
    <x v="9"/>
    <x v="2"/>
    <s v="Peach"/>
    <x v="3"/>
    <n v="3.5"/>
    <x v="0"/>
    <x v="0"/>
    <x v="0"/>
    <x v="0"/>
    <n v="18"/>
    <x v="4"/>
    <x v="1"/>
  </r>
  <r>
    <n v="554"/>
    <n v="63"/>
    <x v="0"/>
    <x v="12"/>
    <x v="3"/>
    <n v="59"/>
    <x v="20"/>
    <x v="2"/>
    <s v="White"/>
    <x v="0"/>
    <n v="3.2"/>
    <x v="0"/>
    <x v="0"/>
    <x v="0"/>
    <x v="0"/>
    <n v="15"/>
    <x v="2"/>
    <x v="3"/>
  </r>
  <r>
    <n v="555"/>
    <n v="56"/>
    <x v="0"/>
    <x v="4"/>
    <x v="1"/>
    <n v="47"/>
    <x v="46"/>
    <x v="2"/>
    <s v="Red"/>
    <x v="2"/>
    <n v="3"/>
    <x v="0"/>
    <x v="0"/>
    <x v="0"/>
    <x v="0"/>
    <n v="34"/>
    <x v="4"/>
    <x v="1"/>
  </r>
  <r>
    <n v="556"/>
    <n v="63"/>
    <x v="0"/>
    <x v="24"/>
    <x v="3"/>
    <n v="57"/>
    <x v="1"/>
    <x v="2"/>
    <s v="White"/>
    <x v="3"/>
    <n v="4.8"/>
    <x v="0"/>
    <x v="0"/>
    <x v="0"/>
    <x v="0"/>
    <n v="37"/>
    <x v="0"/>
    <x v="2"/>
  </r>
  <r>
    <n v="557"/>
    <n v="40"/>
    <x v="0"/>
    <x v="7"/>
    <x v="2"/>
    <n v="90"/>
    <x v="6"/>
    <x v="0"/>
    <s v="Indigo"/>
    <x v="0"/>
    <n v="5"/>
    <x v="0"/>
    <x v="5"/>
    <x v="0"/>
    <x v="0"/>
    <n v="21"/>
    <x v="1"/>
    <x v="0"/>
  </r>
  <r>
    <n v="558"/>
    <n v="18"/>
    <x v="0"/>
    <x v="5"/>
    <x v="0"/>
    <n v="60"/>
    <x v="29"/>
    <x v="2"/>
    <s v="White"/>
    <x v="1"/>
    <n v="2.9"/>
    <x v="0"/>
    <x v="1"/>
    <x v="0"/>
    <x v="0"/>
    <n v="31"/>
    <x v="5"/>
    <x v="1"/>
  </r>
  <r>
    <n v="559"/>
    <n v="50"/>
    <x v="0"/>
    <x v="4"/>
    <x v="1"/>
    <n v="77"/>
    <x v="44"/>
    <x v="0"/>
    <s v="Teal"/>
    <x v="3"/>
    <n v="3.2"/>
    <x v="0"/>
    <x v="0"/>
    <x v="0"/>
    <x v="0"/>
    <n v="43"/>
    <x v="5"/>
    <x v="6"/>
  </r>
  <r>
    <n v="560"/>
    <n v="66"/>
    <x v="0"/>
    <x v="18"/>
    <x v="3"/>
    <n v="41"/>
    <x v="28"/>
    <x v="2"/>
    <s v="Indigo"/>
    <x v="3"/>
    <n v="2.9"/>
    <x v="0"/>
    <x v="5"/>
    <x v="0"/>
    <x v="0"/>
    <n v="22"/>
    <x v="4"/>
    <x v="5"/>
  </r>
  <r>
    <n v="561"/>
    <n v="25"/>
    <x v="0"/>
    <x v="16"/>
    <x v="3"/>
    <n v="48"/>
    <x v="7"/>
    <x v="0"/>
    <s v="Red"/>
    <x v="3"/>
    <n v="3.3"/>
    <x v="0"/>
    <x v="1"/>
    <x v="0"/>
    <x v="0"/>
    <n v="12"/>
    <x v="5"/>
    <x v="2"/>
  </r>
  <r>
    <n v="562"/>
    <n v="65"/>
    <x v="0"/>
    <x v="14"/>
    <x v="2"/>
    <n v="65"/>
    <x v="15"/>
    <x v="2"/>
    <s v="Blue"/>
    <x v="3"/>
    <n v="2.6"/>
    <x v="0"/>
    <x v="2"/>
    <x v="0"/>
    <x v="0"/>
    <n v="25"/>
    <x v="3"/>
    <x v="0"/>
  </r>
  <r>
    <n v="563"/>
    <n v="53"/>
    <x v="0"/>
    <x v="2"/>
    <x v="0"/>
    <n v="62"/>
    <x v="9"/>
    <x v="2"/>
    <s v="Blue"/>
    <x v="2"/>
    <n v="3.5"/>
    <x v="0"/>
    <x v="3"/>
    <x v="0"/>
    <x v="0"/>
    <n v="40"/>
    <x v="5"/>
    <x v="2"/>
  </r>
  <r>
    <n v="564"/>
    <n v="61"/>
    <x v="0"/>
    <x v="9"/>
    <x v="1"/>
    <n v="99"/>
    <x v="37"/>
    <x v="2"/>
    <s v="Black"/>
    <x v="3"/>
    <n v="4.4000000000000004"/>
    <x v="0"/>
    <x v="3"/>
    <x v="0"/>
    <x v="0"/>
    <n v="16"/>
    <x v="5"/>
    <x v="3"/>
  </r>
  <r>
    <n v="565"/>
    <n v="67"/>
    <x v="0"/>
    <x v="15"/>
    <x v="0"/>
    <n v="58"/>
    <x v="20"/>
    <x v="2"/>
    <s v="Olive"/>
    <x v="0"/>
    <n v="3.4"/>
    <x v="0"/>
    <x v="2"/>
    <x v="0"/>
    <x v="0"/>
    <n v="30"/>
    <x v="4"/>
    <x v="1"/>
  </r>
  <r>
    <n v="566"/>
    <n v="59"/>
    <x v="0"/>
    <x v="21"/>
    <x v="3"/>
    <n v="43"/>
    <x v="37"/>
    <x v="0"/>
    <s v="Lavender"/>
    <x v="3"/>
    <n v="4.2"/>
    <x v="0"/>
    <x v="5"/>
    <x v="0"/>
    <x v="0"/>
    <n v="10"/>
    <x v="0"/>
    <x v="1"/>
  </r>
  <r>
    <n v="567"/>
    <n v="55"/>
    <x v="0"/>
    <x v="4"/>
    <x v="1"/>
    <n v="93"/>
    <x v="15"/>
    <x v="2"/>
    <s v="Indigo"/>
    <x v="1"/>
    <n v="3.6"/>
    <x v="0"/>
    <x v="5"/>
    <x v="0"/>
    <x v="0"/>
    <n v="1"/>
    <x v="5"/>
    <x v="0"/>
  </r>
  <r>
    <n v="568"/>
    <n v="21"/>
    <x v="0"/>
    <x v="0"/>
    <x v="0"/>
    <n v="50"/>
    <x v="13"/>
    <x v="1"/>
    <s v="Red"/>
    <x v="0"/>
    <n v="3"/>
    <x v="0"/>
    <x v="2"/>
    <x v="0"/>
    <x v="0"/>
    <n v="24"/>
    <x v="0"/>
    <x v="0"/>
  </r>
  <r>
    <n v="569"/>
    <n v="44"/>
    <x v="0"/>
    <x v="13"/>
    <x v="0"/>
    <n v="88"/>
    <x v="40"/>
    <x v="0"/>
    <s v="Red"/>
    <x v="2"/>
    <n v="4"/>
    <x v="0"/>
    <x v="1"/>
    <x v="0"/>
    <x v="0"/>
    <n v="36"/>
    <x v="3"/>
    <x v="5"/>
  </r>
  <r>
    <n v="570"/>
    <n v="65"/>
    <x v="0"/>
    <x v="11"/>
    <x v="0"/>
    <n v="33"/>
    <x v="15"/>
    <x v="2"/>
    <s v="Pink"/>
    <x v="3"/>
    <n v="4.4000000000000004"/>
    <x v="0"/>
    <x v="0"/>
    <x v="0"/>
    <x v="0"/>
    <n v="46"/>
    <x v="2"/>
    <x v="6"/>
  </r>
  <r>
    <n v="571"/>
    <n v="65"/>
    <x v="0"/>
    <x v="17"/>
    <x v="0"/>
    <n v="99"/>
    <x v="44"/>
    <x v="3"/>
    <s v="Purple"/>
    <x v="3"/>
    <n v="4.0999999999999996"/>
    <x v="0"/>
    <x v="3"/>
    <x v="0"/>
    <x v="0"/>
    <n v="20"/>
    <x v="1"/>
    <x v="2"/>
  </r>
  <r>
    <n v="572"/>
    <n v="54"/>
    <x v="0"/>
    <x v="14"/>
    <x v="2"/>
    <n v="76"/>
    <x v="0"/>
    <x v="3"/>
    <s v="Cyan"/>
    <x v="1"/>
    <n v="3.6"/>
    <x v="0"/>
    <x v="1"/>
    <x v="0"/>
    <x v="0"/>
    <n v="37"/>
    <x v="0"/>
    <x v="1"/>
  </r>
  <r>
    <n v="573"/>
    <n v="56"/>
    <x v="0"/>
    <x v="18"/>
    <x v="3"/>
    <n v="97"/>
    <x v="36"/>
    <x v="3"/>
    <s v="Cyan"/>
    <x v="2"/>
    <n v="4.5999999999999996"/>
    <x v="0"/>
    <x v="2"/>
    <x v="0"/>
    <x v="0"/>
    <n v="26"/>
    <x v="4"/>
    <x v="2"/>
  </r>
  <r>
    <n v="574"/>
    <n v="58"/>
    <x v="0"/>
    <x v="13"/>
    <x v="0"/>
    <n v="68"/>
    <x v="18"/>
    <x v="2"/>
    <s v="Charcoal"/>
    <x v="2"/>
    <n v="3.2"/>
    <x v="0"/>
    <x v="4"/>
    <x v="0"/>
    <x v="0"/>
    <n v="23"/>
    <x v="2"/>
    <x v="4"/>
  </r>
  <r>
    <n v="575"/>
    <n v="54"/>
    <x v="0"/>
    <x v="4"/>
    <x v="1"/>
    <n v="79"/>
    <x v="1"/>
    <x v="0"/>
    <s v="Red"/>
    <x v="3"/>
    <n v="4.8"/>
    <x v="0"/>
    <x v="1"/>
    <x v="0"/>
    <x v="0"/>
    <n v="20"/>
    <x v="4"/>
    <x v="4"/>
  </r>
  <r>
    <n v="576"/>
    <n v="58"/>
    <x v="0"/>
    <x v="2"/>
    <x v="0"/>
    <n v="86"/>
    <x v="43"/>
    <x v="2"/>
    <s v="Peach"/>
    <x v="3"/>
    <n v="4.8"/>
    <x v="0"/>
    <x v="0"/>
    <x v="0"/>
    <x v="0"/>
    <n v="38"/>
    <x v="3"/>
    <x v="5"/>
  </r>
  <r>
    <n v="577"/>
    <n v="48"/>
    <x v="0"/>
    <x v="19"/>
    <x v="3"/>
    <n v="68"/>
    <x v="47"/>
    <x v="2"/>
    <s v="Black"/>
    <x v="0"/>
    <n v="5"/>
    <x v="0"/>
    <x v="4"/>
    <x v="0"/>
    <x v="0"/>
    <n v="5"/>
    <x v="2"/>
    <x v="6"/>
  </r>
  <r>
    <n v="578"/>
    <n v="19"/>
    <x v="0"/>
    <x v="11"/>
    <x v="0"/>
    <n v="52"/>
    <x v="15"/>
    <x v="2"/>
    <s v="Black"/>
    <x v="3"/>
    <n v="3.7"/>
    <x v="0"/>
    <x v="5"/>
    <x v="0"/>
    <x v="0"/>
    <n v="41"/>
    <x v="0"/>
    <x v="2"/>
  </r>
  <r>
    <n v="579"/>
    <n v="69"/>
    <x v="0"/>
    <x v="3"/>
    <x v="1"/>
    <n v="90"/>
    <x v="1"/>
    <x v="2"/>
    <s v="Purple"/>
    <x v="3"/>
    <n v="4.5999999999999996"/>
    <x v="0"/>
    <x v="2"/>
    <x v="0"/>
    <x v="0"/>
    <n v="22"/>
    <x v="2"/>
    <x v="0"/>
  </r>
  <r>
    <n v="580"/>
    <n v="58"/>
    <x v="0"/>
    <x v="3"/>
    <x v="1"/>
    <n v="41"/>
    <x v="18"/>
    <x v="2"/>
    <s v="Violet"/>
    <x v="0"/>
    <n v="3.7"/>
    <x v="0"/>
    <x v="1"/>
    <x v="0"/>
    <x v="0"/>
    <n v="48"/>
    <x v="2"/>
    <x v="2"/>
  </r>
  <r>
    <n v="581"/>
    <n v="49"/>
    <x v="0"/>
    <x v="1"/>
    <x v="0"/>
    <n v="80"/>
    <x v="44"/>
    <x v="2"/>
    <s v="Orange"/>
    <x v="1"/>
    <n v="4.0999999999999996"/>
    <x v="0"/>
    <x v="1"/>
    <x v="0"/>
    <x v="0"/>
    <n v="10"/>
    <x v="3"/>
    <x v="1"/>
  </r>
  <r>
    <n v="582"/>
    <n v="32"/>
    <x v="0"/>
    <x v="1"/>
    <x v="0"/>
    <n v="100"/>
    <x v="44"/>
    <x v="3"/>
    <s v="Charcoal"/>
    <x v="0"/>
    <n v="2.7"/>
    <x v="0"/>
    <x v="5"/>
    <x v="0"/>
    <x v="0"/>
    <n v="12"/>
    <x v="4"/>
    <x v="6"/>
  </r>
  <r>
    <n v="583"/>
    <n v="40"/>
    <x v="0"/>
    <x v="14"/>
    <x v="2"/>
    <n v="77"/>
    <x v="24"/>
    <x v="0"/>
    <s v="Turquoise"/>
    <x v="1"/>
    <n v="4.9000000000000004"/>
    <x v="0"/>
    <x v="5"/>
    <x v="0"/>
    <x v="0"/>
    <n v="2"/>
    <x v="4"/>
    <x v="3"/>
  </r>
  <r>
    <n v="584"/>
    <n v="25"/>
    <x v="0"/>
    <x v="6"/>
    <x v="0"/>
    <n v="78"/>
    <x v="18"/>
    <x v="0"/>
    <s v="Yellow"/>
    <x v="1"/>
    <n v="4"/>
    <x v="0"/>
    <x v="5"/>
    <x v="0"/>
    <x v="0"/>
    <n v="38"/>
    <x v="3"/>
    <x v="5"/>
  </r>
  <r>
    <n v="585"/>
    <n v="70"/>
    <x v="0"/>
    <x v="20"/>
    <x v="0"/>
    <n v="94"/>
    <x v="27"/>
    <x v="2"/>
    <s v="White"/>
    <x v="1"/>
    <n v="4.7"/>
    <x v="0"/>
    <x v="1"/>
    <x v="0"/>
    <x v="0"/>
    <n v="20"/>
    <x v="5"/>
    <x v="5"/>
  </r>
  <r>
    <n v="586"/>
    <n v="69"/>
    <x v="0"/>
    <x v="20"/>
    <x v="0"/>
    <n v="23"/>
    <x v="36"/>
    <x v="2"/>
    <s v="Gray"/>
    <x v="3"/>
    <n v="2.8"/>
    <x v="0"/>
    <x v="2"/>
    <x v="0"/>
    <x v="0"/>
    <n v="5"/>
    <x v="1"/>
    <x v="6"/>
  </r>
  <r>
    <n v="587"/>
    <n v="45"/>
    <x v="0"/>
    <x v="15"/>
    <x v="0"/>
    <n v="20"/>
    <x v="48"/>
    <x v="1"/>
    <s v="Blue"/>
    <x v="0"/>
    <n v="4.9000000000000004"/>
    <x v="0"/>
    <x v="4"/>
    <x v="0"/>
    <x v="0"/>
    <n v="9"/>
    <x v="0"/>
    <x v="2"/>
  </r>
  <r>
    <n v="588"/>
    <n v="29"/>
    <x v="0"/>
    <x v="20"/>
    <x v="0"/>
    <n v="86"/>
    <x v="47"/>
    <x v="1"/>
    <s v="Maroon"/>
    <x v="3"/>
    <n v="4.2"/>
    <x v="0"/>
    <x v="0"/>
    <x v="0"/>
    <x v="0"/>
    <n v="48"/>
    <x v="5"/>
    <x v="6"/>
  </r>
  <r>
    <n v="589"/>
    <n v="47"/>
    <x v="0"/>
    <x v="23"/>
    <x v="1"/>
    <n v="60"/>
    <x v="45"/>
    <x v="2"/>
    <s v="Violet"/>
    <x v="3"/>
    <n v="3"/>
    <x v="0"/>
    <x v="3"/>
    <x v="0"/>
    <x v="0"/>
    <n v="9"/>
    <x v="5"/>
    <x v="3"/>
  </r>
  <r>
    <n v="590"/>
    <n v="28"/>
    <x v="0"/>
    <x v="5"/>
    <x v="0"/>
    <n v="70"/>
    <x v="46"/>
    <x v="2"/>
    <s v="Orange"/>
    <x v="3"/>
    <n v="3.4"/>
    <x v="0"/>
    <x v="4"/>
    <x v="0"/>
    <x v="0"/>
    <n v="40"/>
    <x v="3"/>
    <x v="2"/>
  </r>
  <r>
    <n v="591"/>
    <n v="64"/>
    <x v="0"/>
    <x v="22"/>
    <x v="3"/>
    <n v="39"/>
    <x v="29"/>
    <x v="1"/>
    <s v="Turquoise"/>
    <x v="3"/>
    <n v="4.5999999999999996"/>
    <x v="0"/>
    <x v="3"/>
    <x v="0"/>
    <x v="0"/>
    <n v="30"/>
    <x v="0"/>
    <x v="0"/>
  </r>
  <r>
    <n v="592"/>
    <n v="47"/>
    <x v="0"/>
    <x v="21"/>
    <x v="3"/>
    <n v="37"/>
    <x v="0"/>
    <x v="0"/>
    <s v="Olive"/>
    <x v="3"/>
    <n v="4.2"/>
    <x v="0"/>
    <x v="5"/>
    <x v="0"/>
    <x v="0"/>
    <n v="6"/>
    <x v="5"/>
    <x v="4"/>
  </r>
  <r>
    <n v="593"/>
    <n v="60"/>
    <x v="0"/>
    <x v="23"/>
    <x v="1"/>
    <n v="29"/>
    <x v="25"/>
    <x v="2"/>
    <s v="Brown"/>
    <x v="3"/>
    <n v="3.2"/>
    <x v="0"/>
    <x v="1"/>
    <x v="0"/>
    <x v="0"/>
    <n v="42"/>
    <x v="0"/>
    <x v="6"/>
  </r>
  <r>
    <n v="594"/>
    <n v="67"/>
    <x v="0"/>
    <x v="7"/>
    <x v="2"/>
    <n v="35"/>
    <x v="29"/>
    <x v="1"/>
    <s v="Green"/>
    <x v="0"/>
    <n v="4.4000000000000004"/>
    <x v="0"/>
    <x v="5"/>
    <x v="0"/>
    <x v="0"/>
    <n v="9"/>
    <x v="3"/>
    <x v="6"/>
  </r>
  <r>
    <n v="595"/>
    <n v="35"/>
    <x v="0"/>
    <x v="15"/>
    <x v="0"/>
    <n v="83"/>
    <x v="19"/>
    <x v="1"/>
    <s v="Brown"/>
    <x v="0"/>
    <n v="2.5"/>
    <x v="0"/>
    <x v="2"/>
    <x v="0"/>
    <x v="0"/>
    <n v="6"/>
    <x v="5"/>
    <x v="5"/>
  </r>
  <r>
    <n v="596"/>
    <n v="30"/>
    <x v="0"/>
    <x v="9"/>
    <x v="1"/>
    <n v="77"/>
    <x v="12"/>
    <x v="2"/>
    <s v="Silver"/>
    <x v="2"/>
    <n v="3.6"/>
    <x v="0"/>
    <x v="2"/>
    <x v="0"/>
    <x v="0"/>
    <n v="47"/>
    <x v="3"/>
    <x v="3"/>
  </r>
  <r>
    <n v="597"/>
    <n v="23"/>
    <x v="0"/>
    <x v="9"/>
    <x v="1"/>
    <n v="37"/>
    <x v="6"/>
    <x v="3"/>
    <s v="White"/>
    <x v="2"/>
    <n v="4.5"/>
    <x v="0"/>
    <x v="5"/>
    <x v="0"/>
    <x v="0"/>
    <n v="36"/>
    <x v="0"/>
    <x v="2"/>
  </r>
  <r>
    <n v="598"/>
    <n v="70"/>
    <x v="0"/>
    <x v="16"/>
    <x v="3"/>
    <n v="69"/>
    <x v="29"/>
    <x v="0"/>
    <s v="Gold"/>
    <x v="2"/>
    <n v="3.4"/>
    <x v="0"/>
    <x v="3"/>
    <x v="0"/>
    <x v="0"/>
    <n v="19"/>
    <x v="4"/>
    <x v="0"/>
  </r>
  <r>
    <n v="599"/>
    <n v="21"/>
    <x v="0"/>
    <x v="10"/>
    <x v="0"/>
    <n v="66"/>
    <x v="18"/>
    <x v="0"/>
    <s v="Green"/>
    <x v="0"/>
    <n v="3.2"/>
    <x v="0"/>
    <x v="4"/>
    <x v="0"/>
    <x v="0"/>
    <n v="30"/>
    <x v="1"/>
    <x v="6"/>
  </r>
  <r>
    <n v="600"/>
    <n v="51"/>
    <x v="0"/>
    <x v="23"/>
    <x v="1"/>
    <n v="26"/>
    <x v="2"/>
    <x v="0"/>
    <s v="Teal"/>
    <x v="1"/>
    <n v="4.2"/>
    <x v="0"/>
    <x v="3"/>
    <x v="0"/>
    <x v="0"/>
    <n v="27"/>
    <x v="5"/>
    <x v="6"/>
  </r>
  <r>
    <n v="601"/>
    <n v="22"/>
    <x v="0"/>
    <x v="19"/>
    <x v="3"/>
    <n v="63"/>
    <x v="36"/>
    <x v="2"/>
    <s v="Charcoal"/>
    <x v="1"/>
    <n v="5"/>
    <x v="0"/>
    <x v="4"/>
    <x v="0"/>
    <x v="0"/>
    <n v="25"/>
    <x v="0"/>
    <x v="5"/>
  </r>
  <r>
    <n v="602"/>
    <n v="32"/>
    <x v="0"/>
    <x v="21"/>
    <x v="3"/>
    <n v="38"/>
    <x v="8"/>
    <x v="2"/>
    <s v="Maroon"/>
    <x v="2"/>
    <n v="4.7"/>
    <x v="0"/>
    <x v="5"/>
    <x v="0"/>
    <x v="0"/>
    <n v="5"/>
    <x v="1"/>
    <x v="0"/>
  </r>
  <r>
    <n v="603"/>
    <n v="37"/>
    <x v="0"/>
    <x v="9"/>
    <x v="1"/>
    <n v="58"/>
    <x v="4"/>
    <x v="0"/>
    <s v="Lavender"/>
    <x v="2"/>
    <n v="4.2"/>
    <x v="0"/>
    <x v="2"/>
    <x v="0"/>
    <x v="0"/>
    <n v="10"/>
    <x v="1"/>
    <x v="6"/>
  </r>
  <r>
    <n v="604"/>
    <n v="31"/>
    <x v="0"/>
    <x v="8"/>
    <x v="3"/>
    <n v="46"/>
    <x v="2"/>
    <x v="0"/>
    <s v="Green"/>
    <x v="0"/>
    <n v="3.4"/>
    <x v="0"/>
    <x v="4"/>
    <x v="0"/>
    <x v="0"/>
    <n v="26"/>
    <x v="3"/>
    <x v="6"/>
  </r>
  <r>
    <n v="605"/>
    <n v="44"/>
    <x v="0"/>
    <x v="12"/>
    <x v="3"/>
    <n v="92"/>
    <x v="8"/>
    <x v="1"/>
    <s v="Pink"/>
    <x v="3"/>
    <n v="4.4000000000000004"/>
    <x v="0"/>
    <x v="5"/>
    <x v="0"/>
    <x v="0"/>
    <n v="11"/>
    <x v="2"/>
    <x v="6"/>
  </r>
  <r>
    <n v="606"/>
    <n v="40"/>
    <x v="0"/>
    <x v="19"/>
    <x v="3"/>
    <n v="32"/>
    <x v="18"/>
    <x v="3"/>
    <s v="Charcoal"/>
    <x v="0"/>
    <n v="4.2"/>
    <x v="0"/>
    <x v="3"/>
    <x v="0"/>
    <x v="0"/>
    <n v="17"/>
    <x v="4"/>
    <x v="1"/>
  </r>
  <r>
    <n v="607"/>
    <n v="27"/>
    <x v="0"/>
    <x v="18"/>
    <x v="3"/>
    <n v="90"/>
    <x v="24"/>
    <x v="2"/>
    <s v="Blue"/>
    <x v="1"/>
    <n v="4.5"/>
    <x v="0"/>
    <x v="3"/>
    <x v="0"/>
    <x v="0"/>
    <n v="44"/>
    <x v="3"/>
    <x v="5"/>
  </r>
  <r>
    <n v="608"/>
    <n v="47"/>
    <x v="0"/>
    <x v="15"/>
    <x v="0"/>
    <n v="23"/>
    <x v="27"/>
    <x v="0"/>
    <s v="Purple"/>
    <x v="3"/>
    <n v="2.8"/>
    <x v="0"/>
    <x v="2"/>
    <x v="0"/>
    <x v="0"/>
    <n v="44"/>
    <x v="1"/>
    <x v="5"/>
  </r>
  <r>
    <n v="609"/>
    <n v="41"/>
    <x v="0"/>
    <x v="21"/>
    <x v="3"/>
    <n v="25"/>
    <x v="12"/>
    <x v="1"/>
    <s v="Gold"/>
    <x v="3"/>
    <n v="3.3"/>
    <x v="0"/>
    <x v="2"/>
    <x v="0"/>
    <x v="0"/>
    <n v="21"/>
    <x v="0"/>
    <x v="6"/>
  </r>
  <r>
    <n v="610"/>
    <n v="51"/>
    <x v="0"/>
    <x v="1"/>
    <x v="0"/>
    <n v="54"/>
    <x v="31"/>
    <x v="0"/>
    <s v="Purple"/>
    <x v="3"/>
    <n v="4.5999999999999996"/>
    <x v="0"/>
    <x v="2"/>
    <x v="0"/>
    <x v="0"/>
    <n v="49"/>
    <x v="2"/>
    <x v="0"/>
  </r>
  <r>
    <n v="611"/>
    <n v="53"/>
    <x v="0"/>
    <x v="6"/>
    <x v="0"/>
    <n v="72"/>
    <x v="19"/>
    <x v="2"/>
    <s v="Charcoal"/>
    <x v="2"/>
    <n v="2.5"/>
    <x v="0"/>
    <x v="1"/>
    <x v="0"/>
    <x v="0"/>
    <n v="27"/>
    <x v="4"/>
    <x v="6"/>
  </r>
  <r>
    <n v="612"/>
    <n v="43"/>
    <x v="0"/>
    <x v="18"/>
    <x v="3"/>
    <n v="33"/>
    <x v="18"/>
    <x v="2"/>
    <s v="Black"/>
    <x v="0"/>
    <n v="4.7"/>
    <x v="0"/>
    <x v="5"/>
    <x v="0"/>
    <x v="0"/>
    <n v="19"/>
    <x v="1"/>
    <x v="5"/>
  </r>
  <r>
    <n v="613"/>
    <n v="67"/>
    <x v="0"/>
    <x v="19"/>
    <x v="3"/>
    <n v="43"/>
    <x v="13"/>
    <x v="0"/>
    <s v="Lavender"/>
    <x v="3"/>
    <n v="4.5999999999999996"/>
    <x v="0"/>
    <x v="0"/>
    <x v="0"/>
    <x v="0"/>
    <n v="33"/>
    <x v="2"/>
    <x v="3"/>
  </r>
  <r>
    <n v="614"/>
    <n v="61"/>
    <x v="0"/>
    <x v="7"/>
    <x v="2"/>
    <n v="51"/>
    <x v="38"/>
    <x v="0"/>
    <s v="Lavender"/>
    <x v="3"/>
    <n v="2.6"/>
    <x v="0"/>
    <x v="3"/>
    <x v="0"/>
    <x v="0"/>
    <n v="46"/>
    <x v="1"/>
    <x v="4"/>
  </r>
  <r>
    <n v="615"/>
    <n v="68"/>
    <x v="0"/>
    <x v="16"/>
    <x v="3"/>
    <n v="85"/>
    <x v="37"/>
    <x v="2"/>
    <s v="Lavender"/>
    <x v="0"/>
    <n v="4"/>
    <x v="0"/>
    <x v="3"/>
    <x v="0"/>
    <x v="0"/>
    <n v="21"/>
    <x v="2"/>
    <x v="4"/>
  </r>
  <r>
    <n v="616"/>
    <n v="67"/>
    <x v="0"/>
    <x v="3"/>
    <x v="1"/>
    <n v="100"/>
    <x v="33"/>
    <x v="0"/>
    <s v="Olive"/>
    <x v="2"/>
    <n v="2.6"/>
    <x v="0"/>
    <x v="2"/>
    <x v="0"/>
    <x v="0"/>
    <n v="23"/>
    <x v="0"/>
    <x v="2"/>
  </r>
  <r>
    <n v="617"/>
    <n v="29"/>
    <x v="0"/>
    <x v="24"/>
    <x v="3"/>
    <n v="72"/>
    <x v="38"/>
    <x v="0"/>
    <s v="Teal"/>
    <x v="1"/>
    <n v="4.5999999999999996"/>
    <x v="0"/>
    <x v="1"/>
    <x v="0"/>
    <x v="0"/>
    <n v="38"/>
    <x v="2"/>
    <x v="6"/>
  </r>
  <r>
    <n v="618"/>
    <n v="50"/>
    <x v="0"/>
    <x v="21"/>
    <x v="3"/>
    <n v="57"/>
    <x v="24"/>
    <x v="2"/>
    <s v="Maroon"/>
    <x v="3"/>
    <n v="2.6"/>
    <x v="0"/>
    <x v="3"/>
    <x v="0"/>
    <x v="0"/>
    <n v="2"/>
    <x v="4"/>
    <x v="3"/>
  </r>
  <r>
    <n v="619"/>
    <n v="61"/>
    <x v="0"/>
    <x v="14"/>
    <x v="2"/>
    <n v="94"/>
    <x v="27"/>
    <x v="0"/>
    <s v="Cyan"/>
    <x v="1"/>
    <n v="4"/>
    <x v="0"/>
    <x v="0"/>
    <x v="0"/>
    <x v="0"/>
    <n v="21"/>
    <x v="5"/>
    <x v="4"/>
  </r>
  <r>
    <n v="620"/>
    <n v="19"/>
    <x v="0"/>
    <x v="21"/>
    <x v="3"/>
    <n v="34"/>
    <x v="43"/>
    <x v="2"/>
    <s v="Charcoal"/>
    <x v="2"/>
    <n v="4.5999999999999996"/>
    <x v="0"/>
    <x v="5"/>
    <x v="0"/>
    <x v="0"/>
    <n v="1"/>
    <x v="5"/>
    <x v="6"/>
  </r>
  <r>
    <n v="621"/>
    <n v="33"/>
    <x v="0"/>
    <x v="21"/>
    <x v="3"/>
    <n v="89"/>
    <x v="3"/>
    <x v="2"/>
    <s v="Black"/>
    <x v="3"/>
    <n v="3.7"/>
    <x v="0"/>
    <x v="4"/>
    <x v="0"/>
    <x v="0"/>
    <n v="10"/>
    <x v="0"/>
    <x v="6"/>
  </r>
  <r>
    <n v="622"/>
    <n v="51"/>
    <x v="0"/>
    <x v="12"/>
    <x v="3"/>
    <n v="27"/>
    <x v="23"/>
    <x v="1"/>
    <s v="Red"/>
    <x v="3"/>
    <n v="4.4000000000000004"/>
    <x v="0"/>
    <x v="5"/>
    <x v="0"/>
    <x v="0"/>
    <n v="45"/>
    <x v="2"/>
    <x v="1"/>
  </r>
  <r>
    <n v="623"/>
    <n v="69"/>
    <x v="0"/>
    <x v="20"/>
    <x v="0"/>
    <n v="63"/>
    <x v="42"/>
    <x v="1"/>
    <s v="Peach"/>
    <x v="1"/>
    <n v="4"/>
    <x v="0"/>
    <x v="2"/>
    <x v="0"/>
    <x v="0"/>
    <n v="44"/>
    <x v="4"/>
    <x v="0"/>
  </r>
  <r>
    <n v="624"/>
    <n v="19"/>
    <x v="0"/>
    <x v="9"/>
    <x v="1"/>
    <n v="70"/>
    <x v="22"/>
    <x v="2"/>
    <s v="White"/>
    <x v="3"/>
    <n v="4.7"/>
    <x v="0"/>
    <x v="3"/>
    <x v="0"/>
    <x v="0"/>
    <n v="48"/>
    <x v="3"/>
    <x v="4"/>
  </r>
  <r>
    <n v="625"/>
    <n v="55"/>
    <x v="0"/>
    <x v="13"/>
    <x v="0"/>
    <n v="87"/>
    <x v="36"/>
    <x v="3"/>
    <s v="Pink"/>
    <x v="3"/>
    <n v="3.4"/>
    <x v="0"/>
    <x v="0"/>
    <x v="0"/>
    <x v="0"/>
    <n v="21"/>
    <x v="3"/>
    <x v="2"/>
  </r>
  <r>
    <n v="626"/>
    <n v="49"/>
    <x v="0"/>
    <x v="16"/>
    <x v="3"/>
    <n v="79"/>
    <x v="12"/>
    <x v="2"/>
    <s v="Red"/>
    <x v="3"/>
    <n v="4"/>
    <x v="0"/>
    <x v="2"/>
    <x v="0"/>
    <x v="0"/>
    <n v="1"/>
    <x v="0"/>
    <x v="1"/>
  </r>
  <r>
    <n v="627"/>
    <n v="31"/>
    <x v="0"/>
    <x v="12"/>
    <x v="3"/>
    <n v="79"/>
    <x v="13"/>
    <x v="2"/>
    <s v="Indigo"/>
    <x v="1"/>
    <n v="3.9"/>
    <x v="0"/>
    <x v="3"/>
    <x v="0"/>
    <x v="0"/>
    <n v="10"/>
    <x v="0"/>
    <x v="2"/>
  </r>
  <r>
    <n v="628"/>
    <n v="42"/>
    <x v="0"/>
    <x v="3"/>
    <x v="1"/>
    <n v="44"/>
    <x v="4"/>
    <x v="0"/>
    <s v="Black"/>
    <x v="0"/>
    <n v="4.0999999999999996"/>
    <x v="0"/>
    <x v="0"/>
    <x v="0"/>
    <x v="0"/>
    <n v="24"/>
    <x v="3"/>
    <x v="5"/>
  </r>
  <r>
    <n v="629"/>
    <n v="69"/>
    <x v="0"/>
    <x v="1"/>
    <x v="0"/>
    <n v="85"/>
    <x v="2"/>
    <x v="2"/>
    <s v="White"/>
    <x v="3"/>
    <n v="3.7"/>
    <x v="0"/>
    <x v="4"/>
    <x v="0"/>
    <x v="0"/>
    <n v="29"/>
    <x v="2"/>
    <x v="5"/>
  </r>
  <r>
    <n v="630"/>
    <n v="26"/>
    <x v="0"/>
    <x v="9"/>
    <x v="1"/>
    <n v="90"/>
    <x v="34"/>
    <x v="0"/>
    <s v="Beige"/>
    <x v="1"/>
    <n v="4.7"/>
    <x v="0"/>
    <x v="3"/>
    <x v="0"/>
    <x v="0"/>
    <n v="11"/>
    <x v="5"/>
    <x v="2"/>
  </r>
  <r>
    <n v="631"/>
    <n v="41"/>
    <x v="0"/>
    <x v="16"/>
    <x v="3"/>
    <n v="94"/>
    <x v="16"/>
    <x v="1"/>
    <s v="Silver"/>
    <x v="3"/>
    <n v="4.3"/>
    <x v="0"/>
    <x v="4"/>
    <x v="0"/>
    <x v="0"/>
    <n v="33"/>
    <x v="5"/>
    <x v="2"/>
  </r>
  <r>
    <n v="632"/>
    <n v="55"/>
    <x v="0"/>
    <x v="23"/>
    <x v="1"/>
    <n v="68"/>
    <x v="47"/>
    <x v="1"/>
    <s v="Violet"/>
    <x v="2"/>
    <n v="4.0999999999999996"/>
    <x v="0"/>
    <x v="5"/>
    <x v="0"/>
    <x v="0"/>
    <n v="27"/>
    <x v="1"/>
    <x v="0"/>
  </r>
  <r>
    <n v="633"/>
    <n v="35"/>
    <x v="0"/>
    <x v="21"/>
    <x v="3"/>
    <n v="51"/>
    <x v="5"/>
    <x v="2"/>
    <s v="Red"/>
    <x v="0"/>
    <n v="3.9"/>
    <x v="0"/>
    <x v="2"/>
    <x v="0"/>
    <x v="0"/>
    <n v="19"/>
    <x v="0"/>
    <x v="0"/>
  </r>
  <r>
    <n v="634"/>
    <n v="66"/>
    <x v="0"/>
    <x v="3"/>
    <x v="1"/>
    <n v="33"/>
    <x v="46"/>
    <x v="2"/>
    <s v="Orange"/>
    <x v="1"/>
    <n v="2.9"/>
    <x v="0"/>
    <x v="0"/>
    <x v="0"/>
    <x v="0"/>
    <n v="50"/>
    <x v="5"/>
    <x v="3"/>
  </r>
  <r>
    <n v="635"/>
    <n v="36"/>
    <x v="0"/>
    <x v="4"/>
    <x v="1"/>
    <n v="60"/>
    <x v="31"/>
    <x v="2"/>
    <s v="Teal"/>
    <x v="2"/>
    <n v="3.9"/>
    <x v="0"/>
    <x v="3"/>
    <x v="0"/>
    <x v="0"/>
    <n v="46"/>
    <x v="3"/>
    <x v="1"/>
  </r>
  <r>
    <n v="636"/>
    <n v="27"/>
    <x v="0"/>
    <x v="15"/>
    <x v="0"/>
    <n v="59"/>
    <x v="36"/>
    <x v="2"/>
    <s v="Brown"/>
    <x v="3"/>
    <n v="4.3"/>
    <x v="0"/>
    <x v="4"/>
    <x v="0"/>
    <x v="0"/>
    <n v="28"/>
    <x v="1"/>
    <x v="3"/>
  </r>
  <r>
    <n v="637"/>
    <n v="41"/>
    <x v="0"/>
    <x v="8"/>
    <x v="3"/>
    <n v="30"/>
    <x v="48"/>
    <x v="2"/>
    <s v="Indigo"/>
    <x v="2"/>
    <n v="2.8"/>
    <x v="0"/>
    <x v="5"/>
    <x v="0"/>
    <x v="0"/>
    <n v="14"/>
    <x v="4"/>
    <x v="6"/>
  </r>
  <r>
    <n v="638"/>
    <n v="21"/>
    <x v="0"/>
    <x v="1"/>
    <x v="0"/>
    <n v="20"/>
    <x v="30"/>
    <x v="2"/>
    <s v="Cyan"/>
    <x v="0"/>
    <n v="3.4"/>
    <x v="0"/>
    <x v="4"/>
    <x v="0"/>
    <x v="0"/>
    <n v="46"/>
    <x v="1"/>
    <x v="0"/>
  </r>
  <r>
    <n v="639"/>
    <n v="53"/>
    <x v="0"/>
    <x v="3"/>
    <x v="1"/>
    <n v="20"/>
    <x v="33"/>
    <x v="1"/>
    <s v="Blue"/>
    <x v="2"/>
    <n v="2.7"/>
    <x v="0"/>
    <x v="0"/>
    <x v="0"/>
    <x v="0"/>
    <n v="41"/>
    <x v="3"/>
    <x v="5"/>
  </r>
  <r>
    <n v="640"/>
    <n v="54"/>
    <x v="0"/>
    <x v="10"/>
    <x v="0"/>
    <n v="24"/>
    <x v="16"/>
    <x v="0"/>
    <s v="Olive"/>
    <x v="1"/>
    <n v="4"/>
    <x v="0"/>
    <x v="4"/>
    <x v="0"/>
    <x v="0"/>
    <n v="50"/>
    <x v="2"/>
    <x v="2"/>
  </r>
  <r>
    <n v="641"/>
    <n v="53"/>
    <x v="0"/>
    <x v="11"/>
    <x v="0"/>
    <n v="88"/>
    <x v="46"/>
    <x v="2"/>
    <s v="Gray"/>
    <x v="2"/>
    <n v="4.4000000000000004"/>
    <x v="0"/>
    <x v="5"/>
    <x v="0"/>
    <x v="0"/>
    <n v="28"/>
    <x v="5"/>
    <x v="0"/>
  </r>
  <r>
    <n v="642"/>
    <n v="47"/>
    <x v="0"/>
    <x v="0"/>
    <x v="0"/>
    <n v="78"/>
    <x v="29"/>
    <x v="2"/>
    <s v="Red"/>
    <x v="0"/>
    <n v="3.9"/>
    <x v="0"/>
    <x v="4"/>
    <x v="0"/>
    <x v="0"/>
    <n v="23"/>
    <x v="2"/>
    <x v="6"/>
  </r>
  <r>
    <n v="643"/>
    <n v="64"/>
    <x v="0"/>
    <x v="11"/>
    <x v="0"/>
    <n v="25"/>
    <x v="10"/>
    <x v="0"/>
    <s v="Red"/>
    <x v="1"/>
    <n v="2.8"/>
    <x v="0"/>
    <x v="4"/>
    <x v="0"/>
    <x v="0"/>
    <n v="14"/>
    <x v="5"/>
    <x v="4"/>
  </r>
  <r>
    <n v="644"/>
    <n v="18"/>
    <x v="0"/>
    <x v="1"/>
    <x v="0"/>
    <n v="57"/>
    <x v="4"/>
    <x v="3"/>
    <s v="Green"/>
    <x v="0"/>
    <n v="3.2"/>
    <x v="0"/>
    <x v="2"/>
    <x v="0"/>
    <x v="0"/>
    <n v="10"/>
    <x v="4"/>
    <x v="6"/>
  </r>
  <r>
    <n v="645"/>
    <n v="68"/>
    <x v="0"/>
    <x v="21"/>
    <x v="3"/>
    <n v="93"/>
    <x v="7"/>
    <x v="1"/>
    <s v="Blue"/>
    <x v="2"/>
    <n v="4.3"/>
    <x v="0"/>
    <x v="2"/>
    <x v="0"/>
    <x v="0"/>
    <n v="37"/>
    <x v="1"/>
    <x v="1"/>
  </r>
  <r>
    <n v="646"/>
    <n v="62"/>
    <x v="0"/>
    <x v="15"/>
    <x v="0"/>
    <n v="42"/>
    <x v="19"/>
    <x v="1"/>
    <s v="Purple"/>
    <x v="2"/>
    <n v="4.2"/>
    <x v="0"/>
    <x v="0"/>
    <x v="0"/>
    <x v="0"/>
    <n v="15"/>
    <x v="0"/>
    <x v="4"/>
  </r>
  <r>
    <n v="647"/>
    <n v="51"/>
    <x v="0"/>
    <x v="23"/>
    <x v="1"/>
    <n v="54"/>
    <x v="27"/>
    <x v="3"/>
    <s v="Pink"/>
    <x v="1"/>
    <n v="4.9000000000000004"/>
    <x v="0"/>
    <x v="3"/>
    <x v="0"/>
    <x v="0"/>
    <n v="19"/>
    <x v="0"/>
    <x v="4"/>
  </r>
  <r>
    <n v="648"/>
    <n v="54"/>
    <x v="0"/>
    <x v="0"/>
    <x v="0"/>
    <n v="70"/>
    <x v="16"/>
    <x v="3"/>
    <s v="Charcoal"/>
    <x v="2"/>
    <n v="3.7"/>
    <x v="0"/>
    <x v="0"/>
    <x v="0"/>
    <x v="0"/>
    <n v="23"/>
    <x v="2"/>
    <x v="0"/>
  </r>
  <r>
    <n v="649"/>
    <n v="22"/>
    <x v="0"/>
    <x v="15"/>
    <x v="0"/>
    <n v="31"/>
    <x v="49"/>
    <x v="2"/>
    <s v="Brown"/>
    <x v="0"/>
    <n v="4.0999999999999996"/>
    <x v="0"/>
    <x v="5"/>
    <x v="0"/>
    <x v="0"/>
    <n v="35"/>
    <x v="2"/>
    <x v="1"/>
  </r>
  <r>
    <n v="650"/>
    <n v="53"/>
    <x v="0"/>
    <x v="13"/>
    <x v="0"/>
    <n v="93"/>
    <x v="12"/>
    <x v="0"/>
    <s v="Orange"/>
    <x v="1"/>
    <n v="4.2"/>
    <x v="0"/>
    <x v="5"/>
    <x v="0"/>
    <x v="0"/>
    <n v="33"/>
    <x v="3"/>
    <x v="6"/>
  </r>
  <r>
    <n v="651"/>
    <n v="34"/>
    <x v="0"/>
    <x v="24"/>
    <x v="3"/>
    <n v="40"/>
    <x v="20"/>
    <x v="2"/>
    <s v="Magenta"/>
    <x v="1"/>
    <n v="3.9"/>
    <x v="0"/>
    <x v="2"/>
    <x v="0"/>
    <x v="0"/>
    <n v="12"/>
    <x v="4"/>
    <x v="2"/>
  </r>
  <r>
    <n v="652"/>
    <n v="32"/>
    <x v="0"/>
    <x v="19"/>
    <x v="3"/>
    <n v="32"/>
    <x v="10"/>
    <x v="0"/>
    <s v="Yellow"/>
    <x v="2"/>
    <n v="2.9"/>
    <x v="0"/>
    <x v="2"/>
    <x v="0"/>
    <x v="0"/>
    <n v="41"/>
    <x v="0"/>
    <x v="0"/>
  </r>
  <r>
    <n v="653"/>
    <n v="64"/>
    <x v="0"/>
    <x v="12"/>
    <x v="3"/>
    <n v="27"/>
    <x v="46"/>
    <x v="2"/>
    <s v="Beige"/>
    <x v="0"/>
    <n v="3.1"/>
    <x v="0"/>
    <x v="1"/>
    <x v="0"/>
    <x v="0"/>
    <n v="27"/>
    <x v="0"/>
    <x v="1"/>
  </r>
  <r>
    <n v="654"/>
    <n v="20"/>
    <x v="0"/>
    <x v="18"/>
    <x v="3"/>
    <n v="68"/>
    <x v="25"/>
    <x v="2"/>
    <s v="Olive"/>
    <x v="0"/>
    <n v="3.6"/>
    <x v="0"/>
    <x v="4"/>
    <x v="0"/>
    <x v="0"/>
    <n v="45"/>
    <x v="1"/>
    <x v="0"/>
  </r>
  <r>
    <n v="655"/>
    <n v="24"/>
    <x v="0"/>
    <x v="8"/>
    <x v="3"/>
    <n v="59"/>
    <x v="18"/>
    <x v="0"/>
    <s v="Gray"/>
    <x v="2"/>
    <n v="4.4000000000000004"/>
    <x v="0"/>
    <x v="4"/>
    <x v="0"/>
    <x v="0"/>
    <n v="23"/>
    <x v="0"/>
    <x v="2"/>
  </r>
  <r>
    <n v="656"/>
    <n v="20"/>
    <x v="0"/>
    <x v="8"/>
    <x v="3"/>
    <n v="36"/>
    <x v="16"/>
    <x v="1"/>
    <s v="Purple"/>
    <x v="3"/>
    <n v="3.1"/>
    <x v="0"/>
    <x v="1"/>
    <x v="0"/>
    <x v="0"/>
    <n v="19"/>
    <x v="0"/>
    <x v="5"/>
  </r>
  <r>
    <n v="657"/>
    <n v="42"/>
    <x v="0"/>
    <x v="2"/>
    <x v="0"/>
    <n v="23"/>
    <x v="38"/>
    <x v="2"/>
    <s v="Beige"/>
    <x v="2"/>
    <n v="3.9"/>
    <x v="0"/>
    <x v="3"/>
    <x v="0"/>
    <x v="0"/>
    <n v="6"/>
    <x v="3"/>
    <x v="3"/>
  </r>
  <r>
    <n v="658"/>
    <n v="48"/>
    <x v="0"/>
    <x v="14"/>
    <x v="2"/>
    <n v="80"/>
    <x v="28"/>
    <x v="2"/>
    <s v="White"/>
    <x v="0"/>
    <n v="4.3"/>
    <x v="0"/>
    <x v="1"/>
    <x v="0"/>
    <x v="0"/>
    <n v="6"/>
    <x v="3"/>
    <x v="3"/>
  </r>
  <r>
    <n v="659"/>
    <n v="62"/>
    <x v="0"/>
    <x v="21"/>
    <x v="3"/>
    <n v="37"/>
    <x v="7"/>
    <x v="1"/>
    <s v="White"/>
    <x v="3"/>
    <n v="4.9000000000000004"/>
    <x v="0"/>
    <x v="5"/>
    <x v="0"/>
    <x v="0"/>
    <n v="20"/>
    <x v="0"/>
    <x v="1"/>
  </r>
  <r>
    <n v="660"/>
    <n v="62"/>
    <x v="0"/>
    <x v="6"/>
    <x v="0"/>
    <n v="52"/>
    <x v="41"/>
    <x v="1"/>
    <s v="Gold"/>
    <x v="1"/>
    <n v="3.6"/>
    <x v="0"/>
    <x v="4"/>
    <x v="0"/>
    <x v="0"/>
    <n v="8"/>
    <x v="1"/>
    <x v="1"/>
  </r>
  <r>
    <n v="661"/>
    <n v="50"/>
    <x v="0"/>
    <x v="7"/>
    <x v="2"/>
    <n v="79"/>
    <x v="6"/>
    <x v="2"/>
    <s v="Olive"/>
    <x v="3"/>
    <n v="5"/>
    <x v="0"/>
    <x v="4"/>
    <x v="0"/>
    <x v="0"/>
    <n v="39"/>
    <x v="2"/>
    <x v="3"/>
  </r>
  <r>
    <n v="662"/>
    <n v="57"/>
    <x v="0"/>
    <x v="5"/>
    <x v="0"/>
    <n v="68"/>
    <x v="44"/>
    <x v="3"/>
    <s v="Green"/>
    <x v="3"/>
    <n v="4.0999999999999996"/>
    <x v="0"/>
    <x v="5"/>
    <x v="0"/>
    <x v="0"/>
    <n v="39"/>
    <x v="2"/>
    <x v="3"/>
  </r>
  <r>
    <n v="663"/>
    <n v="24"/>
    <x v="0"/>
    <x v="24"/>
    <x v="3"/>
    <n v="98"/>
    <x v="26"/>
    <x v="0"/>
    <s v="Magenta"/>
    <x v="3"/>
    <n v="2.8"/>
    <x v="0"/>
    <x v="0"/>
    <x v="0"/>
    <x v="0"/>
    <n v="39"/>
    <x v="0"/>
    <x v="4"/>
  </r>
  <r>
    <n v="664"/>
    <n v="59"/>
    <x v="0"/>
    <x v="10"/>
    <x v="0"/>
    <n v="83"/>
    <x v="29"/>
    <x v="2"/>
    <s v="Charcoal"/>
    <x v="3"/>
    <n v="4.7"/>
    <x v="0"/>
    <x v="0"/>
    <x v="0"/>
    <x v="0"/>
    <n v="23"/>
    <x v="2"/>
    <x v="5"/>
  </r>
  <r>
    <n v="665"/>
    <n v="63"/>
    <x v="0"/>
    <x v="13"/>
    <x v="0"/>
    <n v="83"/>
    <x v="24"/>
    <x v="2"/>
    <s v="Indigo"/>
    <x v="0"/>
    <n v="4.4000000000000004"/>
    <x v="0"/>
    <x v="0"/>
    <x v="0"/>
    <x v="0"/>
    <n v="41"/>
    <x v="3"/>
    <x v="4"/>
  </r>
  <r>
    <n v="666"/>
    <n v="41"/>
    <x v="0"/>
    <x v="13"/>
    <x v="0"/>
    <n v="55"/>
    <x v="35"/>
    <x v="2"/>
    <s v="Peach"/>
    <x v="1"/>
    <n v="4.9000000000000004"/>
    <x v="0"/>
    <x v="4"/>
    <x v="0"/>
    <x v="0"/>
    <n v="50"/>
    <x v="2"/>
    <x v="2"/>
  </r>
  <r>
    <n v="667"/>
    <n v="35"/>
    <x v="0"/>
    <x v="15"/>
    <x v="0"/>
    <n v="26"/>
    <x v="24"/>
    <x v="0"/>
    <s v="Turquoise"/>
    <x v="0"/>
    <n v="3.1"/>
    <x v="0"/>
    <x v="1"/>
    <x v="0"/>
    <x v="0"/>
    <n v="30"/>
    <x v="5"/>
    <x v="3"/>
  </r>
  <r>
    <n v="668"/>
    <n v="34"/>
    <x v="0"/>
    <x v="12"/>
    <x v="3"/>
    <n v="76"/>
    <x v="28"/>
    <x v="1"/>
    <s v="Blue"/>
    <x v="0"/>
    <n v="2.6"/>
    <x v="0"/>
    <x v="3"/>
    <x v="0"/>
    <x v="0"/>
    <n v="32"/>
    <x v="4"/>
    <x v="3"/>
  </r>
  <r>
    <n v="669"/>
    <n v="49"/>
    <x v="0"/>
    <x v="17"/>
    <x v="0"/>
    <n v="85"/>
    <x v="11"/>
    <x v="1"/>
    <s v="Turquoise"/>
    <x v="3"/>
    <n v="2.9"/>
    <x v="0"/>
    <x v="0"/>
    <x v="0"/>
    <x v="0"/>
    <n v="35"/>
    <x v="4"/>
    <x v="5"/>
  </r>
  <r>
    <n v="670"/>
    <n v="43"/>
    <x v="0"/>
    <x v="14"/>
    <x v="2"/>
    <n v="89"/>
    <x v="26"/>
    <x v="2"/>
    <s v="Gray"/>
    <x v="1"/>
    <n v="3.3"/>
    <x v="0"/>
    <x v="1"/>
    <x v="0"/>
    <x v="0"/>
    <n v="45"/>
    <x v="0"/>
    <x v="4"/>
  </r>
  <r>
    <n v="671"/>
    <n v="63"/>
    <x v="0"/>
    <x v="1"/>
    <x v="0"/>
    <n v="41"/>
    <x v="7"/>
    <x v="3"/>
    <s v="Purple"/>
    <x v="1"/>
    <n v="4.8"/>
    <x v="0"/>
    <x v="2"/>
    <x v="0"/>
    <x v="0"/>
    <n v="37"/>
    <x v="1"/>
    <x v="4"/>
  </r>
  <r>
    <n v="672"/>
    <n v="38"/>
    <x v="0"/>
    <x v="14"/>
    <x v="2"/>
    <n v="30"/>
    <x v="44"/>
    <x v="0"/>
    <s v="Black"/>
    <x v="0"/>
    <n v="4.7"/>
    <x v="0"/>
    <x v="0"/>
    <x v="0"/>
    <x v="0"/>
    <n v="45"/>
    <x v="1"/>
    <x v="1"/>
  </r>
  <r>
    <n v="673"/>
    <n v="59"/>
    <x v="0"/>
    <x v="20"/>
    <x v="0"/>
    <n v="53"/>
    <x v="47"/>
    <x v="2"/>
    <s v="Peach"/>
    <x v="0"/>
    <n v="3.3"/>
    <x v="0"/>
    <x v="4"/>
    <x v="0"/>
    <x v="0"/>
    <n v="29"/>
    <x v="1"/>
    <x v="3"/>
  </r>
  <r>
    <n v="674"/>
    <n v="35"/>
    <x v="0"/>
    <x v="5"/>
    <x v="0"/>
    <n v="66"/>
    <x v="19"/>
    <x v="2"/>
    <s v="Indigo"/>
    <x v="1"/>
    <n v="4.2"/>
    <x v="0"/>
    <x v="1"/>
    <x v="0"/>
    <x v="0"/>
    <n v="27"/>
    <x v="0"/>
    <x v="4"/>
  </r>
  <r>
    <n v="675"/>
    <n v="48"/>
    <x v="0"/>
    <x v="16"/>
    <x v="3"/>
    <n v="33"/>
    <x v="47"/>
    <x v="3"/>
    <s v="Beige"/>
    <x v="0"/>
    <n v="4.7"/>
    <x v="0"/>
    <x v="5"/>
    <x v="0"/>
    <x v="0"/>
    <n v="36"/>
    <x v="4"/>
    <x v="2"/>
  </r>
  <r>
    <n v="676"/>
    <n v="64"/>
    <x v="0"/>
    <x v="12"/>
    <x v="3"/>
    <n v="86"/>
    <x v="10"/>
    <x v="2"/>
    <s v="Yellow"/>
    <x v="1"/>
    <n v="2.6"/>
    <x v="0"/>
    <x v="4"/>
    <x v="0"/>
    <x v="0"/>
    <n v="9"/>
    <x v="1"/>
    <x v="2"/>
  </r>
  <r>
    <n v="677"/>
    <n v="28"/>
    <x v="0"/>
    <x v="13"/>
    <x v="0"/>
    <n v="60"/>
    <x v="39"/>
    <x v="2"/>
    <s v="Peach"/>
    <x v="0"/>
    <n v="2.9"/>
    <x v="0"/>
    <x v="4"/>
    <x v="0"/>
    <x v="0"/>
    <n v="38"/>
    <x v="0"/>
    <x v="4"/>
  </r>
  <r>
    <n v="678"/>
    <n v="60"/>
    <x v="0"/>
    <x v="20"/>
    <x v="0"/>
    <n v="62"/>
    <x v="47"/>
    <x v="1"/>
    <s v="Turquoise"/>
    <x v="2"/>
    <n v="2.7"/>
    <x v="0"/>
    <x v="0"/>
    <x v="0"/>
    <x v="0"/>
    <n v="41"/>
    <x v="3"/>
    <x v="2"/>
  </r>
  <r>
    <n v="679"/>
    <n v="27"/>
    <x v="0"/>
    <x v="0"/>
    <x v="0"/>
    <n v="74"/>
    <x v="1"/>
    <x v="2"/>
    <s v="Teal"/>
    <x v="3"/>
    <n v="3.3"/>
    <x v="0"/>
    <x v="5"/>
    <x v="0"/>
    <x v="0"/>
    <n v="25"/>
    <x v="5"/>
    <x v="6"/>
  </r>
  <r>
    <n v="680"/>
    <n v="56"/>
    <x v="0"/>
    <x v="3"/>
    <x v="1"/>
    <n v="95"/>
    <x v="49"/>
    <x v="2"/>
    <s v="Turquoise"/>
    <x v="3"/>
    <n v="3.4"/>
    <x v="0"/>
    <x v="0"/>
    <x v="0"/>
    <x v="0"/>
    <n v="37"/>
    <x v="0"/>
    <x v="0"/>
  </r>
  <r>
    <n v="681"/>
    <n v="58"/>
    <x v="0"/>
    <x v="4"/>
    <x v="1"/>
    <n v="25"/>
    <x v="30"/>
    <x v="2"/>
    <s v="Magenta"/>
    <x v="1"/>
    <n v="4.2"/>
    <x v="0"/>
    <x v="0"/>
    <x v="0"/>
    <x v="0"/>
    <n v="3"/>
    <x v="3"/>
    <x v="2"/>
  </r>
  <r>
    <n v="682"/>
    <n v="30"/>
    <x v="0"/>
    <x v="5"/>
    <x v="0"/>
    <n v="59"/>
    <x v="7"/>
    <x v="3"/>
    <s v="Purple"/>
    <x v="0"/>
    <n v="3.8"/>
    <x v="0"/>
    <x v="4"/>
    <x v="0"/>
    <x v="0"/>
    <n v="24"/>
    <x v="2"/>
    <x v="6"/>
  </r>
  <r>
    <n v="683"/>
    <n v="23"/>
    <x v="0"/>
    <x v="14"/>
    <x v="2"/>
    <n v="29"/>
    <x v="9"/>
    <x v="2"/>
    <s v="Brown"/>
    <x v="2"/>
    <n v="4"/>
    <x v="0"/>
    <x v="3"/>
    <x v="0"/>
    <x v="0"/>
    <n v="49"/>
    <x v="2"/>
    <x v="4"/>
  </r>
  <r>
    <n v="684"/>
    <n v="33"/>
    <x v="0"/>
    <x v="3"/>
    <x v="1"/>
    <n v="36"/>
    <x v="49"/>
    <x v="1"/>
    <s v="Violet"/>
    <x v="0"/>
    <n v="2.7"/>
    <x v="0"/>
    <x v="1"/>
    <x v="0"/>
    <x v="0"/>
    <n v="3"/>
    <x v="4"/>
    <x v="5"/>
  </r>
  <r>
    <n v="685"/>
    <n v="63"/>
    <x v="0"/>
    <x v="19"/>
    <x v="3"/>
    <n v="82"/>
    <x v="15"/>
    <x v="2"/>
    <s v="Yellow"/>
    <x v="2"/>
    <n v="4.7"/>
    <x v="0"/>
    <x v="0"/>
    <x v="0"/>
    <x v="0"/>
    <n v="42"/>
    <x v="5"/>
    <x v="5"/>
  </r>
  <r>
    <n v="686"/>
    <n v="70"/>
    <x v="0"/>
    <x v="0"/>
    <x v="0"/>
    <n v="71"/>
    <x v="2"/>
    <x v="3"/>
    <s v="Magenta"/>
    <x v="0"/>
    <n v="3.5"/>
    <x v="0"/>
    <x v="3"/>
    <x v="0"/>
    <x v="0"/>
    <n v="32"/>
    <x v="1"/>
    <x v="0"/>
  </r>
  <r>
    <n v="687"/>
    <n v="70"/>
    <x v="0"/>
    <x v="1"/>
    <x v="0"/>
    <n v="35"/>
    <x v="27"/>
    <x v="0"/>
    <s v="Beige"/>
    <x v="3"/>
    <n v="3"/>
    <x v="0"/>
    <x v="4"/>
    <x v="0"/>
    <x v="0"/>
    <n v="33"/>
    <x v="0"/>
    <x v="0"/>
  </r>
  <r>
    <n v="688"/>
    <n v="19"/>
    <x v="0"/>
    <x v="24"/>
    <x v="3"/>
    <n v="38"/>
    <x v="8"/>
    <x v="3"/>
    <s v="Turquoise"/>
    <x v="0"/>
    <n v="3.3"/>
    <x v="0"/>
    <x v="1"/>
    <x v="0"/>
    <x v="0"/>
    <n v="46"/>
    <x v="4"/>
    <x v="3"/>
  </r>
  <r>
    <n v="689"/>
    <n v="25"/>
    <x v="0"/>
    <x v="18"/>
    <x v="3"/>
    <n v="59"/>
    <x v="49"/>
    <x v="1"/>
    <s v="Peach"/>
    <x v="2"/>
    <n v="4.7"/>
    <x v="0"/>
    <x v="5"/>
    <x v="0"/>
    <x v="0"/>
    <n v="44"/>
    <x v="0"/>
    <x v="5"/>
  </r>
  <r>
    <n v="690"/>
    <n v="19"/>
    <x v="0"/>
    <x v="15"/>
    <x v="0"/>
    <n v="91"/>
    <x v="38"/>
    <x v="2"/>
    <s v="Orange"/>
    <x v="2"/>
    <n v="4.7"/>
    <x v="0"/>
    <x v="0"/>
    <x v="0"/>
    <x v="0"/>
    <n v="35"/>
    <x v="2"/>
    <x v="6"/>
  </r>
  <r>
    <n v="691"/>
    <n v="25"/>
    <x v="0"/>
    <x v="6"/>
    <x v="0"/>
    <n v="68"/>
    <x v="29"/>
    <x v="3"/>
    <s v="Red"/>
    <x v="1"/>
    <n v="4.8"/>
    <x v="0"/>
    <x v="3"/>
    <x v="0"/>
    <x v="0"/>
    <n v="45"/>
    <x v="4"/>
    <x v="1"/>
  </r>
  <r>
    <n v="692"/>
    <n v="60"/>
    <x v="0"/>
    <x v="21"/>
    <x v="3"/>
    <n v="21"/>
    <x v="2"/>
    <x v="0"/>
    <s v="Silver"/>
    <x v="2"/>
    <n v="2.9"/>
    <x v="0"/>
    <x v="3"/>
    <x v="0"/>
    <x v="0"/>
    <n v="37"/>
    <x v="3"/>
    <x v="4"/>
  </r>
  <r>
    <n v="693"/>
    <n v="35"/>
    <x v="0"/>
    <x v="12"/>
    <x v="3"/>
    <n v="95"/>
    <x v="25"/>
    <x v="2"/>
    <s v="Cyan"/>
    <x v="1"/>
    <n v="4"/>
    <x v="0"/>
    <x v="4"/>
    <x v="0"/>
    <x v="0"/>
    <n v="40"/>
    <x v="5"/>
    <x v="6"/>
  </r>
  <r>
    <n v="694"/>
    <n v="46"/>
    <x v="0"/>
    <x v="6"/>
    <x v="0"/>
    <n v="52"/>
    <x v="34"/>
    <x v="0"/>
    <s v="Turquoise"/>
    <x v="1"/>
    <n v="3.1"/>
    <x v="0"/>
    <x v="1"/>
    <x v="0"/>
    <x v="0"/>
    <n v="30"/>
    <x v="1"/>
    <x v="6"/>
  </r>
  <r>
    <n v="695"/>
    <n v="41"/>
    <x v="0"/>
    <x v="10"/>
    <x v="0"/>
    <n v="21"/>
    <x v="0"/>
    <x v="1"/>
    <s v="Charcoal"/>
    <x v="3"/>
    <n v="3.5"/>
    <x v="0"/>
    <x v="4"/>
    <x v="0"/>
    <x v="0"/>
    <n v="38"/>
    <x v="0"/>
    <x v="6"/>
  </r>
  <r>
    <n v="696"/>
    <n v="30"/>
    <x v="0"/>
    <x v="6"/>
    <x v="0"/>
    <n v="67"/>
    <x v="22"/>
    <x v="3"/>
    <s v="Peach"/>
    <x v="2"/>
    <n v="3.7"/>
    <x v="0"/>
    <x v="2"/>
    <x v="0"/>
    <x v="0"/>
    <n v="15"/>
    <x v="5"/>
    <x v="6"/>
  </r>
  <r>
    <n v="697"/>
    <n v="44"/>
    <x v="0"/>
    <x v="22"/>
    <x v="3"/>
    <n v="42"/>
    <x v="40"/>
    <x v="0"/>
    <s v="Green"/>
    <x v="3"/>
    <n v="2.8"/>
    <x v="0"/>
    <x v="3"/>
    <x v="0"/>
    <x v="0"/>
    <n v="49"/>
    <x v="1"/>
    <x v="5"/>
  </r>
  <r>
    <n v="698"/>
    <n v="61"/>
    <x v="0"/>
    <x v="18"/>
    <x v="3"/>
    <n v="63"/>
    <x v="25"/>
    <x v="3"/>
    <s v="Brown"/>
    <x v="2"/>
    <n v="4.5999999999999996"/>
    <x v="0"/>
    <x v="1"/>
    <x v="0"/>
    <x v="0"/>
    <n v="40"/>
    <x v="5"/>
    <x v="3"/>
  </r>
  <r>
    <n v="699"/>
    <n v="55"/>
    <x v="0"/>
    <x v="23"/>
    <x v="1"/>
    <n v="41"/>
    <x v="44"/>
    <x v="2"/>
    <s v="Yellow"/>
    <x v="0"/>
    <n v="3.8"/>
    <x v="0"/>
    <x v="3"/>
    <x v="0"/>
    <x v="0"/>
    <n v="40"/>
    <x v="5"/>
    <x v="1"/>
  </r>
  <r>
    <n v="700"/>
    <n v="50"/>
    <x v="0"/>
    <x v="8"/>
    <x v="3"/>
    <n v="46"/>
    <x v="39"/>
    <x v="2"/>
    <s v="Charcoal"/>
    <x v="3"/>
    <n v="2.6"/>
    <x v="0"/>
    <x v="4"/>
    <x v="0"/>
    <x v="0"/>
    <n v="5"/>
    <x v="3"/>
    <x v="1"/>
  </r>
  <r>
    <n v="701"/>
    <n v="57"/>
    <x v="0"/>
    <x v="13"/>
    <x v="0"/>
    <n v="79"/>
    <x v="48"/>
    <x v="0"/>
    <s v="Olive"/>
    <x v="0"/>
    <n v="4.0999999999999996"/>
    <x v="0"/>
    <x v="3"/>
    <x v="0"/>
    <x v="0"/>
    <n v="5"/>
    <x v="3"/>
    <x v="5"/>
  </r>
  <r>
    <n v="702"/>
    <n v="51"/>
    <x v="0"/>
    <x v="23"/>
    <x v="1"/>
    <n v="90"/>
    <x v="37"/>
    <x v="0"/>
    <s v="Red"/>
    <x v="3"/>
    <n v="3.3"/>
    <x v="0"/>
    <x v="2"/>
    <x v="0"/>
    <x v="0"/>
    <n v="5"/>
    <x v="5"/>
    <x v="6"/>
  </r>
  <r>
    <n v="703"/>
    <n v="18"/>
    <x v="0"/>
    <x v="5"/>
    <x v="0"/>
    <n v="71"/>
    <x v="6"/>
    <x v="2"/>
    <s v="White"/>
    <x v="0"/>
    <n v="3.4"/>
    <x v="0"/>
    <x v="5"/>
    <x v="0"/>
    <x v="0"/>
    <n v="1"/>
    <x v="1"/>
    <x v="1"/>
  </r>
  <r>
    <n v="704"/>
    <n v="63"/>
    <x v="0"/>
    <x v="10"/>
    <x v="0"/>
    <n v="87"/>
    <x v="39"/>
    <x v="0"/>
    <s v="Pink"/>
    <x v="2"/>
    <n v="3"/>
    <x v="0"/>
    <x v="3"/>
    <x v="0"/>
    <x v="0"/>
    <n v="21"/>
    <x v="0"/>
    <x v="1"/>
  </r>
  <r>
    <n v="705"/>
    <n v="34"/>
    <x v="0"/>
    <x v="15"/>
    <x v="0"/>
    <n v="66"/>
    <x v="37"/>
    <x v="1"/>
    <s v="Black"/>
    <x v="1"/>
    <n v="3.2"/>
    <x v="0"/>
    <x v="0"/>
    <x v="0"/>
    <x v="0"/>
    <n v="18"/>
    <x v="3"/>
    <x v="2"/>
  </r>
  <r>
    <n v="706"/>
    <n v="25"/>
    <x v="0"/>
    <x v="13"/>
    <x v="0"/>
    <n v="90"/>
    <x v="10"/>
    <x v="3"/>
    <s v="Indigo"/>
    <x v="2"/>
    <n v="4.5"/>
    <x v="0"/>
    <x v="1"/>
    <x v="0"/>
    <x v="0"/>
    <n v="49"/>
    <x v="1"/>
    <x v="3"/>
  </r>
  <r>
    <n v="707"/>
    <n v="46"/>
    <x v="0"/>
    <x v="2"/>
    <x v="0"/>
    <n v="47"/>
    <x v="44"/>
    <x v="0"/>
    <s v="Turquoise"/>
    <x v="2"/>
    <n v="4.8"/>
    <x v="0"/>
    <x v="0"/>
    <x v="0"/>
    <x v="0"/>
    <n v="27"/>
    <x v="5"/>
    <x v="1"/>
  </r>
  <r>
    <n v="708"/>
    <n v="59"/>
    <x v="0"/>
    <x v="5"/>
    <x v="0"/>
    <n v="38"/>
    <x v="7"/>
    <x v="0"/>
    <s v="Purple"/>
    <x v="1"/>
    <n v="3.7"/>
    <x v="0"/>
    <x v="2"/>
    <x v="0"/>
    <x v="0"/>
    <n v="21"/>
    <x v="0"/>
    <x v="2"/>
  </r>
  <r>
    <n v="709"/>
    <n v="37"/>
    <x v="0"/>
    <x v="21"/>
    <x v="3"/>
    <n v="50"/>
    <x v="0"/>
    <x v="0"/>
    <s v="Beige"/>
    <x v="2"/>
    <n v="3.4"/>
    <x v="0"/>
    <x v="5"/>
    <x v="0"/>
    <x v="0"/>
    <n v="19"/>
    <x v="1"/>
    <x v="0"/>
  </r>
  <r>
    <n v="710"/>
    <n v="49"/>
    <x v="0"/>
    <x v="14"/>
    <x v="2"/>
    <n v="79"/>
    <x v="2"/>
    <x v="0"/>
    <s v="Charcoal"/>
    <x v="2"/>
    <n v="4.5999999999999996"/>
    <x v="0"/>
    <x v="3"/>
    <x v="0"/>
    <x v="0"/>
    <n v="23"/>
    <x v="5"/>
    <x v="5"/>
  </r>
  <r>
    <n v="711"/>
    <n v="22"/>
    <x v="0"/>
    <x v="18"/>
    <x v="3"/>
    <n v="91"/>
    <x v="41"/>
    <x v="0"/>
    <s v="Turquoise"/>
    <x v="1"/>
    <n v="4.0999999999999996"/>
    <x v="0"/>
    <x v="3"/>
    <x v="0"/>
    <x v="0"/>
    <n v="26"/>
    <x v="3"/>
    <x v="0"/>
  </r>
  <r>
    <n v="712"/>
    <n v="64"/>
    <x v="0"/>
    <x v="23"/>
    <x v="1"/>
    <n v="60"/>
    <x v="13"/>
    <x v="2"/>
    <s v="Maroon"/>
    <x v="1"/>
    <n v="3.5"/>
    <x v="0"/>
    <x v="4"/>
    <x v="0"/>
    <x v="0"/>
    <n v="13"/>
    <x v="4"/>
    <x v="4"/>
  </r>
  <r>
    <n v="713"/>
    <n v="42"/>
    <x v="0"/>
    <x v="0"/>
    <x v="0"/>
    <n v="81"/>
    <x v="13"/>
    <x v="3"/>
    <s v="Black"/>
    <x v="2"/>
    <n v="3.8"/>
    <x v="0"/>
    <x v="2"/>
    <x v="0"/>
    <x v="0"/>
    <n v="36"/>
    <x v="4"/>
    <x v="3"/>
  </r>
  <r>
    <n v="714"/>
    <n v="37"/>
    <x v="0"/>
    <x v="15"/>
    <x v="0"/>
    <n v="90"/>
    <x v="4"/>
    <x v="2"/>
    <s v="Lavender"/>
    <x v="2"/>
    <n v="2.6"/>
    <x v="0"/>
    <x v="0"/>
    <x v="0"/>
    <x v="0"/>
    <n v="39"/>
    <x v="4"/>
    <x v="4"/>
  </r>
  <r>
    <n v="715"/>
    <n v="26"/>
    <x v="0"/>
    <x v="14"/>
    <x v="2"/>
    <n v="70"/>
    <x v="45"/>
    <x v="2"/>
    <s v="Magenta"/>
    <x v="3"/>
    <n v="4.4000000000000004"/>
    <x v="0"/>
    <x v="5"/>
    <x v="0"/>
    <x v="0"/>
    <n v="40"/>
    <x v="5"/>
    <x v="0"/>
  </r>
  <r>
    <n v="716"/>
    <n v="33"/>
    <x v="0"/>
    <x v="2"/>
    <x v="0"/>
    <n v="63"/>
    <x v="12"/>
    <x v="0"/>
    <s v="Green"/>
    <x v="1"/>
    <n v="2.6"/>
    <x v="0"/>
    <x v="0"/>
    <x v="0"/>
    <x v="0"/>
    <n v="37"/>
    <x v="5"/>
    <x v="3"/>
  </r>
  <r>
    <n v="717"/>
    <n v="30"/>
    <x v="0"/>
    <x v="16"/>
    <x v="3"/>
    <n v="29"/>
    <x v="9"/>
    <x v="2"/>
    <s v="Olive"/>
    <x v="1"/>
    <n v="3.6"/>
    <x v="0"/>
    <x v="0"/>
    <x v="0"/>
    <x v="0"/>
    <n v="9"/>
    <x v="0"/>
    <x v="4"/>
  </r>
  <r>
    <n v="718"/>
    <n v="21"/>
    <x v="0"/>
    <x v="20"/>
    <x v="0"/>
    <n v="90"/>
    <x v="29"/>
    <x v="0"/>
    <s v="Green"/>
    <x v="1"/>
    <n v="4.2"/>
    <x v="0"/>
    <x v="0"/>
    <x v="0"/>
    <x v="0"/>
    <n v="7"/>
    <x v="0"/>
    <x v="6"/>
  </r>
  <r>
    <n v="719"/>
    <n v="22"/>
    <x v="0"/>
    <x v="5"/>
    <x v="0"/>
    <n v="22"/>
    <x v="20"/>
    <x v="2"/>
    <s v="Peach"/>
    <x v="2"/>
    <n v="4.5999999999999996"/>
    <x v="0"/>
    <x v="3"/>
    <x v="0"/>
    <x v="0"/>
    <n v="25"/>
    <x v="4"/>
    <x v="2"/>
  </r>
  <r>
    <n v="720"/>
    <n v="63"/>
    <x v="0"/>
    <x v="6"/>
    <x v="0"/>
    <n v="22"/>
    <x v="16"/>
    <x v="0"/>
    <s v="Turquoise"/>
    <x v="2"/>
    <n v="3.3"/>
    <x v="0"/>
    <x v="2"/>
    <x v="0"/>
    <x v="0"/>
    <n v="42"/>
    <x v="0"/>
    <x v="4"/>
  </r>
  <r>
    <n v="721"/>
    <n v="33"/>
    <x v="0"/>
    <x v="16"/>
    <x v="3"/>
    <n v="62"/>
    <x v="35"/>
    <x v="0"/>
    <s v="Orange"/>
    <x v="3"/>
    <n v="3.4"/>
    <x v="0"/>
    <x v="1"/>
    <x v="0"/>
    <x v="0"/>
    <n v="19"/>
    <x v="5"/>
    <x v="1"/>
  </r>
  <r>
    <n v="722"/>
    <n v="43"/>
    <x v="0"/>
    <x v="0"/>
    <x v="0"/>
    <n v="57"/>
    <x v="18"/>
    <x v="0"/>
    <s v="Silver"/>
    <x v="2"/>
    <n v="4.4000000000000004"/>
    <x v="0"/>
    <x v="2"/>
    <x v="0"/>
    <x v="0"/>
    <n v="41"/>
    <x v="5"/>
    <x v="6"/>
  </r>
  <r>
    <n v="723"/>
    <n v="27"/>
    <x v="0"/>
    <x v="1"/>
    <x v="0"/>
    <n v="32"/>
    <x v="5"/>
    <x v="1"/>
    <s v="Blue"/>
    <x v="2"/>
    <n v="4.3"/>
    <x v="0"/>
    <x v="5"/>
    <x v="0"/>
    <x v="0"/>
    <n v="50"/>
    <x v="1"/>
    <x v="4"/>
  </r>
  <r>
    <n v="724"/>
    <n v="35"/>
    <x v="0"/>
    <x v="16"/>
    <x v="3"/>
    <n v="53"/>
    <x v="9"/>
    <x v="0"/>
    <s v="Cyan"/>
    <x v="3"/>
    <n v="3.5"/>
    <x v="0"/>
    <x v="0"/>
    <x v="0"/>
    <x v="0"/>
    <n v="43"/>
    <x v="3"/>
    <x v="5"/>
  </r>
  <r>
    <n v="725"/>
    <n v="37"/>
    <x v="0"/>
    <x v="17"/>
    <x v="0"/>
    <n v="79"/>
    <x v="13"/>
    <x v="3"/>
    <s v="Green"/>
    <x v="3"/>
    <n v="4.7"/>
    <x v="0"/>
    <x v="5"/>
    <x v="0"/>
    <x v="0"/>
    <n v="36"/>
    <x v="0"/>
    <x v="6"/>
  </r>
  <r>
    <n v="726"/>
    <n v="61"/>
    <x v="0"/>
    <x v="19"/>
    <x v="3"/>
    <n v="61"/>
    <x v="21"/>
    <x v="0"/>
    <s v="Silver"/>
    <x v="0"/>
    <n v="3.1"/>
    <x v="0"/>
    <x v="3"/>
    <x v="0"/>
    <x v="0"/>
    <n v="33"/>
    <x v="5"/>
    <x v="0"/>
  </r>
  <r>
    <n v="727"/>
    <n v="32"/>
    <x v="0"/>
    <x v="6"/>
    <x v="0"/>
    <n v="78"/>
    <x v="25"/>
    <x v="0"/>
    <s v="Yellow"/>
    <x v="2"/>
    <n v="3.6"/>
    <x v="0"/>
    <x v="2"/>
    <x v="0"/>
    <x v="0"/>
    <n v="20"/>
    <x v="4"/>
    <x v="6"/>
  </r>
  <r>
    <n v="728"/>
    <n v="62"/>
    <x v="0"/>
    <x v="1"/>
    <x v="0"/>
    <n v="97"/>
    <x v="10"/>
    <x v="1"/>
    <s v="Gray"/>
    <x v="0"/>
    <n v="4.8"/>
    <x v="0"/>
    <x v="2"/>
    <x v="0"/>
    <x v="0"/>
    <n v="37"/>
    <x v="0"/>
    <x v="6"/>
  </r>
  <r>
    <n v="729"/>
    <n v="29"/>
    <x v="0"/>
    <x v="2"/>
    <x v="0"/>
    <n v="78"/>
    <x v="43"/>
    <x v="2"/>
    <s v="Pink"/>
    <x v="0"/>
    <n v="3.7"/>
    <x v="0"/>
    <x v="2"/>
    <x v="0"/>
    <x v="0"/>
    <n v="12"/>
    <x v="3"/>
    <x v="6"/>
  </r>
  <r>
    <n v="730"/>
    <n v="41"/>
    <x v="0"/>
    <x v="12"/>
    <x v="3"/>
    <n v="56"/>
    <x v="46"/>
    <x v="0"/>
    <s v="Beige"/>
    <x v="2"/>
    <n v="3.2"/>
    <x v="0"/>
    <x v="0"/>
    <x v="0"/>
    <x v="0"/>
    <n v="46"/>
    <x v="3"/>
    <x v="6"/>
  </r>
  <r>
    <n v="731"/>
    <n v="48"/>
    <x v="0"/>
    <x v="23"/>
    <x v="1"/>
    <n v="25"/>
    <x v="2"/>
    <x v="2"/>
    <s v="Indigo"/>
    <x v="2"/>
    <n v="3.9"/>
    <x v="0"/>
    <x v="3"/>
    <x v="0"/>
    <x v="0"/>
    <n v="28"/>
    <x v="0"/>
    <x v="0"/>
  </r>
  <r>
    <n v="732"/>
    <n v="43"/>
    <x v="0"/>
    <x v="7"/>
    <x v="2"/>
    <n v="28"/>
    <x v="10"/>
    <x v="2"/>
    <s v="Red"/>
    <x v="1"/>
    <n v="3.5"/>
    <x v="0"/>
    <x v="1"/>
    <x v="0"/>
    <x v="0"/>
    <n v="30"/>
    <x v="3"/>
    <x v="0"/>
  </r>
  <r>
    <n v="733"/>
    <n v="34"/>
    <x v="0"/>
    <x v="5"/>
    <x v="0"/>
    <n v="57"/>
    <x v="13"/>
    <x v="0"/>
    <s v="Blue"/>
    <x v="1"/>
    <n v="2.8"/>
    <x v="0"/>
    <x v="0"/>
    <x v="0"/>
    <x v="0"/>
    <n v="28"/>
    <x v="1"/>
    <x v="4"/>
  </r>
  <r>
    <n v="734"/>
    <n v="45"/>
    <x v="0"/>
    <x v="10"/>
    <x v="0"/>
    <n v="36"/>
    <x v="3"/>
    <x v="0"/>
    <s v="Cyan"/>
    <x v="3"/>
    <n v="2.7"/>
    <x v="0"/>
    <x v="4"/>
    <x v="0"/>
    <x v="0"/>
    <n v="20"/>
    <x v="5"/>
    <x v="4"/>
  </r>
  <r>
    <n v="735"/>
    <n v="65"/>
    <x v="0"/>
    <x v="5"/>
    <x v="0"/>
    <n v="69"/>
    <x v="32"/>
    <x v="1"/>
    <s v="Violet"/>
    <x v="0"/>
    <n v="3.1"/>
    <x v="0"/>
    <x v="0"/>
    <x v="0"/>
    <x v="0"/>
    <n v="39"/>
    <x v="4"/>
    <x v="6"/>
  </r>
  <r>
    <n v="736"/>
    <n v="61"/>
    <x v="0"/>
    <x v="12"/>
    <x v="3"/>
    <n v="48"/>
    <x v="6"/>
    <x v="2"/>
    <s v="Orange"/>
    <x v="3"/>
    <n v="3.6"/>
    <x v="0"/>
    <x v="4"/>
    <x v="0"/>
    <x v="0"/>
    <n v="48"/>
    <x v="1"/>
    <x v="4"/>
  </r>
  <r>
    <n v="737"/>
    <n v="18"/>
    <x v="0"/>
    <x v="10"/>
    <x v="0"/>
    <n v="58"/>
    <x v="24"/>
    <x v="0"/>
    <s v="Maroon"/>
    <x v="1"/>
    <n v="2.9"/>
    <x v="0"/>
    <x v="4"/>
    <x v="0"/>
    <x v="0"/>
    <n v="32"/>
    <x v="2"/>
    <x v="6"/>
  </r>
  <r>
    <n v="738"/>
    <n v="47"/>
    <x v="0"/>
    <x v="12"/>
    <x v="3"/>
    <n v="24"/>
    <x v="43"/>
    <x v="2"/>
    <s v="Teal"/>
    <x v="1"/>
    <n v="3.6"/>
    <x v="0"/>
    <x v="5"/>
    <x v="0"/>
    <x v="0"/>
    <n v="28"/>
    <x v="3"/>
    <x v="2"/>
  </r>
  <r>
    <n v="739"/>
    <n v="56"/>
    <x v="0"/>
    <x v="12"/>
    <x v="3"/>
    <n v="31"/>
    <x v="46"/>
    <x v="0"/>
    <s v="Orange"/>
    <x v="0"/>
    <n v="3.5"/>
    <x v="0"/>
    <x v="4"/>
    <x v="0"/>
    <x v="0"/>
    <n v="27"/>
    <x v="0"/>
    <x v="3"/>
  </r>
  <r>
    <n v="740"/>
    <n v="64"/>
    <x v="0"/>
    <x v="6"/>
    <x v="0"/>
    <n v="29"/>
    <x v="46"/>
    <x v="1"/>
    <s v="Purple"/>
    <x v="2"/>
    <n v="3.5"/>
    <x v="0"/>
    <x v="1"/>
    <x v="0"/>
    <x v="0"/>
    <n v="26"/>
    <x v="0"/>
    <x v="4"/>
  </r>
  <r>
    <n v="741"/>
    <n v="26"/>
    <x v="0"/>
    <x v="2"/>
    <x v="0"/>
    <n v="69"/>
    <x v="45"/>
    <x v="2"/>
    <s v="Orange"/>
    <x v="2"/>
    <n v="2.8"/>
    <x v="0"/>
    <x v="2"/>
    <x v="0"/>
    <x v="0"/>
    <n v="22"/>
    <x v="2"/>
    <x v="0"/>
  </r>
  <r>
    <n v="742"/>
    <n v="22"/>
    <x v="0"/>
    <x v="17"/>
    <x v="0"/>
    <n v="79"/>
    <x v="8"/>
    <x v="3"/>
    <s v="Yellow"/>
    <x v="2"/>
    <n v="4.7"/>
    <x v="0"/>
    <x v="1"/>
    <x v="0"/>
    <x v="0"/>
    <n v="23"/>
    <x v="4"/>
    <x v="6"/>
  </r>
  <r>
    <n v="743"/>
    <n v="64"/>
    <x v="0"/>
    <x v="13"/>
    <x v="0"/>
    <n v="39"/>
    <x v="22"/>
    <x v="2"/>
    <s v="Charcoal"/>
    <x v="2"/>
    <n v="3.1"/>
    <x v="0"/>
    <x v="0"/>
    <x v="0"/>
    <x v="0"/>
    <n v="21"/>
    <x v="5"/>
    <x v="3"/>
  </r>
  <r>
    <n v="744"/>
    <n v="21"/>
    <x v="0"/>
    <x v="12"/>
    <x v="3"/>
    <n v="84"/>
    <x v="17"/>
    <x v="0"/>
    <s v="Gray"/>
    <x v="3"/>
    <n v="4.9000000000000004"/>
    <x v="0"/>
    <x v="1"/>
    <x v="0"/>
    <x v="0"/>
    <n v="36"/>
    <x v="1"/>
    <x v="1"/>
  </r>
  <r>
    <n v="745"/>
    <n v="67"/>
    <x v="0"/>
    <x v="23"/>
    <x v="1"/>
    <n v="66"/>
    <x v="26"/>
    <x v="1"/>
    <s v="Charcoal"/>
    <x v="1"/>
    <n v="4.0999999999999996"/>
    <x v="0"/>
    <x v="2"/>
    <x v="0"/>
    <x v="0"/>
    <n v="42"/>
    <x v="5"/>
    <x v="4"/>
  </r>
  <r>
    <n v="746"/>
    <n v="46"/>
    <x v="0"/>
    <x v="17"/>
    <x v="0"/>
    <n v="92"/>
    <x v="49"/>
    <x v="0"/>
    <s v="Orange"/>
    <x v="3"/>
    <n v="4.7"/>
    <x v="0"/>
    <x v="3"/>
    <x v="0"/>
    <x v="0"/>
    <n v="4"/>
    <x v="0"/>
    <x v="5"/>
  </r>
  <r>
    <n v="747"/>
    <n v="40"/>
    <x v="0"/>
    <x v="3"/>
    <x v="1"/>
    <n v="45"/>
    <x v="49"/>
    <x v="2"/>
    <s v="Red"/>
    <x v="0"/>
    <n v="2.5"/>
    <x v="0"/>
    <x v="1"/>
    <x v="0"/>
    <x v="0"/>
    <n v="47"/>
    <x v="2"/>
    <x v="2"/>
  </r>
  <r>
    <n v="748"/>
    <n v="51"/>
    <x v="0"/>
    <x v="6"/>
    <x v="0"/>
    <n v="74"/>
    <x v="19"/>
    <x v="0"/>
    <s v="Gold"/>
    <x v="1"/>
    <n v="4.4000000000000004"/>
    <x v="0"/>
    <x v="2"/>
    <x v="0"/>
    <x v="0"/>
    <n v="13"/>
    <x v="4"/>
    <x v="1"/>
  </r>
  <r>
    <n v="749"/>
    <n v="35"/>
    <x v="0"/>
    <x v="19"/>
    <x v="3"/>
    <n v="39"/>
    <x v="45"/>
    <x v="0"/>
    <s v="Brown"/>
    <x v="3"/>
    <n v="3.9"/>
    <x v="0"/>
    <x v="1"/>
    <x v="0"/>
    <x v="0"/>
    <n v="8"/>
    <x v="4"/>
    <x v="3"/>
  </r>
  <r>
    <n v="750"/>
    <n v="56"/>
    <x v="0"/>
    <x v="18"/>
    <x v="3"/>
    <n v="71"/>
    <x v="19"/>
    <x v="2"/>
    <s v="Olive"/>
    <x v="0"/>
    <n v="3.7"/>
    <x v="0"/>
    <x v="3"/>
    <x v="0"/>
    <x v="0"/>
    <n v="11"/>
    <x v="5"/>
    <x v="3"/>
  </r>
  <r>
    <n v="751"/>
    <n v="25"/>
    <x v="0"/>
    <x v="17"/>
    <x v="0"/>
    <n v="95"/>
    <x v="33"/>
    <x v="0"/>
    <s v="Violet"/>
    <x v="3"/>
    <n v="3.4"/>
    <x v="0"/>
    <x v="1"/>
    <x v="0"/>
    <x v="0"/>
    <n v="5"/>
    <x v="0"/>
    <x v="2"/>
  </r>
  <r>
    <n v="752"/>
    <n v="65"/>
    <x v="0"/>
    <x v="24"/>
    <x v="3"/>
    <n v="72"/>
    <x v="31"/>
    <x v="0"/>
    <s v="Indigo"/>
    <x v="3"/>
    <n v="4.8"/>
    <x v="0"/>
    <x v="1"/>
    <x v="0"/>
    <x v="0"/>
    <n v="1"/>
    <x v="2"/>
    <x v="5"/>
  </r>
  <r>
    <n v="753"/>
    <n v="39"/>
    <x v="0"/>
    <x v="18"/>
    <x v="3"/>
    <n v="85"/>
    <x v="31"/>
    <x v="0"/>
    <s v="Yellow"/>
    <x v="3"/>
    <n v="4.2"/>
    <x v="0"/>
    <x v="4"/>
    <x v="0"/>
    <x v="0"/>
    <n v="17"/>
    <x v="3"/>
    <x v="6"/>
  </r>
  <r>
    <n v="754"/>
    <n v="47"/>
    <x v="0"/>
    <x v="23"/>
    <x v="1"/>
    <n v="54"/>
    <x v="2"/>
    <x v="2"/>
    <s v="Teal"/>
    <x v="3"/>
    <n v="3.4"/>
    <x v="0"/>
    <x v="5"/>
    <x v="0"/>
    <x v="0"/>
    <n v="27"/>
    <x v="0"/>
    <x v="3"/>
  </r>
  <r>
    <n v="755"/>
    <n v="36"/>
    <x v="0"/>
    <x v="24"/>
    <x v="3"/>
    <n v="41"/>
    <x v="17"/>
    <x v="0"/>
    <s v="Pink"/>
    <x v="1"/>
    <n v="2.9"/>
    <x v="0"/>
    <x v="5"/>
    <x v="0"/>
    <x v="0"/>
    <n v="3"/>
    <x v="5"/>
    <x v="3"/>
  </r>
  <r>
    <n v="756"/>
    <n v="66"/>
    <x v="0"/>
    <x v="7"/>
    <x v="2"/>
    <n v="24"/>
    <x v="20"/>
    <x v="2"/>
    <s v="Violet"/>
    <x v="1"/>
    <n v="3.3"/>
    <x v="0"/>
    <x v="1"/>
    <x v="0"/>
    <x v="0"/>
    <n v="22"/>
    <x v="3"/>
    <x v="1"/>
  </r>
  <r>
    <n v="757"/>
    <n v="62"/>
    <x v="0"/>
    <x v="22"/>
    <x v="3"/>
    <n v="99"/>
    <x v="6"/>
    <x v="1"/>
    <s v="Orange"/>
    <x v="2"/>
    <n v="4.8"/>
    <x v="0"/>
    <x v="3"/>
    <x v="0"/>
    <x v="0"/>
    <n v="24"/>
    <x v="1"/>
    <x v="0"/>
  </r>
  <r>
    <n v="758"/>
    <n v="41"/>
    <x v="0"/>
    <x v="15"/>
    <x v="0"/>
    <n v="32"/>
    <x v="46"/>
    <x v="2"/>
    <s v="Red"/>
    <x v="3"/>
    <n v="3.8"/>
    <x v="0"/>
    <x v="5"/>
    <x v="0"/>
    <x v="0"/>
    <n v="18"/>
    <x v="5"/>
    <x v="3"/>
  </r>
  <r>
    <n v="759"/>
    <n v="66"/>
    <x v="0"/>
    <x v="9"/>
    <x v="1"/>
    <n v="71"/>
    <x v="2"/>
    <x v="0"/>
    <s v="Peach"/>
    <x v="2"/>
    <n v="4.5999999999999996"/>
    <x v="0"/>
    <x v="4"/>
    <x v="0"/>
    <x v="0"/>
    <n v="39"/>
    <x v="4"/>
    <x v="6"/>
  </r>
  <r>
    <n v="760"/>
    <n v="51"/>
    <x v="0"/>
    <x v="10"/>
    <x v="0"/>
    <n v="49"/>
    <x v="3"/>
    <x v="3"/>
    <s v="Green"/>
    <x v="0"/>
    <n v="2.6"/>
    <x v="0"/>
    <x v="2"/>
    <x v="0"/>
    <x v="0"/>
    <n v="25"/>
    <x v="2"/>
    <x v="0"/>
  </r>
  <r>
    <n v="761"/>
    <n v="33"/>
    <x v="0"/>
    <x v="24"/>
    <x v="3"/>
    <n v="50"/>
    <x v="46"/>
    <x v="3"/>
    <s v="Violet"/>
    <x v="3"/>
    <n v="3.4"/>
    <x v="0"/>
    <x v="1"/>
    <x v="0"/>
    <x v="0"/>
    <n v="6"/>
    <x v="1"/>
    <x v="2"/>
  </r>
  <r>
    <n v="762"/>
    <n v="57"/>
    <x v="0"/>
    <x v="16"/>
    <x v="3"/>
    <n v="91"/>
    <x v="22"/>
    <x v="0"/>
    <s v="Yellow"/>
    <x v="3"/>
    <n v="4.2"/>
    <x v="0"/>
    <x v="0"/>
    <x v="0"/>
    <x v="0"/>
    <n v="26"/>
    <x v="4"/>
    <x v="1"/>
  </r>
  <r>
    <n v="763"/>
    <n v="45"/>
    <x v="0"/>
    <x v="22"/>
    <x v="3"/>
    <n v="46"/>
    <x v="35"/>
    <x v="2"/>
    <s v="Pink"/>
    <x v="3"/>
    <n v="3.9"/>
    <x v="0"/>
    <x v="3"/>
    <x v="0"/>
    <x v="0"/>
    <n v="43"/>
    <x v="5"/>
    <x v="0"/>
  </r>
  <r>
    <n v="764"/>
    <n v="61"/>
    <x v="0"/>
    <x v="1"/>
    <x v="0"/>
    <n v="50"/>
    <x v="17"/>
    <x v="2"/>
    <s v="Brown"/>
    <x v="1"/>
    <n v="2.9"/>
    <x v="0"/>
    <x v="4"/>
    <x v="0"/>
    <x v="0"/>
    <n v="6"/>
    <x v="2"/>
    <x v="5"/>
  </r>
  <r>
    <n v="765"/>
    <n v="55"/>
    <x v="0"/>
    <x v="11"/>
    <x v="0"/>
    <n v="39"/>
    <x v="41"/>
    <x v="3"/>
    <s v="Silver"/>
    <x v="3"/>
    <n v="4.2"/>
    <x v="0"/>
    <x v="1"/>
    <x v="0"/>
    <x v="0"/>
    <n v="6"/>
    <x v="5"/>
    <x v="3"/>
  </r>
  <r>
    <n v="766"/>
    <n v="54"/>
    <x v="0"/>
    <x v="4"/>
    <x v="1"/>
    <n v="99"/>
    <x v="29"/>
    <x v="2"/>
    <s v="Pink"/>
    <x v="2"/>
    <n v="3"/>
    <x v="0"/>
    <x v="5"/>
    <x v="0"/>
    <x v="0"/>
    <n v="13"/>
    <x v="1"/>
    <x v="3"/>
  </r>
  <r>
    <n v="767"/>
    <n v="57"/>
    <x v="0"/>
    <x v="24"/>
    <x v="3"/>
    <n v="48"/>
    <x v="22"/>
    <x v="2"/>
    <s v="Cyan"/>
    <x v="0"/>
    <n v="3.6"/>
    <x v="0"/>
    <x v="2"/>
    <x v="0"/>
    <x v="0"/>
    <n v="13"/>
    <x v="3"/>
    <x v="5"/>
  </r>
  <r>
    <n v="768"/>
    <n v="27"/>
    <x v="0"/>
    <x v="7"/>
    <x v="2"/>
    <n v="77"/>
    <x v="38"/>
    <x v="2"/>
    <s v="Brown"/>
    <x v="3"/>
    <n v="2.5"/>
    <x v="0"/>
    <x v="2"/>
    <x v="0"/>
    <x v="0"/>
    <n v="11"/>
    <x v="1"/>
    <x v="2"/>
  </r>
  <r>
    <n v="769"/>
    <n v="64"/>
    <x v="0"/>
    <x v="21"/>
    <x v="3"/>
    <n v="95"/>
    <x v="26"/>
    <x v="3"/>
    <s v="Red"/>
    <x v="1"/>
    <n v="2.6"/>
    <x v="0"/>
    <x v="0"/>
    <x v="0"/>
    <x v="0"/>
    <n v="45"/>
    <x v="0"/>
    <x v="1"/>
  </r>
  <r>
    <n v="770"/>
    <n v="52"/>
    <x v="0"/>
    <x v="20"/>
    <x v="0"/>
    <n v="100"/>
    <x v="12"/>
    <x v="2"/>
    <s v="Silver"/>
    <x v="1"/>
    <n v="4.3"/>
    <x v="0"/>
    <x v="5"/>
    <x v="0"/>
    <x v="0"/>
    <n v="8"/>
    <x v="3"/>
    <x v="5"/>
  </r>
  <r>
    <n v="771"/>
    <n v="19"/>
    <x v="0"/>
    <x v="4"/>
    <x v="1"/>
    <n v="54"/>
    <x v="34"/>
    <x v="2"/>
    <s v="Gray"/>
    <x v="1"/>
    <n v="3.3"/>
    <x v="0"/>
    <x v="0"/>
    <x v="0"/>
    <x v="0"/>
    <n v="8"/>
    <x v="2"/>
    <x v="2"/>
  </r>
  <r>
    <n v="772"/>
    <n v="22"/>
    <x v="0"/>
    <x v="1"/>
    <x v="0"/>
    <n v="68"/>
    <x v="11"/>
    <x v="0"/>
    <s v="Cyan"/>
    <x v="3"/>
    <n v="2.6"/>
    <x v="0"/>
    <x v="2"/>
    <x v="0"/>
    <x v="0"/>
    <n v="34"/>
    <x v="4"/>
    <x v="0"/>
  </r>
  <r>
    <n v="773"/>
    <n v="18"/>
    <x v="0"/>
    <x v="2"/>
    <x v="0"/>
    <n v="22"/>
    <x v="26"/>
    <x v="0"/>
    <s v="Teal"/>
    <x v="3"/>
    <n v="3.6"/>
    <x v="0"/>
    <x v="1"/>
    <x v="0"/>
    <x v="0"/>
    <n v="40"/>
    <x v="5"/>
    <x v="4"/>
  </r>
  <r>
    <n v="774"/>
    <n v="29"/>
    <x v="0"/>
    <x v="19"/>
    <x v="3"/>
    <n v="84"/>
    <x v="18"/>
    <x v="0"/>
    <s v="Indigo"/>
    <x v="0"/>
    <n v="2.6"/>
    <x v="0"/>
    <x v="0"/>
    <x v="0"/>
    <x v="0"/>
    <n v="14"/>
    <x v="5"/>
    <x v="4"/>
  </r>
  <r>
    <n v="775"/>
    <n v="42"/>
    <x v="0"/>
    <x v="19"/>
    <x v="3"/>
    <n v="46"/>
    <x v="22"/>
    <x v="2"/>
    <s v="Yellow"/>
    <x v="2"/>
    <n v="3.5"/>
    <x v="0"/>
    <x v="3"/>
    <x v="0"/>
    <x v="0"/>
    <n v="11"/>
    <x v="2"/>
    <x v="3"/>
  </r>
  <r>
    <n v="776"/>
    <n v="49"/>
    <x v="0"/>
    <x v="8"/>
    <x v="3"/>
    <n v="53"/>
    <x v="0"/>
    <x v="1"/>
    <s v="Gold"/>
    <x v="0"/>
    <n v="3"/>
    <x v="0"/>
    <x v="5"/>
    <x v="0"/>
    <x v="0"/>
    <n v="8"/>
    <x v="3"/>
    <x v="5"/>
  </r>
  <r>
    <n v="777"/>
    <n v="49"/>
    <x v="0"/>
    <x v="5"/>
    <x v="0"/>
    <n v="60"/>
    <x v="15"/>
    <x v="2"/>
    <s v="Maroon"/>
    <x v="1"/>
    <n v="5"/>
    <x v="0"/>
    <x v="3"/>
    <x v="0"/>
    <x v="0"/>
    <n v="8"/>
    <x v="0"/>
    <x v="6"/>
  </r>
  <r>
    <n v="778"/>
    <n v="55"/>
    <x v="0"/>
    <x v="20"/>
    <x v="0"/>
    <n v="32"/>
    <x v="5"/>
    <x v="3"/>
    <s v="Silver"/>
    <x v="1"/>
    <n v="2.5"/>
    <x v="0"/>
    <x v="0"/>
    <x v="0"/>
    <x v="0"/>
    <n v="37"/>
    <x v="0"/>
    <x v="1"/>
  </r>
  <r>
    <n v="779"/>
    <n v="29"/>
    <x v="0"/>
    <x v="20"/>
    <x v="0"/>
    <n v="50"/>
    <x v="2"/>
    <x v="2"/>
    <s v="Yellow"/>
    <x v="2"/>
    <n v="2.9"/>
    <x v="0"/>
    <x v="5"/>
    <x v="0"/>
    <x v="0"/>
    <n v="23"/>
    <x v="5"/>
    <x v="2"/>
  </r>
  <r>
    <n v="780"/>
    <n v="60"/>
    <x v="0"/>
    <x v="10"/>
    <x v="0"/>
    <n v="94"/>
    <x v="40"/>
    <x v="2"/>
    <s v="Blue"/>
    <x v="1"/>
    <n v="4.5999999999999996"/>
    <x v="0"/>
    <x v="0"/>
    <x v="0"/>
    <x v="0"/>
    <n v="38"/>
    <x v="1"/>
    <x v="2"/>
  </r>
  <r>
    <n v="781"/>
    <n v="34"/>
    <x v="0"/>
    <x v="9"/>
    <x v="1"/>
    <n v="26"/>
    <x v="14"/>
    <x v="2"/>
    <s v="Turquoise"/>
    <x v="1"/>
    <n v="3.6"/>
    <x v="0"/>
    <x v="1"/>
    <x v="0"/>
    <x v="0"/>
    <n v="38"/>
    <x v="1"/>
    <x v="3"/>
  </r>
  <r>
    <n v="782"/>
    <n v="30"/>
    <x v="0"/>
    <x v="18"/>
    <x v="3"/>
    <n v="44"/>
    <x v="34"/>
    <x v="0"/>
    <s v="Indigo"/>
    <x v="0"/>
    <n v="3"/>
    <x v="0"/>
    <x v="5"/>
    <x v="0"/>
    <x v="0"/>
    <n v="12"/>
    <x v="2"/>
    <x v="0"/>
  </r>
  <r>
    <n v="783"/>
    <n v="28"/>
    <x v="0"/>
    <x v="15"/>
    <x v="0"/>
    <n v="57"/>
    <x v="11"/>
    <x v="2"/>
    <s v="Green"/>
    <x v="2"/>
    <n v="4.5"/>
    <x v="0"/>
    <x v="3"/>
    <x v="0"/>
    <x v="0"/>
    <n v="15"/>
    <x v="1"/>
    <x v="1"/>
  </r>
  <r>
    <n v="784"/>
    <n v="63"/>
    <x v="0"/>
    <x v="17"/>
    <x v="0"/>
    <n v="65"/>
    <x v="7"/>
    <x v="0"/>
    <s v="Purple"/>
    <x v="0"/>
    <n v="4.5"/>
    <x v="0"/>
    <x v="2"/>
    <x v="0"/>
    <x v="0"/>
    <n v="38"/>
    <x v="3"/>
    <x v="0"/>
  </r>
  <r>
    <n v="785"/>
    <n v="31"/>
    <x v="0"/>
    <x v="2"/>
    <x v="0"/>
    <n v="72"/>
    <x v="15"/>
    <x v="2"/>
    <s v="Peach"/>
    <x v="0"/>
    <n v="3.2"/>
    <x v="0"/>
    <x v="5"/>
    <x v="0"/>
    <x v="0"/>
    <n v="41"/>
    <x v="4"/>
    <x v="6"/>
  </r>
  <r>
    <n v="786"/>
    <n v="46"/>
    <x v="0"/>
    <x v="6"/>
    <x v="0"/>
    <n v="62"/>
    <x v="7"/>
    <x v="1"/>
    <s v="Purple"/>
    <x v="1"/>
    <n v="4"/>
    <x v="0"/>
    <x v="2"/>
    <x v="0"/>
    <x v="0"/>
    <n v="37"/>
    <x v="3"/>
    <x v="0"/>
  </r>
  <r>
    <n v="787"/>
    <n v="70"/>
    <x v="0"/>
    <x v="19"/>
    <x v="3"/>
    <n v="21"/>
    <x v="27"/>
    <x v="1"/>
    <s v="Teal"/>
    <x v="0"/>
    <n v="4.8"/>
    <x v="0"/>
    <x v="0"/>
    <x v="0"/>
    <x v="0"/>
    <n v="16"/>
    <x v="4"/>
    <x v="6"/>
  </r>
  <r>
    <n v="788"/>
    <n v="53"/>
    <x v="0"/>
    <x v="8"/>
    <x v="3"/>
    <n v="85"/>
    <x v="49"/>
    <x v="1"/>
    <s v="Green"/>
    <x v="1"/>
    <n v="3.7"/>
    <x v="0"/>
    <x v="1"/>
    <x v="0"/>
    <x v="0"/>
    <n v="25"/>
    <x v="0"/>
    <x v="1"/>
  </r>
  <r>
    <n v="789"/>
    <n v="50"/>
    <x v="0"/>
    <x v="13"/>
    <x v="0"/>
    <n v="51"/>
    <x v="3"/>
    <x v="3"/>
    <s v="Yellow"/>
    <x v="2"/>
    <n v="3.8"/>
    <x v="0"/>
    <x v="5"/>
    <x v="0"/>
    <x v="0"/>
    <n v="18"/>
    <x v="4"/>
    <x v="3"/>
  </r>
  <r>
    <n v="790"/>
    <n v="33"/>
    <x v="0"/>
    <x v="8"/>
    <x v="3"/>
    <n v="84"/>
    <x v="37"/>
    <x v="1"/>
    <s v="Purple"/>
    <x v="3"/>
    <n v="2.7"/>
    <x v="0"/>
    <x v="3"/>
    <x v="0"/>
    <x v="0"/>
    <n v="4"/>
    <x v="2"/>
    <x v="4"/>
  </r>
  <r>
    <n v="791"/>
    <n v="22"/>
    <x v="0"/>
    <x v="1"/>
    <x v="0"/>
    <n v="37"/>
    <x v="7"/>
    <x v="2"/>
    <s v="Indigo"/>
    <x v="2"/>
    <n v="4.9000000000000004"/>
    <x v="0"/>
    <x v="5"/>
    <x v="0"/>
    <x v="0"/>
    <n v="12"/>
    <x v="4"/>
    <x v="3"/>
  </r>
  <r>
    <n v="792"/>
    <n v="50"/>
    <x v="0"/>
    <x v="18"/>
    <x v="3"/>
    <n v="44"/>
    <x v="17"/>
    <x v="1"/>
    <s v="Magenta"/>
    <x v="2"/>
    <n v="3.1"/>
    <x v="0"/>
    <x v="4"/>
    <x v="0"/>
    <x v="0"/>
    <n v="35"/>
    <x v="3"/>
    <x v="0"/>
  </r>
  <r>
    <n v="793"/>
    <n v="34"/>
    <x v="0"/>
    <x v="4"/>
    <x v="1"/>
    <n v="45"/>
    <x v="32"/>
    <x v="2"/>
    <s v="Violet"/>
    <x v="1"/>
    <n v="4.2"/>
    <x v="0"/>
    <x v="2"/>
    <x v="0"/>
    <x v="0"/>
    <n v="45"/>
    <x v="0"/>
    <x v="1"/>
  </r>
  <r>
    <n v="794"/>
    <n v="24"/>
    <x v="0"/>
    <x v="13"/>
    <x v="0"/>
    <n v="35"/>
    <x v="15"/>
    <x v="0"/>
    <s v="Maroon"/>
    <x v="2"/>
    <n v="3.8"/>
    <x v="0"/>
    <x v="1"/>
    <x v="0"/>
    <x v="0"/>
    <n v="16"/>
    <x v="2"/>
    <x v="5"/>
  </r>
  <r>
    <n v="795"/>
    <n v="69"/>
    <x v="0"/>
    <x v="21"/>
    <x v="3"/>
    <n v="50"/>
    <x v="0"/>
    <x v="3"/>
    <s v="Yellow"/>
    <x v="0"/>
    <n v="4.2"/>
    <x v="0"/>
    <x v="5"/>
    <x v="0"/>
    <x v="0"/>
    <n v="10"/>
    <x v="5"/>
    <x v="0"/>
  </r>
  <r>
    <n v="796"/>
    <n v="39"/>
    <x v="0"/>
    <x v="3"/>
    <x v="1"/>
    <n v="26"/>
    <x v="14"/>
    <x v="2"/>
    <s v="Beige"/>
    <x v="2"/>
    <n v="4.5999999999999996"/>
    <x v="0"/>
    <x v="5"/>
    <x v="0"/>
    <x v="0"/>
    <n v="34"/>
    <x v="0"/>
    <x v="2"/>
  </r>
  <r>
    <n v="797"/>
    <n v="42"/>
    <x v="0"/>
    <x v="20"/>
    <x v="0"/>
    <n v="78"/>
    <x v="28"/>
    <x v="3"/>
    <s v="Black"/>
    <x v="3"/>
    <n v="4"/>
    <x v="0"/>
    <x v="4"/>
    <x v="0"/>
    <x v="0"/>
    <n v="43"/>
    <x v="2"/>
    <x v="2"/>
  </r>
  <r>
    <n v="798"/>
    <n v="42"/>
    <x v="0"/>
    <x v="7"/>
    <x v="2"/>
    <n v="82"/>
    <x v="33"/>
    <x v="2"/>
    <s v="Violet"/>
    <x v="3"/>
    <n v="4"/>
    <x v="0"/>
    <x v="4"/>
    <x v="0"/>
    <x v="0"/>
    <n v="38"/>
    <x v="5"/>
    <x v="1"/>
  </r>
  <r>
    <n v="799"/>
    <n v="29"/>
    <x v="0"/>
    <x v="20"/>
    <x v="0"/>
    <n v="39"/>
    <x v="29"/>
    <x v="2"/>
    <s v="Violet"/>
    <x v="1"/>
    <n v="3.8"/>
    <x v="0"/>
    <x v="4"/>
    <x v="0"/>
    <x v="0"/>
    <n v="48"/>
    <x v="3"/>
    <x v="6"/>
  </r>
  <r>
    <n v="800"/>
    <n v="55"/>
    <x v="0"/>
    <x v="22"/>
    <x v="3"/>
    <n v="55"/>
    <x v="22"/>
    <x v="0"/>
    <s v="Brown"/>
    <x v="2"/>
    <n v="3.3"/>
    <x v="0"/>
    <x v="1"/>
    <x v="0"/>
    <x v="0"/>
    <n v="31"/>
    <x v="3"/>
    <x v="2"/>
  </r>
  <r>
    <n v="801"/>
    <n v="32"/>
    <x v="0"/>
    <x v="20"/>
    <x v="0"/>
    <n v="20"/>
    <x v="40"/>
    <x v="1"/>
    <s v="Gold"/>
    <x v="2"/>
    <n v="2.6"/>
    <x v="0"/>
    <x v="1"/>
    <x v="0"/>
    <x v="0"/>
    <n v="20"/>
    <x v="1"/>
    <x v="6"/>
  </r>
  <r>
    <n v="802"/>
    <n v="25"/>
    <x v="0"/>
    <x v="22"/>
    <x v="3"/>
    <n v="29"/>
    <x v="35"/>
    <x v="0"/>
    <s v="Blue"/>
    <x v="3"/>
    <n v="4.9000000000000004"/>
    <x v="0"/>
    <x v="0"/>
    <x v="0"/>
    <x v="0"/>
    <n v="12"/>
    <x v="2"/>
    <x v="0"/>
  </r>
  <r>
    <n v="803"/>
    <n v="38"/>
    <x v="0"/>
    <x v="13"/>
    <x v="0"/>
    <n v="41"/>
    <x v="12"/>
    <x v="2"/>
    <s v="Teal"/>
    <x v="0"/>
    <n v="3.5"/>
    <x v="0"/>
    <x v="2"/>
    <x v="0"/>
    <x v="0"/>
    <n v="2"/>
    <x v="4"/>
    <x v="1"/>
  </r>
  <r>
    <n v="804"/>
    <n v="32"/>
    <x v="0"/>
    <x v="6"/>
    <x v="0"/>
    <n v="38"/>
    <x v="39"/>
    <x v="0"/>
    <s v="Silver"/>
    <x v="0"/>
    <n v="2.8"/>
    <x v="0"/>
    <x v="0"/>
    <x v="0"/>
    <x v="0"/>
    <n v="30"/>
    <x v="0"/>
    <x v="6"/>
  </r>
  <r>
    <n v="805"/>
    <n v="43"/>
    <x v="0"/>
    <x v="23"/>
    <x v="1"/>
    <n v="47"/>
    <x v="16"/>
    <x v="2"/>
    <s v="Maroon"/>
    <x v="2"/>
    <n v="2.6"/>
    <x v="0"/>
    <x v="5"/>
    <x v="0"/>
    <x v="0"/>
    <n v="28"/>
    <x v="0"/>
    <x v="3"/>
  </r>
  <r>
    <n v="806"/>
    <n v="41"/>
    <x v="0"/>
    <x v="10"/>
    <x v="0"/>
    <n v="30"/>
    <x v="39"/>
    <x v="0"/>
    <s v="White"/>
    <x v="2"/>
    <n v="3.7"/>
    <x v="0"/>
    <x v="2"/>
    <x v="0"/>
    <x v="0"/>
    <n v="40"/>
    <x v="5"/>
    <x v="5"/>
  </r>
  <r>
    <n v="807"/>
    <n v="56"/>
    <x v="0"/>
    <x v="2"/>
    <x v="0"/>
    <n v="56"/>
    <x v="20"/>
    <x v="0"/>
    <s v="Charcoal"/>
    <x v="2"/>
    <n v="2.7"/>
    <x v="0"/>
    <x v="3"/>
    <x v="0"/>
    <x v="0"/>
    <n v="46"/>
    <x v="3"/>
    <x v="3"/>
  </r>
  <r>
    <n v="808"/>
    <n v="27"/>
    <x v="0"/>
    <x v="17"/>
    <x v="0"/>
    <n v="89"/>
    <x v="14"/>
    <x v="1"/>
    <s v="Brown"/>
    <x v="0"/>
    <n v="3.3"/>
    <x v="0"/>
    <x v="0"/>
    <x v="0"/>
    <x v="0"/>
    <n v="15"/>
    <x v="2"/>
    <x v="1"/>
  </r>
  <r>
    <n v="809"/>
    <n v="46"/>
    <x v="0"/>
    <x v="9"/>
    <x v="1"/>
    <n v="96"/>
    <x v="48"/>
    <x v="0"/>
    <s v="Lavender"/>
    <x v="3"/>
    <n v="4.5999999999999996"/>
    <x v="0"/>
    <x v="2"/>
    <x v="0"/>
    <x v="0"/>
    <n v="38"/>
    <x v="1"/>
    <x v="6"/>
  </r>
  <r>
    <n v="810"/>
    <n v="48"/>
    <x v="0"/>
    <x v="23"/>
    <x v="1"/>
    <n v="81"/>
    <x v="36"/>
    <x v="2"/>
    <s v="Violet"/>
    <x v="3"/>
    <n v="4.9000000000000004"/>
    <x v="0"/>
    <x v="2"/>
    <x v="0"/>
    <x v="0"/>
    <n v="30"/>
    <x v="3"/>
    <x v="4"/>
  </r>
  <r>
    <n v="811"/>
    <n v="52"/>
    <x v="0"/>
    <x v="18"/>
    <x v="3"/>
    <n v="83"/>
    <x v="45"/>
    <x v="1"/>
    <s v="Lavender"/>
    <x v="3"/>
    <n v="4.9000000000000004"/>
    <x v="0"/>
    <x v="5"/>
    <x v="0"/>
    <x v="0"/>
    <n v="32"/>
    <x v="5"/>
    <x v="4"/>
  </r>
  <r>
    <n v="812"/>
    <n v="18"/>
    <x v="0"/>
    <x v="4"/>
    <x v="1"/>
    <n v="35"/>
    <x v="26"/>
    <x v="2"/>
    <s v="Green"/>
    <x v="0"/>
    <n v="2.7"/>
    <x v="0"/>
    <x v="1"/>
    <x v="0"/>
    <x v="0"/>
    <n v="36"/>
    <x v="0"/>
    <x v="3"/>
  </r>
  <r>
    <n v="813"/>
    <n v="64"/>
    <x v="0"/>
    <x v="23"/>
    <x v="1"/>
    <n v="56"/>
    <x v="29"/>
    <x v="2"/>
    <s v="Olive"/>
    <x v="2"/>
    <n v="3.2"/>
    <x v="0"/>
    <x v="3"/>
    <x v="0"/>
    <x v="0"/>
    <n v="32"/>
    <x v="2"/>
    <x v="1"/>
  </r>
  <r>
    <n v="814"/>
    <n v="54"/>
    <x v="0"/>
    <x v="8"/>
    <x v="3"/>
    <n v="45"/>
    <x v="6"/>
    <x v="1"/>
    <s v="Olive"/>
    <x v="2"/>
    <n v="2.9"/>
    <x v="0"/>
    <x v="5"/>
    <x v="0"/>
    <x v="0"/>
    <n v="14"/>
    <x v="5"/>
    <x v="2"/>
  </r>
  <r>
    <n v="815"/>
    <n v="31"/>
    <x v="0"/>
    <x v="5"/>
    <x v="0"/>
    <n v="62"/>
    <x v="46"/>
    <x v="2"/>
    <s v="Pink"/>
    <x v="0"/>
    <n v="3.8"/>
    <x v="0"/>
    <x v="0"/>
    <x v="0"/>
    <x v="0"/>
    <n v="8"/>
    <x v="3"/>
    <x v="5"/>
  </r>
  <r>
    <n v="816"/>
    <n v="30"/>
    <x v="0"/>
    <x v="19"/>
    <x v="3"/>
    <n v="84"/>
    <x v="8"/>
    <x v="0"/>
    <s v="Teal"/>
    <x v="1"/>
    <n v="3"/>
    <x v="0"/>
    <x v="2"/>
    <x v="0"/>
    <x v="0"/>
    <n v="27"/>
    <x v="0"/>
    <x v="4"/>
  </r>
  <r>
    <n v="817"/>
    <n v="26"/>
    <x v="0"/>
    <x v="1"/>
    <x v="0"/>
    <n v="24"/>
    <x v="26"/>
    <x v="0"/>
    <s v="Cyan"/>
    <x v="2"/>
    <n v="3.9"/>
    <x v="0"/>
    <x v="5"/>
    <x v="0"/>
    <x v="0"/>
    <n v="24"/>
    <x v="5"/>
    <x v="5"/>
  </r>
  <r>
    <n v="818"/>
    <n v="25"/>
    <x v="0"/>
    <x v="8"/>
    <x v="3"/>
    <n v="21"/>
    <x v="22"/>
    <x v="1"/>
    <s v="Gray"/>
    <x v="1"/>
    <n v="4.7"/>
    <x v="0"/>
    <x v="5"/>
    <x v="0"/>
    <x v="0"/>
    <n v="30"/>
    <x v="3"/>
    <x v="0"/>
  </r>
  <r>
    <n v="819"/>
    <n v="59"/>
    <x v="0"/>
    <x v="5"/>
    <x v="0"/>
    <n v="91"/>
    <x v="37"/>
    <x v="2"/>
    <s v="Peach"/>
    <x v="0"/>
    <n v="4.9000000000000004"/>
    <x v="0"/>
    <x v="5"/>
    <x v="0"/>
    <x v="0"/>
    <n v="34"/>
    <x v="5"/>
    <x v="5"/>
  </r>
  <r>
    <n v="820"/>
    <n v="55"/>
    <x v="0"/>
    <x v="12"/>
    <x v="3"/>
    <n v="36"/>
    <x v="24"/>
    <x v="1"/>
    <s v="Teal"/>
    <x v="0"/>
    <n v="4.8"/>
    <x v="0"/>
    <x v="2"/>
    <x v="0"/>
    <x v="0"/>
    <n v="28"/>
    <x v="5"/>
    <x v="3"/>
  </r>
  <r>
    <n v="821"/>
    <n v="56"/>
    <x v="0"/>
    <x v="4"/>
    <x v="1"/>
    <n v="39"/>
    <x v="7"/>
    <x v="2"/>
    <s v="Turquoise"/>
    <x v="1"/>
    <n v="2.5"/>
    <x v="0"/>
    <x v="4"/>
    <x v="0"/>
    <x v="0"/>
    <n v="27"/>
    <x v="5"/>
    <x v="5"/>
  </r>
  <r>
    <n v="822"/>
    <n v="62"/>
    <x v="0"/>
    <x v="15"/>
    <x v="0"/>
    <n v="39"/>
    <x v="34"/>
    <x v="2"/>
    <s v="Green"/>
    <x v="1"/>
    <n v="3.9"/>
    <x v="0"/>
    <x v="3"/>
    <x v="0"/>
    <x v="0"/>
    <n v="31"/>
    <x v="2"/>
    <x v="4"/>
  </r>
  <r>
    <n v="823"/>
    <n v="35"/>
    <x v="0"/>
    <x v="5"/>
    <x v="0"/>
    <n v="59"/>
    <x v="16"/>
    <x v="0"/>
    <s v="Magenta"/>
    <x v="0"/>
    <n v="3.4"/>
    <x v="0"/>
    <x v="3"/>
    <x v="0"/>
    <x v="0"/>
    <n v="23"/>
    <x v="4"/>
    <x v="2"/>
  </r>
  <r>
    <n v="824"/>
    <n v="51"/>
    <x v="0"/>
    <x v="12"/>
    <x v="3"/>
    <n v="27"/>
    <x v="42"/>
    <x v="2"/>
    <s v="Green"/>
    <x v="0"/>
    <n v="2.5"/>
    <x v="0"/>
    <x v="1"/>
    <x v="0"/>
    <x v="0"/>
    <n v="11"/>
    <x v="2"/>
    <x v="3"/>
  </r>
  <r>
    <n v="825"/>
    <n v="61"/>
    <x v="0"/>
    <x v="0"/>
    <x v="0"/>
    <n v="94"/>
    <x v="42"/>
    <x v="2"/>
    <s v="White"/>
    <x v="1"/>
    <n v="3"/>
    <x v="0"/>
    <x v="5"/>
    <x v="0"/>
    <x v="0"/>
    <n v="48"/>
    <x v="1"/>
    <x v="3"/>
  </r>
  <r>
    <n v="826"/>
    <n v="27"/>
    <x v="0"/>
    <x v="22"/>
    <x v="3"/>
    <n v="94"/>
    <x v="43"/>
    <x v="3"/>
    <s v="Brown"/>
    <x v="3"/>
    <n v="3.6"/>
    <x v="0"/>
    <x v="2"/>
    <x v="0"/>
    <x v="0"/>
    <n v="17"/>
    <x v="1"/>
    <x v="5"/>
  </r>
  <r>
    <n v="827"/>
    <n v="54"/>
    <x v="0"/>
    <x v="10"/>
    <x v="0"/>
    <n v="94"/>
    <x v="2"/>
    <x v="2"/>
    <s v="Purple"/>
    <x v="0"/>
    <n v="3.6"/>
    <x v="0"/>
    <x v="3"/>
    <x v="0"/>
    <x v="0"/>
    <n v="36"/>
    <x v="3"/>
    <x v="1"/>
  </r>
  <r>
    <n v="828"/>
    <n v="31"/>
    <x v="0"/>
    <x v="9"/>
    <x v="1"/>
    <n v="51"/>
    <x v="24"/>
    <x v="1"/>
    <s v="Green"/>
    <x v="3"/>
    <n v="4.0999999999999996"/>
    <x v="0"/>
    <x v="1"/>
    <x v="0"/>
    <x v="0"/>
    <n v="33"/>
    <x v="4"/>
    <x v="0"/>
  </r>
  <r>
    <n v="829"/>
    <n v="24"/>
    <x v="0"/>
    <x v="20"/>
    <x v="0"/>
    <n v="62"/>
    <x v="22"/>
    <x v="2"/>
    <s v="Peach"/>
    <x v="3"/>
    <n v="3.7"/>
    <x v="0"/>
    <x v="4"/>
    <x v="0"/>
    <x v="0"/>
    <n v="27"/>
    <x v="3"/>
    <x v="4"/>
  </r>
  <r>
    <n v="830"/>
    <n v="42"/>
    <x v="0"/>
    <x v="20"/>
    <x v="0"/>
    <n v="57"/>
    <x v="37"/>
    <x v="1"/>
    <s v="Silver"/>
    <x v="1"/>
    <n v="3.1"/>
    <x v="0"/>
    <x v="4"/>
    <x v="0"/>
    <x v="0"/>
    <n v="14"/>
    <x v="2"/>
    <x v="0"/>
  </r>
  <r>
    <n v="831"/>
    <n v="41"/>
    <x v="0"/>
    <x v="6"/>
    <x v="0"/>
    <n v="76"/>
    <x v="5"/>
    <x v="2"/>
    <s v="Maroon"/>
    <x v="3"/>
    <n v="4.2"/>
    <x v="0"/>
    <x v="0"/>
    <x v="0"/>
    <x v="0"/>
    <n v="5"/>
    <x v="2"/>
    <x v="2"/>
  </r>
  <r>
    <n v="832"/>
    <n v="66"/>
    <x v="0"/>
    <x v="24"/>
    <x v="3"/>
    <n v="63"/>
    <x v="47"/>
    <x v="2"/>
    <s v="Red"/>
    <x v="2"/>
    <n v="4.3"/>
    <x v="0"/>
    <x v="0"/>
    <x v="0"/>
    <x v="0"/>
    <n v="47"/>
    <x v="1"/>
    <x v="6"/>
  </r>
  <r>
    <n v="833"/>
    <n v="58"/>
    <x v="0"/>
    <x v="14"/>
    <x v="2"/>
    <n v="80"/>
    <x v="18"/>
    <x v="0"/>
    <s v="Blue"/>
    <x v="3"/>
    <n v="2.5"/>
    <x v="0"/>
    <x v="0"/>
    <x v="0"/>
    <x v="0"/>
    <n v="28"/>
    <x v="1"/>
    <x v="4"/>
  </r>
  <r>
    <n v="834"/>
    <n v="43"/>
    <x v="0"/>
    <x v="8"/>
    <x v="3"/>
    <n v="68"/>
    <x v="19"/>
    <x v="2"/>
    <s v="Purple"/>
    <x v="3"/>
    <n v="3.5"/>
    <x v="0"/>
    <x v="3"/>
    <x v="0"/>
    <x v="0"/>
    <n v="11"/>
    <x v="2"/>
    <x v="2"/>
  </r>
  <r>
    <n v="835"/>
    <n v="52"/>
    <x v="0"/>
    <x v="21"/>
    <x v="3"/>
    <n v="89"/>
    <x v="22"/>
    <x v="2"/>
    <s v="Indigo"/>
    <x v="2"/>
    <n v="3.1"/>
    <x v="0"/>
    <x v="1"/>
    <x v="0"/>
    <x v="0"/>
    <n v="18"/>
    <x v="2"/>
    <x v="1"/>
  </r>
  <r>
    <n v="836"/>
    <n v="35"/>
    <x v="0"/>
    <x v="23"/>
    <x v="1"/>
    <n v="26"/>
    <x v="33"/>
    <x v="0"/>
    <s v="Indigo"/>
    <x v="2"/>
    <n v="2.5"/>
    <x v="0"/>
    <x v="2"/>
    <x v="0"/>
    <x v="0"/>
    <n v="21"/>
    <x v="5"/>
    <x v="1"/>
  </r>
  <r>
    <n v="837"/>
    <n v="23"/>
    <x v="0"/>
    <x v="24"/>
    <x v="3"/>
    <n v="90"/>
    <x v="8"/>
    <x v="0"/>
    <s v="Violet"/>
    <x v="0"/>
    <n v="3.9"/>
    <x v="0"/>
    <x v="5"/>
    <x v="0"/>
    <x v="0"/>
    <n v="22"/>
    <x v="1"/>
    <x v="4"/>
  </r>
  <r>
    <n v="838"/>
    <n v="25"/>
    <x v="0"/>
    <x v="15"/>
    <x v="0"/>
    <n v="28"/>
    <x v="26"/>
    <x v="0"/>
    <s v="Brown"/>
    <x v="1"/>
    <n v="4.9000000000000004"/>
    <x v="0"/>
    <x v="0"/>
    <x v="0"/>
    <x v="0"/>
    <n v="33"/>
    <x v="1"/>
    <x v="6"/>
  </r>
  <r>
    <n v="839"/>
    <n v="33"/>
    <x v="0"/>
    <x v="7"/>
    <x v="2"/>
    <n v="29"/>
    <x v="0"/>
    <x v="2"/>
    <s v="Gray"/>
    <x v="1"/>
    <n v="4.3"/>
    <x v="0"/>
    <x v="0"/>
    <x v="0"/>
    <x v="0"/>
    <n v="49"/>
    <x v="2"/>
    <x v="2"/>
  </r>
  <r>
    <n v="840"/>
    <n v="48"/>
    <x v="0"/>
    <x v="5"/>
    <x v="0"/>
    <n v="31"/>
    <x v="26"/>
    <x v="0"/>
    <s v="Teal"/>
    <x v="1"/>
    <n v="2.6"/>
    <x v="0"/>
    <x v="1"/>
    <x v="0"/>
    <x v="0"/>
    <n v="10"/>
    <x v="5"/>
    <x v="6"/>
  </r>
  <r>
    <n v="841"/>
    <n v="42"/>
    <x v="0"/>
    <x v="5"/>
    <x v="0"/>
    <n v="24"/>
    <x v="15"/>
    <x v="0"/>
    <s v="Teal"/>
    <x v="2"/>
    <n v="4.2"/>
    <x v="0"/>
    <x v="4"/>
    <x v="0"/>
    <x v="0"/>
    <n v="18"/>
    <x v="3"/>
    <x v="1"/>
  </r>
  <r>
    <n v="842"/>
    <n v="55"/>
    <x v="0"/>
    <x v="1"/>
    <x v="0"/>
    <n v="88"/>
    <x v="21"/>
    <x v="2"/>
    <s v="Beige"/>
    <x v="2"/>
    <n v="2.6"/>
    <x v="0"/>
    <x v="5"/>
    <x v="0"/>
    <x v="0"/>
    <n v="28"/>
    <x v="3"/>
    <x v="0"/>
  </r>
  <r>
    <n v="843"/>
    <n v="59"/>
    <x v="0"/>
    <x v="5"/>
    <x v="0"/>
    <n v="87"/>
    <x v="9"/>
    <x v="2"/>
    <s v="Violet"/>
    <x v="1"/>
    <n v="3.6"/>
    <x v="0"/>
    <x v="0"/>
    <x v="0"/>
    <x v="0"/>
    <n v="25"/>
    <x v="3"/>
    <x v="1"/>
  </r>
  <r>
    <n v="844"/>
    <n v="65"/>
    <x v="0"/>
    <x v="15"/>
    <x v="0"/>
    <n v="80"/>
    <x v="38"/>
    <x v="1"/>
    <s v="Beige"/>
    <x v="2"/>
    <n v="3.2"/>
    <x v="0"/>
    <x v="0"/>
    <x v="0"/>
    <x v="0"/>
    <n v="6"/>
    <x v="3"/>
    <x v="1"/>
  </r>
  <r>
    <n v="845"/>
    <n v="59"/>
    <x v="0"/>
    <x v="3"/>
    <x v="1"/>
    <n v="48"/>
    <x v="9"/>
    <x v="0"/>
    <s v="Purple"/>
    <x v="0"/>
    <n v="4.4000000000000004"/>
    <x v="0"/>
    <x v="0"/>
    <x v="0"/>
    <x v="0"/>
    <n v="44"/>
    <x v="0"/>
    <x v="4"/>
  </r>
  <r>
    <n v="846"/>
    <n v="31"/>
    <x v="0"/>
    <x v="22"/>
    <x v="3"/>
    <n v="21"/>
    <x v="49"/>
    <x v="3"/>
    <s v="Charcoal"/>
    <x v="0"/>
    <n v="3.7"/>
    <x v="0"/>
    <x v="3"/>
    <x v="0"/>
    <x v="0"/>
    <n v="30"/>
    <x v="0"/>
    <x v="5"/>
  </r>
  <r>
    <n v="847"/>
    <n v="49"/>
    <x v="0"/>
    <x v="23"/>
    <x v="1"/>
    <n v="72"/>
    <x v="0"/>
    <x v="2"/>
    <s v="Pink"/>
    <x v="1"/>
    <n v="3.7"/>
    <x v="0"/>
    <x v="0"/>
    <x v="0"/>
    <x v="0"/>
    <n v="42"/>
    <x v="5"/>
    <x v="3"/>
  </r>
  <r>
    <n v="848"/>
    <n v="53"/>
    <x v="0"/>
    <x v="15"/>
    <x v="0"/>
    <n v="44"/>
    <x v="32"/>
    <x v="0"/>
    <s v="Blue"/>
    <x v="3"/>
    <n v="4.0999999999999996"/>
    <x v="0"/>
    <x v="3"/>
    <x v="0"/>
    <x v="0"/>
    <n v="30"/>
    <x v="3"/>
    <x v="5"/>
  </r>
  <r>
    <n v="849"/>
    <n v="48"/>
    <x v="0"/>
    <x v="3"/>
    <x v="1"/>
    <n v="73"/>
    <x v="12"/>
    <x v="2"/>
    <s v="Lavender"/>
    <x v="3"/>
    <n v="3.6"/>
    <x v="0"/>
    <x v="5"/>
    <x v="0"/>
    <x v="0"/>
    <n v="33"/>
    <x v="2"/>
    <x v="4"/>
  </r>
  <r>
    <n v="850"/>
    <n v="23"/>
    <x v="0"/>
    <x v="2"/>
    <x v="0"/>
    <n v="61"/>
    <x v="9"/>
    <x v="1"/>
    <s v="Charcoal"/>
    <x v="1"/>
    <n v="4.3"/>
    <x v="0"/>
    <x v="0"/>
    <x v="0"/>
    <x v="0"/>
    <n v="24"/>
    <x v="3"/>
    <x v="3"/>
  </r>
  <r>
    <n v="851"/>
    <n v="68"/>
    <x v="0"/>
    <x v="9"/>
    <x v="1"/>
    <n v="20"/>
    <x v="39"/>
    <x v="0"/>
    <s v="Turquoise"/>
    <x v="0"/>
    <n v="2.6"/>
    <x v="0"/>
    <x v="5"/>
    <x v="0"/>
    <x v="0"/>
    <n v="13"/>
    <x v="0"/>
    <x v="5"/>
  </r>
  <r>
    <n v="852"/>
    <n v="35"/>
    <x v="0"/>
    <x v="3"/>
    <x v="1"/>
    <n v="86"/>
    <x v="2"/>
    <x v="2"/>
    <s v="Red"/>
    <x v="2"/>
    <n v="2.9"/>
    <x v="0"/>
    <x v="0"/>
    <x v="0"/>
    <x v="0"/>
    <n v="19"/>
    <x v="5"/>
    <x v="5"/>
  </r>
  <r>
    <n v="853"/>
    <n v="34"/>
    <x v="0"/>
    <x v="10"/>
    <x v="0"/>
    <n v="60"/>
    <x v="20"/>
    <x v="0"/>
    <s v="Yellow"/>
    <x v="1"/>
    <n v="4.2"/>
    <x v="0"/>
    <x v="2"/>
    <x v="0"/>
    <x v="0"/>
    <n v="23"/>
    <x v="5"/>
    <x v="6"/>
  </r>
  <r>
    <n v="854"/>
    <n v="62"/>
    <x v="0"/>
    <x v="19"/>
    <x v="3"/>
    <n v="43"/>
    <x v="12"/>
    <x v="0"/>
    <s v="Orange"/>
    <x v="0"/>
    <n v="4"/>
    <x v="0"/>
    <x v="1"/>
    <x v="0"/>
    <x v="0"/>
    <n v="35"/>
    <x v="1"/>
    <x v="5"/>
  </r>
  <r>
    <n v="855"/>
    <n v="21"/>
    <x v="0"/>
    <x v="13"/>
    <x v="0"/>
    <n v="44"/>
    <x v="18"/>
    <x v="0"/>
    <s v="Blue"/>
    <x v="1"/>
    <n v="4.3"/>
    <x v="0"/>
    <x v="1"/>
    <x v="0"/>
    <x v="0"/>
    <n v="22"/>
    <x v="0"/>
    <x v="5"/>
  </r>
  <r>
    <n v="856"/>
    <n v="70"/>
    <x v="0"/>
    <x v="20"/>
    <x v="0"/>
    <n v="76"/>
    <x v="4"/>
    <x v="0"/>
    <s v="Gold"/>
    <x v="1"/>
    <n v="3"/>
    <x v="0"/>
    <x v="4"/>
    <x v="0"/>
    <x v="0"/>
    <n v="14"/>
    <x v="2"/>
    <x v="3"/>
  </r>
  <r>
    <n v="857"/>
    <n v="55"/>
    <x v="0"/>
    <x v="5"/>
    <x v="0"/>
    <n v="33"/>
    <x v="29"/>
    <x v="2"/>
    <s v="Gold"/>
    <x v="2"/>
    <n v="3.5"/>
    <x v="0"/>
    <x v="0"/>
    <x v="0"/>
    <x v="0"/>
    <n v="47"/>
    <x v="5"/>
    <x v="0"/>
  </r>
  <r>
    <n v="858"/>
    <n v="43"/>
    <x v="0"/>
    <x v="6"/>
    <x v="0"/>
    <n v="60"/>
    <x v="9"/>
    <x v="0"/>
    <s v="Cyan"/>
    <x v="3"/>
    <n v="3"/>
    <x v="0"/>
    <x v="3"/>
    <x v="0"/>
    <x v="0"/>
    <n v="50"/>
    <x v="5"/>
    <x v="6"/>
  </r>
  <r>
    <n v="859"/>
    <n v="19"/>
    <x v="0"/>
    <x v="14"/>
    <x v="2"/>
    <n v="26"/>
    <x v="19"/>
    <x v="0"/>
    <s v="Olive"/>
    <x v="3"/>
    <n v="3.1"/>
    <x v="0"/>
    <x v="1"/>
    <x v="0"/>
    <x v="0"/>
    <n v="33"/>
    <x v="3"/>
    <x v="1"/>
  </r>
  <r>
    <n v="860"/>
    <n v="47"/>
    <x v="0"/>
    <x v="15"/>
    <x v="0"/>
    <n v="73"/>
    <x v="48"/>
    <x v="2"/>
    <s v="Teal"/>
    <x v="0"/>
    <n v="4"/>
    <x v="0"/>
    <x v="2"/>
    <x v="0"/>
    <x v="0"/>
    <n v="7"/>
    <x v="5"/>
    <x v="5"/>
  </r>
  <r>
    <n v="861"/>
    <n v="26"/>
    <x v="0"/>
    <x v="9"/>
    <x v="1"/>
    <n v="87"/>
    <x v="36"/>
    <x v="2"/>
    <s v="Maroon"/>
    <x v="1"/>
    <n v="4.0999999999999996"/>
    <x v="0"/>
    <x v="3"/>
    <x v="0"/>
    <x v="0"/>
    <n v="3"/>
    <x v="1"/>
    <x v="5"/>
  </r>
  <r>
    <n v="862"/>
    <n v="46"/>
    <x v="0"/>
    <x v="11"/>
    <x v="0"/>
    <n v="100"/>
    <x v="41"/>
    <x v="3"/>
    <s v="Green"/>
    <x v="1"/>
    <n v="3.3"/>
    <x v="0"/>
    <x v="4"/>
    <x v="0"/>
    <x v="0"/>
    <n v="35"/>
    <x v="2"/>
    <x v="6"/>
  </r>
  <r>
    <n v="863"/>
    <n v="19"/>
    <x v="0"/>
    <x v="7"/>
    <x v="2"/>
    <n v="84"/>
    <x v="10"/>
    <x v="2"/>
    <s v="Charcoal"/>
    <x v="0"/>
    <n v="4.9000000000000004"/>
    <x v="0"/>
    <x v="3"/>
    <x v="0"/>
    <x v="0"/>
    <n v="13"/>
    <x v="3"/>
    <x v="0"/>
  </r>
  <r>
    <n v="864"/>
    <n v="49"/>
    <x v="0"/>
    <x v="4"/>
    <x v="1"/>
    <n v="41"/>
    <x v="34"/>
    <x v="2"/>
    <s v="Cyan"/>
    <x v="2"/>
    <n v="3.9"/>
    <x v="0"/>
    <x v="3"/>
    <x v="0"/>
    <x v="0"/>
    <n v="42"/>
    <x v="3"/>
    <x v="0"/>
  </r>
  <r>
    <n v="865"/>
    <n v="51"/>
    <x v="0"/>
    <x v="2"/>
    <x v="0"/>
    <n v="59"/>
    <x v="0"/>
    <x v="1"/>
    <s v="Charcoal"/>
    <x v="0"/>
    <n v="3.9"/>
    <x v="0"/>
    <x v="2"/>
    <x v="0"/>
    <x v="0"/>
    <n v="5"/>
    <x v="3"/>
    <x v="2"/>
  </r>
  <r>
    <n v="866"/>
    <n v="64"/>
    <x v="0"/>
    <x v="0"/>
    <x v="0"/>
    <n v="26"/>
    <x v="24"/>
    <x v="0"/>
    <s v="Charcoal"/>
    <x v="0"/>
    <n v="4.8"/>
    <x v="0"/>
    <x v="5"/>
    <x v="0"/>
    <x v="0"/>
    <n v="23"/>
    <x v="0"/>
    <x v="2"/>
  </r>
  <r>
    <n v="867"/>
    <n v="67"/>
    <x v="0"/>
    <x v="12"/>
    <x v="3"/>
    <n v="69"/>
    <x v="35"/>
    <x v="2"/>
    <s v="Lavender"/>
    <x v="2"/>
    <n v="2.7"/>
    <x v="0"/>
    <x v="1"/>
    <x v="0"/>
    <x v="0"/>
    <n v="11"/>
    <x v="3"/>
    <x v="4"/>
  </r>
  <r>
    <n v="868"/>
    <n v="37"/>
    <x v="0"/>
    <x v="14"/>
    <x v="2"/>
    <n v="20"/>
    <x v="24"/>
    <x v="2"/>
    <s v="Turquoise"/>
    <x v="1"/>
    <n v="3.1"/>
    <x v="0"/>
    <x v="1"/>
    <x v="0"/>
    <x v="0"/>
    <n v="23"/>
    <x v="4"/>
    <x v="0"/>
  </r>
  <r>
    <n v="869"/>
    <n v="40"/>
    <x v="0"/>
    <x v="10"/>
    <x v="0"/>
    <n v="83"/>
    <x v="17"/>
    <x v="2"/>
    <s v="Green"/>
    <x v="2"/>
    <n v="3.2"/>
    <x v="0"/>
    <x v="2"/>
    <x v="0"/>
    <x v="0"/>
    <n v="2"/>
    <x v="2"/>
    <x v="6"/>
  </r>
  <r>
    <n v="870"/>
    <n v="38"/>
    <x v="0"/>
    <x v="19"/>
    <x v="3"/>
    <n v="54"/>
    <x v="13"/>
    <x v="2"/>
    <s v="Silver"/>
    <x v="1"/>
    <n v="2.7"/>
    <x v="0"/>
    <x v="4"/>
    <x v="0"/>
    <x v="0"/>
    <n v="33"/>
    <x v="3"/>
    <x v="1"/>
  </r>
  <r>
    <n v="871"/>
    <n v="66"/>
    <x v="0"/>
    <x v="15"/>
    <x v="0"/>
    <n v="66"/>
    <x v="8"/>
    <x v="2"/>
    <s v="Blue"/>
    <x v="3"/>
    <n v="2.5"/>
    <x v="0"/>
    <x v="3"/>
    <x v="0"/>
    <x v="0"/>
    <n v="6"/>
    <x v="4"/>
    <x v="4"/>
  </r>
  <r>
    <n v="872"/>
    <n v="47"/>
    <x v="0"/>
    <x v="8"/>
    <x v="3"/>
    <n v="42"/>
    <x v="11"/>
    <x v="2"/>
    <s v="Charcoal"/>
    <x v="1"/>
    <n v="2.6"/>
    <x v="0"/>
    <x v="2"/>
    <x v="0"/>
    <x v="0"/>
    <n v="45"/>
    <x v="5"/>
    <x v="3"/>
  </r>
  <r>
    <n v="873"/>
    <n v="56"/>
    <x v="0"/>
    <x v="2"/>
    <x v="0"/>
    <n v="33"/>
    <x v="25"/>
    <x v="2"/>
    <s v="Pink"/>
    <x v="1"/>
    <n v="2.9"/>
    <x v="0"/>
    <x v="3"/>
    <x v="0"/>
    <x v="0"/>
    <n v="25"/>
    <x v="1"/>
    <x v="3"/>
  </r>
  <r>
    <n v="874"/>
    <n v="51"/>
    <x v="0"/>
    <x v="23"/>
    <x v="1"/>
    <n v="77"/>
    <x v="16"/>
    <x v="2"/>
    <s v="Pink"/>
    <x v="2"/>
    <n v="4.2"/>
    <x v="0"/>
    <x v="1"/>
    <x v="0"/>
    <x v="0"/>
    <n v="24"/>
    <x v="0"/>
    <x v="3"/>
  </r>
  <r>
    <n v="875"/>
    <n v="25"/>
    <x v="0"/>
    <x v="14"/>
    <x v="2"/>
    <n v="65"/>
    <x v="1"/>
    <x v="2"/>
    <s v="Magenta"/>
    <x v="3"/>
    <n v="4.4000000000000004"/>
    <x v="0"/>
    <x v="1"/>
    <x v="0"/>
    <x v="0"/>
    <n v="10"/>
    <x v="0"/>
    <x v="6"/>
  </r>
  <r>
    <n v="876"/>
    <n v="37"/>
    <x v="0"/>
    <x v="3"/>
    <x v="1"/>
    <n v="39"/>
    <x v="25"/>
    <x v="0"/>
    <s v="Gray"/>
    <x v="2"/>
    <n v="4.0999999999999996"/>
    <x v="0"/>
    <x v="1"/>
    <x v="0"/>
    <x v="0"/>
    <n v="7"/>
    <x v="4"/>
    <x v="6"/>
  </r>
  <r>
    <n v="877"/>
    <n v="41"/>
    <x v="0"/>
    <x v="22"/>
    <x v="3"/>
    <n v="51"/>
    <x v="43"/>
    <x v="0"/>
    <s v="Gray"/>
    <x v="2"/>
    <n v="3.8"/>
    <x v="0"/>
    <x v="4"/>
    <x v="0"/>
    <x v="0"/>
    <n v="1"/>
    <x v="5"/>
    <x v="1"/>
  </r>
  <r>
    <n v="878"/>
    <n v="64"/>
    <x v="0"/>
    <x v="8"/>
    <x v="3"/>
    <n v="65"/>
    <x v="43"/>
    <x v="2"/>
    <s v="Orange"/>
    <x v="0"/>
    <n v="4.9000000000000004"/>
    <x v="0"/>
    <x v="2"/>
    <x v="0"/>
    <x v="0"/>
    <n v="45"/>
    <x v="0"/>
    <x v="6"/>
  </r>
  <r>
    <n v="879"/>
    <n v="23"/>
    <x v="0"/>
    <x v="12"/>
    <x v="3"/>
    <n v="89"/>
    <x v="30"/>
    <x v="1"/>
    <s v="Black"/>
    <x v="2"/>
    <n v="4.9000000000000004"/>
    <x v="0"/>
    <x v="0"/>
    <x v="0"/>
    <x v="0"/>
    <n v="37"/>
    <x v="5"/>
    <x v="1"/>
  </r>
  <r>
    <n v="880"/>
    <n v="62"/>
    <x v="0"/>
    <x v="11"/>
    <x v="0"/>
    <n v="76"/>
    <x v="5"/>
    <x v="1"/>
    <s v="Lavender"/>
    <x v="1"/>
    <n v="4.0999999999999996"/>
    <x v="0"/>
    <x v="1"/>
    <x v="0"/>
    <x v="0"/>
    <n v="14"/>
    <x v="3"/>
    <x v="3"/>
  </r>
  <r>
    <n v="881"/>
    <n v="39"/>
    <x v="0"/>
    <x v="21"/>
    <x v="3"/>
    <n v="75"/>
    <x v="22"/>
    <x v="0"/>
    <s v="Red"/>
    <x v="1"/>
    <n v="3.1"/>
    <x v="0"/>
    <x v="0"/>
    <x v="0"/>
    <x v="0"/>
    <n v="25"/>
    <x v="5"/>
    <x v="5"/>
  </r>
  <r>
    <n v="882"/>
    <n v="52"/>
    <x v="0"/>
    <x v="3"/>
    <x v="1"/>
    <n v="61"/>
    <x v="36"/>
    <x v="2"/>
    <s v="Silver"/>
    <x v="2"/>
    <n v="2.7"/>
    <x v="0"/>
    <x v="2"/>
    <x v="0"/>
    <x v="0"/>
    <n v="18"/>
    <x v="0"/>
    <x v="2"/>
  </r>
  <r>
    <n v="883"/>
    <n v="50"/>
    <x v="0"/>
    <x v="23"/>
    <x v="1"/>
    <n v="35"/>
    <x v="41"/>
    <x v="2"/>
    <s v="Cyan"/>
    <x v="3"/>
    <n v="3.8"/>
    <x v="0"/>
    <x v="2"/>
    <x v="0"/>
    <x v="0"/>
    <n v="37"/>
    <x v="1"/>
    <x v="6"/>
  </r>
  <r>
    <n v="884"/>
    <n v="28"/>
    <x v="0"/>
    <x v="4"/>
    <x v="1"/>
    <n v="37"/>
    <x v="38"/>
    <x v="1"/>
    <s v="Gold"/>
    <x v="3"/>
    <n v="4.3"/>
    <x v="0"/>
    <x v="1"/>
    <x v="0"/>
    <x v="0"/>
    <n v="30"/>
    <x v="4"/>
    <x v="5"/>
  </r>
  <r>
    <n v="885"/>
    <n v="67"/>
    <x v="0"/>
    <x v="11"/>
    <x v="0"/>
    <n v="91"/>
    <x v="11"/>
    <x v="0"/>
    <s v="Yellow"/>
    <x v="0"/>
    <n v="4.0999999999999996"/>
    <x v="0"/>
    <x v="0"/>
    <x v="0"/>
    <x v="0"/>
    <n v="34"/>
    <x v="4"/>
    <x v="1"/>
  </r>
  <r>
    <n v="886"/>
    <n v="41"/>
    <x v="0"/>
    <x v="10"/>
    <x v="0"/>
    <n v="99"/>
    <x v="31"/>
    <x v="0"/>
    <s v="Purple"/>
    <x v="3"/>
    <n v="4.4000000000000004"/>
    <x v="0"/>
    <x v="1"/>
    <x v="0"/>
    <x v="0"/>
    <n v="49"/>
    <x v="5"/>
    <x v="6"/>
  </r>
  <r>
    <n v="887"/>
    <n v="19"/>
    <x v="0"/>
    <x v="6"/>
    <x v="0"/>
    <n v="54"/>
    <x v="40"/>
    <x v="1"/>
    <s v="Brown"/>
    <x v="2"/>
    <n v="3.6"/>
    <x v="0"/>
    <x v="0"/>
    <x v="0"/>
    <x v="0"/>
    <n v="48"/>
    <x v="4"/>
    <x v="5"/>
  </r>
  <r>
    <n v="888"/>
    <n v="70"/>
    <x v="0"/>
    <x v="8"/>
    <x v="3"/>
    <n v="47"/>
    <x v="46"/>
    <x v="0"/>
    <s v="Turquoise"/>
    <x v="0"/>
    <n v="3.3"/>
    <x v="0"/>
    <x v="4"/>
    <x v="0"/>
    <x v="0"/>
    <n v="33"/>
    <x v="3"/>
    <x v="0"/>
  </r>
  <r>
    <n v="889"/>
    <n v="49"/>
    <x v="0"/>
    <x v="18"/>
    <x v="3"/>
    <n v="77"/>
    <x v="13"/>
    <x v="1"/>
    <s v="Gold"/>
    <x v="1"/>
    <n v="3.6"/>
    <x v="0"/>
    <x v="0"/>
    <x v="0"/>
    <x v="0"/>
    <n v="44"/>
    <x v="1"/>
    <x v="2"/>
  </r>
  <r>
    <n v="890"/>
    <n v="59"/>
    <x v="0"/>
    <x v="22"/>
    <x v="3"/>
    <n v="84"/>
    <x v="28"/>
    <x v="1"/>
    <s v="Olive"/>
    <x v="3"/>
    <n v="2.8"/>
    <x v="0"/>
    <x v="1"/>
    <x v="0"/>
    <x v="0"/>
    <n v="50"/>
    <x v="0"/>
    <x v="1"/>
  </r>
  <r>
    <n v="891"/>
    <n v="52"/>
    <x v="0"/>
    <x v="24"/>
    <x v="3"/>
    <n v="51"/>
    <x v="14"/>
    <x v="1"/>
    <s v="Purple"/>
    <x v="1"/>
    <n v="4.3"/>
    <x v="0"/>
    <x v="4"/>
    <x v="0"/>
    <x v="0"/>
    <n v="47"/>
    <x v="2"/>
    <x v="5"/>
  </r>
  <r>
    <n v="892"/>
    <n v="20"/>
    <x v="0"/>
    <x v="11"/>
    <x v="0"/>
    <n v="26"/>
    <x v="38"/>
    <x v="1"/>
    <s v="Lavender"/>
    <x v="2"/>
    <n v="3.9"/>
    <x v="0"/>
    <x v="5"/>
    <x v="0"/>
    <x v="0"/>
    <n v="24"/>
    <x v="3"/>
    <x v="6"/>
  </r>
  <r>
    <n v="893"/>
    <n v="31"/>
    <x v="0"/>
    <x v="6"/>
    <x v="0"/>
    <n v="64"/>
    <x v="35"/>
    <x v="0"/>
    <s v="Gray"/>
    <x v="2"/>
    <n v="2.7"/>
    <x v="0"/>
    <x v="1"/>
    <x v="0"/>
    <x v="0"/>
    <n v="43"/>
    <x v="5"/>
    <x v="5"/>
  </r>
  <r>
    <n v="894"/>
    <n v="33"/>
    <x v="0"/>
    <x v="21"/>
    <x v="3"/>
    <n v="51"/>
    <x v="43"/>
    <x v="2"/>
    <s v="Red"/>
    <x v="1"/>
    <n v="4.7"/>
    <x v="0"/>
    <x v="0"/>
    <x v="0"/>
    <x v="0"/>
    <n v="14"/>
    <x v="0"/>
    <x v="5"/>
  </r>
  <r>
    <n v="895"/>
    <n v="44"/>
    <x v="0"/>
    <x v="15"/>
    <x v="0"/>
    <n v="60"/>
    <x v="5"/>
    <x v="0"/>
    <s v="Purple"/>
    <x v="1"/>
    <n v="3.8"/>
    <x v="0"/>
    <x v="1"/>
    <x v="0"/>
    <x v="0"/>
    <n v="3"/>
    <x v="5"/>
    <x v="3"/>
  </r>
  <r>
    <n v="896"/>
    <n v="40"/>
    <x v="0"/>
    <x v="19"/>
    <x v="3"/>
    <n v="69"/>
    <x v="16"/>
    <x v="3"/>
    <s v="Olive"/>
    <x v="1"/>
    <n v="4.7"/>
    <x v="0"/>
    <x v="2"/>
    <x v="0"/>
    <x v="0"/>
    <n v="33"/>
    <x v="5"/>
    <x v="3"/>
  </r>
  <r>
    <n v="897"/>
    <n v="69"/>
    <x v="0"/>
    <x v="16"/>
    <x v="3"/>
    <n v="29"/>
    <x v="10"/>
    <x v="2"/>
    <s v="Lavender"/>
    <x v="1"/>
    <n v="4.7"/>
    <x v="0"/>
    <x v="0"/>
    <x v="0"/>
    <x v="0"/>
    <n v="38"/>
    <x v="1"/>
    <x v="0"/>
  </r>
  <r>
    <n v="898"/>
    <n v="29"/>
    <x v="0"/>
    <x v="5"/>
    <x v="0"/>
    <n v="91"/>
    <x v="26"/>
    <x v="2"/>
    <s v="Gray"/>
    <x v="1"/>
    <n v="3.4"/>
    <x v="0"/>
    <x v="0"/>
    <x v="0"/>
    <x v="0"/>
    <n v="46"/>
    <x v="0"/>
    <x v="1"/>
  </r>
  <r>
    <n v="899"/>
    <n v="54"/>
    <x v="0"/>
    <x v="22"/>
    <x v="3"/>
    <n v="70"/>
    <x v="22"/>
    <x v="0"/>
    <s v="Red"/>
    <x v="1"/>
    <n v="3.5"/>
    <x v="0"/>
    <x v="4"/>
    <x v="0"/>
    <x v="0"/>
    <n v="19"/>
    <x v="4"/>
    <x v="6"/>
  </r>
  <r>
    <n v="900"/>
    <n v="65"/>
    <x v="0"/>
    <x v="1"/>
    <x v="0"/>
    <n v="58"/>
    <x v="3"/>
    <x v="2"/>
    <s v="Peach"/>
    <x v="2"/>
    <n v="4"/>
    <x v="0"/>
    <x v="3"/>
    <x v="0"/>
    <x v="0"/>
    <n v="20"/>
    <x v="3"/>
    <x v="2"/>
  </r>
  <r>
    <n v="901"/>
    <n v="54"/>
    <x v="0"/>
    <x v="19"/>
    <x v="3"/>
    <n v="98"/>
    <x v="8"/>
    <x v="0"/>
    <s v="Gray"/>
    <x v="3"/>
    <n v="3.3"/>
    <x v="0"/>
    <x v="1"/>
    <x v="0"/>
    <x v="0"/>
    <n v="42"/>
    <x v="4"/>
    <x v="3"/>
  </r>
  <r>
    <n v="902"/>
    <n v="60"/>
    <x v="0"/>
    <x v="18"/>
    <x v="3"/>
    <n v="68"/>
    <x v="9"/>
    <x v="0"/>
    <s v="Violet"/>
    <x v="2"/>
    <n v="4.7"/>
    <x v="0"/>
    <x v="4"/>
    <x v="0"/>
    <x v="0"/>
    <n v="34"/>
    <x v="1"/>
    <x v="5"/>
  </r>
  <r>
    <n v="903"/>
    <n v="43"/>
    <x v="0"/>
    <x v="19"/>
    <x v="3"/>
    <n v="44"/>
    <x v="0"/>
    <x v="2"/>
    <s v="Beige"/>
    <x v="2"/>
    <n v="2.8"/>
    <x v="0"/>
    <x v="2"/>
    <x v="0"/>
    <x v="0"/>
    <n v="5"/>
    <x v="1"/>
    <x v="5"/>
  </r>
  <r>
    <n v="904"/>
    <n v="44"/>
    <x v="0"/>
    <x v="14"/>
    <x v="2"/>
    <n v="45"/>
    <x v="47"/>
    <x v="2"/>
    <s v="Blue"/>
    <x v="0"/>
    <n v="3.3"/>
    <x v="0"/>
    <x v="0"/>
    <x v="0"/>
    <x v="0"/>
    <n v="3"/>
    <x v="3"/>
    <x v="3"/>
  </r>
  <r>
    <n v="905"/>
    <n v="69"/>
    <x v="0"/>
    <x v="17"/>
    <x v="0"/>
    <n v="99"/>
    <x v="29"/>
    <x v="0"/>
    <s v="Magenta"/>
    <x v="1"/>
    <n v="2.9"/>
    <x v="0"/>
    <x v="1"/>
    <x v="0"/>
    <x v="0"/>
    <n v="46"/>
    <x v="3"/>
    <x v="6"/>
  </r>
  <r>
    <n v="906"/>
    <n v="46"/>
    <x v="0"/>
    <x v="10"/>
    <x v="0"/>
    <n v="68"/>
    <x v="16"/>
    <x v="1"/>
    <s v="Cyan"/>
    <x v="1"/>
    <n v="2.8"/>
    <x v="0"/>
    <x v="3"/>
    <x v="0"/>
    <x v="0"/>
    <n v="16"/>
    <x v="0"/>
    <x v="2"/>
  </r>
  <r>
    <n v="907"/>
    <n v="41"/>
    <x v="0"/>
    <x v="13"/>
    <x v="0"/>
    <n v="56"/>
    <x v="36"/>
    <x v="2"/>
    <s v="Red"/>
    <x v="1"/>
    <n v="4.2"/>
    <x v="0"/>
    <x v="3"/>
    <x v="0"/>
    <x v="0"/>
    <n v="21"/>
    <x v="5"/>
    <x v="4"/>
  </r>
  <r>
    <n v="908"/>
    <n v="32"/>
    <x v="0"/>
    <x v="1"/>
    <x v="0"/>
    <n v="43"/>
    <x v="9"/>
    <x v="0"/>
    <s v="Cyan"/>
    <x v="0"/>
    <n v="4.4000000000000004"/>
    <x v="0"/>
    <x v="0"/>
    <x v="0"/>
    <x v="0"/>
    <n v="34"/>
    <x v="2"/>
    <x v="4"/>
  </r>
  <r>
    <n v="909"/>
    <n v="26"/>
    <x v="0"/>
    <x v="12"/>
    <x v="3"/>
    <n v="99"/>
    <x v="32"/>
    <x v="2"/>
    <s v="Turquoise"/>
    <x v="0"/>
    <n v="3.6"/>
    <x v="0"/>
    <x v="1"/>
    <x v="0"/>
    <x v="0"/>
    <n v="9"/>
    <x v="3"/>
    <x v="6"/>
  </r>
  <r>
    <n v="910"/>
    <n v="61"/>
    <x v="0"/>
    <x v="22"/>
    <x v="3"/>
    <n v="56"/>
    <x v="7"/>
    <x v="0"/>
    <s v="Silver"/>
    <x v="3"/>
    <n v="2.7"/>
    <x v="0"/>
    <x v="0"/>
    <x v="0"/>
    <x v="0"/>
    <n v="36"/>
    <x v="3"/>
    <x v="1"/>
  </r>
  <r>
    <n v="911"/>
    <n v="49"/>
    <x v="0"/>
    <x v="15"/>
    <x v="0"/>
    <n v="25"/>
    <x v="36"/>
    <x v="1"/>
    <s v="Pink"/>
    <x v="1"/>
    <n v="3.4"/>
    <x v="0"/>
    <x v="0"/>
    <x v="0"/>
    <x v="0"/>
    <n v="22"/>
    <x v="2"/>
    <x v="5"/>
  </r>
  <r>
    <n v="912"/>
    <n v="53"/>
    <x v="0"/>
    <x v="13"/>
    <x v="0"/>
    <n v="74"/>
    <x v="34"/>
    <x v="2"/>
    <s v="Black"/>
    <x v="0"/>
    <n v="2.8"/>
    <x v="0"/>
    <x v="4"/>
    <x v="0"/>
    <x v="0"/>
    <n v="2"/>
    <x v="4"/>
    <x v="3"/>
  </r>
  <r>
    <n v="913"/>
    <n v="24"/>
    <x v="0"/>
    <x v="15"/>
    <x v="0"/>
    <n v="56"/>
    <x v="10"/>
    <x v="2"/>
    <s v="Green"/>
    <x v="0"/>
    <n v="3.4"/>
    <x v="0"/>
    <x v="2"/>
    <x v="0"/>
    <x v="0"/>
    <n v="32"/>
    <x v="4"/>
    <x v="5"/>
  </r>
  <r>
    <n v="914"/>
    <n v="37"/>
    <x v="0"/>
    <x v="4"/>
    <x v="1"/>
    <n v="47"/>
    <x v="40"/>
    <x v="2"/>
    <s v="Yellow"/>
    <x v="3"/>
    <n v="2.6"/>
    <x v="0"/>
    <x v="2"/>
    <x v="0"/>
    <x v="0"/>
    <n v="29"/>
    <x v="1"/>
    <x v="6"/>
  </r>
  <r>
    <n v="915"/>
    <n v="43"/>
    <x v="0"/>
    <x v="10"/>
    <x v="0"/>
    <n v="67"/>
    <x v="47"/>
    <x v="0"/>
    <s v="Purple"/>
    <x v="2"/>
    <n v="4.0999999999999996"/>
    <x v="0"/>
    <x v="3"/>
    <x v="0"/>
    <x v="0"/>
    <n v="27"/>
    <x v="0"/>
    <x v="6"/>
  </r>
  <r>
    <n v="916"/>
    <n v="31"/>
    <x v="0"/>
    <x v="10"/>
    <x v="0"/>
    <n v="22"/>
    <x v="3"/>
    <x v="0"/>
    <s v="Purple"/>
    <x v="0"/>
    <n v="2.9"/>
    <x v="0"/>
    <x v="5"/>
    <x v="0"/>
    <x v="0"/>
    <n v="33"/>
    <x v="2"/>
    <x v="0"/>
  </r>
  <r>
    <n v="917"/>
    <n v="49"/>
    <x v="0"/>
    <x v="2"/>
    <x v="0"/>
    <n v="34"/>
    <x v="26"/>
    <x v="1"/>
    <s v="Blue"/>
    <x v="1"/>
    <n v="2.7"/>
    <x v="0"/>
    <x v="3"/>
    <x v="0"/>
    <x v="0"/>
    <n v="16"/>
    <x v="0"/>
    <x v="5"/>
  </r>
  <r>
    <n v="918"/>
    <n v="69"/>
    <x v="0"/>
    <x v="1"/>
    <x v="0"/>
    <n v="64"/>
    <x v="9"/>
    <x v="2"/>
    <s v="Maroon"/>
    <x v="1"/>
    <n v="3.7"/>
    <x v="0"/>
    <x v="3"/>
    <x v="0"/>
    <x v="0"/>
    <n v="11"/>
    <x v="4"/>
    <x v="3"/>
  </r>
  <r>
    <n v="919"/>
    <n v="65"/>
    <x v="0"/>
    <x v="6"/>
    <x v="0"/>
    <n v="42"/>
    <x v="17"/>
    <x v="2"/>
    <s v="Orange"/>
    <x v="1"/>
    <n v="4.3"/>
    <x v="0"/>
    <x v="4"/>
    <x v="0"/>
    <x v="0"/>
    <n v="11"/>
    <x v="1"/>
    <x v="0"/>
  </r>
  <r>
    <n v="920"/>
    <n v="41"/>
    <x v="0"/>
    <x v="5"/>
    <x v="0"/>
    <n v="82"/>
    <x v="2"/>
    <x v="0"/>
    <s v="Green"/>
    <x v="0"/>
    <n v="2.6"/>
    <x v="0"/>
    <x v="4"/>
    <x v="0"/>
    <x v="0"/>
    <n v="17"/>
    <x v="5"/>
    <x v="4"/>
  </r>
  <r>
    <n v="921"/>
    <n v="37"/>
    <x v="0"/>
    <x v="22"/>
    <x v="3"/>
    <n v="81"/>
    <x v="10"/>
    <x v="3"/>
    <s v="Gold"/>
    <x v="2"/>
    <n v="4.3"/>
    <x v="0"/>
    <x v="1"/>
    <x v="0"/>
    <x v="0"/>
    <n v="37"/>
    <x v="1"/>
    <x v="1"/>
  </r>
  <r>
    <n v="922"/>
    <n v="70"/>
    <x v="0"/>
    <x v="7"/>
    <x v="2"/>
    <n v="24"/>
    <x v="45"/>
    <x v="0"/>
    <s v="Silver"/>
    <x v="2"/>
    <n v="4.0999999999999996"/>
    <x v="0"/>
    <x v="0"/>
    <x v="0"/>
    <x v="0"/>
    <n v="18"/>
    <x v="3"/>
    <x v="1"/>
  </r>
  <r>
    <n v="923"/>
    <n v="63"/>
    <x v="0"/>
    <x v="4"/>
    <x v="1"/>
    <n v="60"/>
    <x v="42"/>
    <x v="2"/>
    <s v="Cyan"/>
    <x v="3"/>
    <n v="4.2"/>
    <x v="0"/>
    <x v="3"/>
    <x v="0"/>
    <x v="0"/>
    <n v="13"/>
    <x v="2"/>
    <x v="5"/>
  </r>
  <r>
    <n v="924"/>
    <n v="55"/>
    <x v="0"/>
    <x v="5"/>
    <x v="0"/>
    <n v="24"/>
    <x v="10"/>
    <x v="2"/>
    <s v="Silver"/>
    <x v="1"/>
    <n v="4.2"/>
    <x v="0"/>
    <x v="4"/>
    <x v="0"/>
    <x v="0"/>
    <n v="7"/>
    <x v="3"/>
    <x v="1"/>
  </r>
  <r>
    <n v="925"/>
    <n v="52"/>
    <x v="0"/>
    <x v="20"/>
    <x v="0"/>
    <n v="78"/>
    <x v="23"/>
    <x v="3"/>
    <s v="Beige"/>
    <x v="0"/>
    <n v="3.1"/>
    <x v="0"/>
    <x v="3"/>
    <x v="0"/>
    <x v="0"/>
    <n v="37"/>
    <x v="1"/>
    <x v="3"/>
  </r>
  <r>
    <n v="926"/>
    <n v="22"/>
    <x v="0"/>
    <x v="2"/>
    <x v="0"/>
    <n v="88"/>
    <x v="28"/>
    <x v="0"/>
    <s v="Teal"/>
    <x v="0"/>
    <n v="4.9000000000000004"/>
    <x v="0"/>
    <x v="0"/>
    <x v="0"/>
    <x v="0"/>
    <n v="8"/>
    <x v="1"/>
    <x v="5"/>
  </r>
  <r>
    <n v="927"/>
    <n v="54"/>
    <x v="0"/>
    <x v="2"/>
    <x v="0"/>
    <n v="63"/>
    <x v="2"/>
    <x v="3"/>
    <s v="Green"/>
    <x v="1"/>
    <n v="4.4000000000000004"/>
    <x v="0"/>
    <x v="0"/>
    <x v="0"/>
    <x v="0"/>
    <n v="11"/>
    <x v="1"/>
    <x v="4"/>
  </r>
  <r>
    <n v="928"/>
    <n v="28"/>
    <x v="0"/>
    <x v="4"/>
    <x v="1"/>
    <n v="78"/>
    <x v="35"/>
    <x v="0"/>
    <s v="Black"/>
    <x v="2"/>
    <n v="4.4000000000000004"/>
    <x v="0"/>
    <x v="3"/>
    <x v="0"/>
    <x v="0"/>
    <n v="8"/>
    <x v="0"/>
    <x v="4"/>
  </r>
  <r>
    <n v="929"/>
    <n v="67"/>
    <x v="0"/>
    <x v="10"/>
    <x v="0"/>
    <n v="37"/>
    <x v="10"/>
    <x v="3"/>
    <s v="Yellow"/>
    <x v="0"/>
    <n v="3.4"/>
    <x v="0"/>
    <x v="5"/>
    <x v="0"/>
    <x v="0"/>
    <n v="31"/>
    <x v="1"/>
    <x v="6"/>
  </r>
  <r>
    <n v="930"/>
    <n v="59"/>
    <x v="0"/>
    <x v="23"/>
    <x v="1"/>
    <n v="94"/>
    <x v="43"/>
    <x v="2"/>
    <s v="White"/>
    <x v="3"/>
    <n v="4.5"/>
    <x v="0"/>
    <x v="4"/>
    <x v="0"/>
    <x v="0"/>
    <n v="26"/>
    <x v="5"/>
    <x v="0"/>
  </r>
  <r>
    <n v="931"/>
    <n v="26"/>
    <x v="0"/>
    <x v="17"/>
    <x v="0"/>
    <n v="78"/>
    <x v="11"/>
    <x v="0"/>
    <s v="Green"/>
    <x v="3"/>
    <n v="4.5"/>
    <x v="0"/>
    <x v="5"/>
    <x v="0"/>
    <x v="0"/>
    <n v="20"/>
    <x v="2"/>
    <x v="4"/>
  </r>
  <r>
    <n v="932"/>
    <n v="24"/>
    <x v="0"/>
    <x v="7"/>
    <x v="2"/>
    <n v="36"/>
    <x v="43"/>
    <x v="2"/>
    <s v="Silver"/>
    <x v="0"/>
    <n v="4.0999999999999996"/>
    <x v="0"/>
    <x v="3"/>
    <x v="0"/>
    <x v="0"/>
    <n v="24"/>
    <x v="4"/>
    <x v="0"/>
  </r>
  <r>
    <n v="933"/>
    <n v="62"/>
    <x v="0"/>
    <x v="11"/>
    <x v="0"/>
    <n v="24"/>
    <x v="27"/>
    <x v="0"/>
    <s v="Blue"/>
    <x v="0"/>
    <n v="3.2"/>
    <x v="0"/>
    <x v="3"/>
    <x v="0"/>
    <x v="0"/>
    <n v="45"/>
    <x v="5"/>
    <x v="4"/>
  </r>
  <r>
    <n v="934"/>
    <n v="70"/>
    <x v="0"/>
    <x v="4"/>
    <x v="1"/>
    <n v="84"/>
    <x v="24"/>
    <x v="2"/>
    <s v="Magenta"/>
    <x v="1"/>
    <n v="2.7"/>
    <x v="0"/>
    <x v="5"/>
    <x v="0"/>
    <x v="0"/>
    <n v="33"/>
    <x v="5"/>
    <x v="5"/>
  </r>
  <r>
    <n v="935"/>
    <n v="45"/>
    <x v="0"/>
    <x v="2"/>
    <x v="0"/>
    <n v="47"/>
    <x v="4"/>
    <x v="1"/>
    <s v="Yellow"/>
    <x v="1"/>
    <n v="3.7"/>
    <x v="0"/>
    <x v="0"/>
    <x v="0"/>
    <x v="0"/>
    <n v="21"/>
    <x v="4"/>
    <x v="5"/>
  </r>
  <r>
    <n v="936"/>
    <n v="58"/>
    <x v="0"/>
    <x v="15"/>
    <x v="0"/>
    <n v="51"/>
    <x v="31"/>
    <x v="0"/>
    <s v="White"/>
    <x v="3"/>
    <n v="2.6"/>
    <x v="0"/>
    <x v="5"/>
    <x v="0"/>
    <x v="0"/>
    <n v="2"/>
    <x v="4"/>
    <x v="0"/>
  </r>
  <r>
    <n v="937"/>
    <n v="31"/>
    <x v="0"/>
    <x v="9"/>
    <x v="1"/>
    <n v="84"/>
    <x v="1"/>
    <x v="2"/>
    <s v="Pink"/>
    <x v="2"/>
    <n v="2.7"/>
    <x v="0"/>
    <x v="1"/>
    <x v="0"/>
    <x v="0"/>
    <n v="28"/>
    <x v="1"/>
    <x v="1"/>
  </r>
  <r>
    <n v="938"/>
    <n v="32"/>
    <x v="0"/>
    <x v="6"/>
    <x v="0"/>
    <n v="24"/>
    <x v="44"/>
    <x v="2"/>
    <s v="Magenta"/>
    <x v="2"/>
    <n v="2.7"/>
    <x v="0"/>
    <x v="0"/>
    <x v="0"/>
    <x v="0"/>
    <n v="18"/>
    <x v="0"/>
    <x v="3"/>
  </r>
  <r>
    <n v="939"/>
    <n v="36"/>
    <x v="0"/>
    <x v="0"/>
    <x v="0"/>
    <n v="97"/>
    <x v="48"/>
    <x v="1"/>
    <s v="Teal"/>
    <x v="3"/>
    <n v="4.8"/>
    <x v="0"/>
    <x v="1"/>
    <x v="0"/>
    <x v="0"/>
    <n v="21"/>
    <x v="5"/>
    <x v="0"/>
  </r>
  <r>
    <n v="940"/>
    <n v="25"/>
    <x v="0"/>
    <x v="17"/>
    <x v="0"/>
    <n v="89"/>
    <x v="14"/>
    <x v="0"/>
    <s v="Indigo"/>
    <x v="0"/>
    <n v="4.8"/>
    <x v="0"/>
    <x v="2"/>
    <x v="0"/>
    <x v="0"/>
    <n v="24"/>
    <x v="2"/>
    <x v="5"/>
  </r>
  <r>
    <n v="941"/>
    <n v="48"/>
    <x v="0"/>
    <x v="22"/>
    <x v="3"/>
    <n v="44"/>
    <x v="24"/>
    <x v="1"/>
    <s v="Maroon"/>
    <x v="1"/>
    <n v="2.6"/>
    <x v="0"/>
    <x v="5"/>
    <x v="0"/>
    <x v="0"/>
    <n v="15"/>
    <x v="3"/>
    <x v="6"/>
  </r>
  <r>
    <n v="942"/>
    <n v="39"/>
    <x v="0"/>
    <x v="8"/>
    <x v="3"/>
    <n v="35"/>
    <x v="26"/>
    <x v="0"/>
    <s v="Black"/>
    <x v="0"/>
    <n v="4.5"/>
    <x v="0"/>
    <x v="4"/>
    <x v="0"/>
    <x v="0"/>
    <n v="38"/>
    <x v="3"/>
    <x v="6"/>
  </r>
  <r>
    <n v="943"/>
    <n v="26"/>
    <x v="0"/>
    <x v="10"/>
    <x v="0"/>
    <n v="91"/>
    <x v="28"/>
    <x v="2"/>
    <s v="Cyan"/>
    <x v="0"/>
    <n v="3.2"/>
    <x v="0"/>
    <x v="0"/>
    <x v="0"/>
    <x v="0"/>
    <n v="38"/>
    <x v="3"/>
    <x v="4"/>
  </r>
  <r>
    <n v="944"/>
    <n v="32"/>
    <x v="0"/>
    <x v="19"/>
    <x v="3"/>
    <n v="63"/>
    <x v="19"/>
    <x v="0"/>
    <s v="Cyan"/>
    <x v="0"/>
    <n v="3.8"/>
    <x v="0"/>
    <x v="2"/>
    <x v="0"/>
    <x v="0"/>
    <n v="13"/>
    <x v="0"/>
    <x v="0"/>
  </r>
  <r>
    <n v="945"/>
    <n v="54"/>
    <x v="0"/>
    <x v="22"/>
    <x v="3"/>
    <n v="97"/>
    <x v="27"/>
    <x v="1"/>
    <s v="Gray"/>
    <x v="1"/>
    <n v="4.8"/>
    <x v="0"/>
    <x v="0"/>
    <x v="0"/>
    <x v="0"/>
    <n v="39"/>
    <x v="1"/>
    <x v="4"/>
  </r>
  <r>
    <n v="946"/>
    <n v="38"/>
    <x v="0"/>
    <x v="23"/>
    <x v="1"/>
    <n v="38"/>
    <x v="46"/>
    <x v="2"/>
    <s v="Violet"/>
    <x v="2"/>
    <n v="4.0999999999999996"/>
    <x v="0"/>
    <x v="5"/>
    <x v="0"/>
    <x v="0"/>
    <n v="8"/>
    <x v="0"/>
    <x v="6"/>
  </r>
  <r>
    <n v="947"/>
    <n v="46"/>
    <x v="0"/>
    <x v="7"/>
    <x v="2"/>
    <n v="24"/>
    <x v="38"/>
    <x v="3"/>
    <s v="Blue"/>
    <x v="1"/>
    <n v="2.8"/>
    <x v="0"/>
    <x v="2"/>
    <x v="0"/>
    <x v="0"/>
    <n v="4"/>
    <x v="3"/>
    <x v="3"/>
  </r>
  <r>
    <n v="948"/>
    <n v="57"/>
    <x v="0"/>
    <x v="0"/>
    <x v="0"/>
    <n v="32"/>
    <x v="27"/>
    <x v="2"/>
    <s v="Charcoal"/>
    <x v="0"/>
    <n v="3.9"/>
    <x v="0"/>
    <x v="5"/>
    <x v="0"/>
    <x v="0"/>
    <n v="6"/>
    <x v="1"/>
    <x v="6"/>
  </r>
  <r>
    <n v="949"/>
    <n v="49"/>
    <x v="0"/>
    <x v="19"/>
    <x v="3"/>
    <n v="90"/>
    <x v="15"/>
    <x v="0"/>
    <s v="Olive"/>
    <x v="2"/>
    <n v="4.9000000000000004"/>
    <x v="0"/>
    <x v="0"/>
    <x v="0"/>
    <x v="0"/>
    <n v="11"/>
    <x v="0"/>
    <x v="6"/>
  </r>
  <r>
    <n v="950"/>
    <n v="33"/>
    <x v="0"/>
    <x v="2"/>
    <x v="0"/>
    <n v="36"/>
    <x v="6"/>
    <x v="2"/>
    <s v="Olive"/>
    <x v="2"/>
    <n v="3.4"/>
    <x v="0"/>
    <x v="3"/>
    <x v="0"/>
    <x v="0"/>
    <n v="49"/>
    <x v="0"/>
    <x v="5"/>
  </r>
  <r>
    <n v="951"/>
    <n v="54"/>
    <x v="0"/>
    <x v="21"/>
    <x v="3"/>
    <n v="37"/>
    <x v="35"/>
    <x v="3"/>
    <s v="Turquoise"/>
    <x v="0"/>
    <n v="4.0999999999999996"/>
    <x v="0"/>
    <x v="1"/>
    <x v="0"/>
    <x v="0"/>
    <n v="30"/>
    <x v="3"/>
    <x v="3"/>
  </r>
  <r>
    <n v="952"/>
    <n v="47"/>
    <x v="0"/>
    <x v="10"/>
    <x v="0"/>
    <n v="51"/>
    <x v="29"/>
    <x v="2"/>
    <s v="Cyan"/>
    <x v="2"/>
    <n v="2.9"/>
    <x v="0"/>
    <x v="0"/>
    <x v="0"/>
    <x v="0"/>
    <n v="34"/>
    <x v="4"/>
    <x v="5"/>
  </r>
  <r>
    <n v="953"/>
    <n v="36"/>
    <x v="0"/>
    <x v="19"/>
    <x v="3"/>
    <n v="71"/>
    <x v="37"/>
    <x v="1"/>
    <s v="Red"/>
    <x v="3"/>
    <n v="3.1"/>
    <x v="0"/>
    <x v="4"/>
    <x v="0"/>
    <x v="0"/>
    <n v="28"/>
    <x v="3"/>
    <x v="5"/>
  </r>
  <r>
    <n v="954"/>
    <n v="68"/>
    <x v="0"/>
    <x v="12"/>
    <x v="3"/>
    <n v="50"/>
    <x v="40"/>
    <x v="1"/>
    <s v="Cyan"/>
    <x v="1"/>
    <n v="3.6"/>
    <x v="0"/>
    <x v="4"/>
    <x v="0"/>
    <x v="0"/>
    <n v="36"/>
    <x v="0"/>
    <x v="3"/>
  </r>
  <r>
    <n v="955"/>
    <n v="60"/>
    <x v="0"/>
    <x v="19"/>
    <x v="3"/>
    <n v="74"/>
    <x v="7"/>
    <x v="1"/>
    <s v="Turquoise"/>
    <x v="3"/>
    <n v="3.5"/>
    <x v="0"/>
    <x v="3"/>
    <x v="0"/>
    <x v="0"/>
    <n v="18"/>
    <x v="2"/>
    <x v="6"/>
  </r>
  <r>
    <n v="956"/>
    <n v="55"/>
    <x v="0"/>
    <x v="10"/>
    <x v="0"/>
    <n v="75"/>
    <x v="16"/>
    <x v="0"/>
    <s v="Lavender"/>
    <x v="2"/>
    <n v="3.4"/>
    <x v="0"/>
    <x v="1"/>
    <x v="0"/>
    <x v="0"/>
    <n v="4"/>
    <x v="3"/>
    <x v="5"/>
  </r>
  <r>
    <n v="957"/>
    <n v="29"/>
    <x v="0"/>
    <x v="5"/>
    <x v="0"/>
    <n v="99"/>
    <x v="16"/>
    <x v="3"/>
    <s v="Cyan"/>
    <x v="1"/>
    <n v="2.9"/>
    <x v="0"/>
    <x v="4"/>
    <x v="0"/>
    <x v="0"/>
    <n v="42"/>
    <x v="5"/>
    <x v="3"/>
  </r>
  <r>
    <n v="958"/>
    <n v="38"/>
    <x v="0"/>
    <x v="18"/>
    <x v="3"/>
    <n v="23"/>
    <x v="27"/>
    <x v="3"/>
    <s v="Violet"/>
    <x v="1"/>
    <n v="4.7"/>
    <x v="0"/>
    <x v="5"/>
    <x v="0"/>
    <x v="0"/>
    <n v="11"/>
    <x v="1"/>
    <x v="3"/>
  </r>
  <r>
    <n v="959"/>
    <n v="70"/>
    <x v="0"/>
    <x v="4"/>
    <x v="1"/>
    <n v="53"/>
    <x v="47"/>
    <x v="3"/>
    <s v="Beige"/>
    <x v="0"/>
    <n v="4.4000000000000004"/>
    <x v="0"/>
    <x v="1"/>
    <x v="0"/>
    <x v="0"/>
    <n v="31"/>
    <x v="2"/>
    <x v="4"/>
  </r>
  <r>
    <n v="960"/>
    <n v="36"/>
    <x v="0"/>
    <x v="11"/>
    <x v="0"/>
    <n v="99"/>
    <x v="22"/>
    <x v="2"/>
    <s v="Cyan"/>
    <x v="1"/>
    <n v="2.6"/>
    <x v="0"/>
    <x v="3"/>
    <x v="0"/>
    <x v="0"/>
    <n v="12"/>
    <x v="1"/>
    <x v="0"/>
  </r>
  <r>
    <n v="961"/>
    <n v="18"/>
    <x v="0"/>
    <x v="16"/>
    <x v="3"/>
    <n v="48"/>
    <x v="7"/>
    <x v="3"/>
    <s v="Indigo"/>
    <x v="1"/>
    <n v="4.4000000000000004"/>
    <x v="0"/>
    <x v="3"/>
    <x v="0"/>
    <x v="0"/>
    <n v="20"/>
    <x v="0"/>
    <x v="3"/>
  </r>
  <r>
    <n v="962"/>
    <n v="62"/>
    <x v="0"/>
    <x v="23"/>
    <x v="1"/>
    <n v="72"/>
    <x v="38"/>
    <x v="0"/>
    <s v="Olive"/>
    <x v="3"/>
    <n v="3.7"/>
    <x v="0"/>
    <x v="2"/>
    <x v="0"/>
    <x v="0"/>
    <n v="37"/>
    <x v="5"/>
    <x v="3"/>
  </r>
  <r>
    <n v="963"/>
    <n v="29"/>
    <x v="0"/>
    <x v="12"/>
    <x v="3"/>
    <n v="64"/>
    <x v="49"/>
    <x v="0"/>
    <s v="Green"/>
    <x v="1"/>
    <n v="4.4000000000000004"/>
    <x v="0"/>
    <x v="3"/>
    <x v="0"/>
    <x v="0"/>
    <n v="26"/>
    <x v="5"/>
    <x v="0"/>
  </r>
  <r>
    <n v="964"/>
    <n v="21"/>
    <x v="0"/>
    <x v="23"/>
    <x v="1"/>
    <n v="63"/>
    <x v="36"/>
    <x v="0"/>
    <s v="Green"/>
    <x v="1"/>
    <n v="2.5"/>
    <x v="0"/>
    <x v="4"/>
    <x v="0"/>
    <x v="0"/>
    <n v="14"/>
    <x v="2"/>
    <x v="1"/>
  </r>
  <r>
    <n v="965"/>
    <n v="42"/>
    <x v="0"/>
    <x v="3"/>
    <x v="1"/>
    <n v="51"/>
    <x v="28"/>
    <x v="2"/>
    <s v="Beige"/>
    <x v="1"/>
    <n v="2.6"/>
    <x v="0"/>
    <x v="2"/>
    <x v="0"/>
    <x v="0"/>
    <n v="12"/>
    <x v="0"/>
    <x v="4"/>
  </r>
  <r>
    <n v="966"/>
    <n v="43"/>
    <x v="0"/>
    <x v="23"/>
    <x v="1"/>
    <n v="55"/>
    <x v="12"/>
    <x v="0"/>
    <s v="Black"/>
    <x v="1"/>
    <n v="5"/>
    <x v="0"/>
    <x v="5"/>
    <x v="0"/>
    <x v="0"/>
    <n v="10"/>
    <x v="2"/>
    <x v="2"/>
  </r>
  <r>
    <n v="967"/>
    <n v="58"/>
    <x v="0"/>
    <x v="10"/>
    <x v="0"/>
    <n v="55"/>
    <x v="0"/>
    <x v="2"/>
    <s v="Brown"/>
    <x v="1"/>
    <n v="4.9000000000000004"/>
    <x v="0"/>
    <x v="0"/>
    <x v="0"/>
    <x v="0"/>
    <n v="19"/>
    <x v="1"/>
    <x v="2"/>
  </r>
  <r>
    <n v="968"/>
    <n v="27"/>
    <x v="0"/>
    <x v="15"/>
    <x v="0"/>
    <n v="26"/>
    <x v="42"/>
    <x v="1"/>
    <s v="Silver"/>
    <x v="2"/>
    <n v="3.7"/>
    <x v="0"/>
    <x v="5"/>
    <x v="0"/>
    <x v="0"/>
    <n v="4"/>
    <x v="1"/>
    <x v="1"/>
  </r>
  <r>
    <n v="969"/>
    <n v="57"/>
    <x v="0"/>
    <x v="6"/>
    <x v="0"/>
    <n v="67"/>
    <x v="17"/>
    <x v="0"/>
    <s v="Gray"/>
    <x v="2"/>
    <n v="3.1"/>
    <x v="0"/>
    <x v="2"/>
    <x v="0"/>
    <x v="0"/>
    <n v="48"/>
    <x v="4"/>
    <x v="3"/>
  </r>
  <r>
    <n v="970"/>
    <n v="40"/>
    <x v="0"/>
    <x v="7"/>
    <x v="2"/>
    <n v="31"/>
    <x v="18"/>
    <x v="1"/>
    <s v="Pink"/>
    <x v="3"/>
    <n v="3.2"/>
    <x v="0"/>
    <x v="0"/>
    <x v="0"/>
    <x v="0"/>
    <n v="37"/>
    <x v="3"/>
    <x v="5"/>
  </r>
  <r>
    <n v="971"/>
    <n v="45"/>
    <x v="0"/>
    <x v="2"/>
    <x v="0"/>
    <n v="66"/>
    <x v="18"/>
    <x v="1"/>
    <s v="Maroon"/>
    <x v="0"/>
    <n v="4.4000000000000004"/>
    <x v="0"/>
    <x v="1"/>
    <x v="0"/>
    <x v="0"/>
    <n v="4"/>
    <x v="1"/>
    <x v="5"/>
  </r>
  <r>
    <n v="972"/>
    <n v="47"/>
    <x v="0"/>
    <x v="12"/>
    <x v="3"/>
    <n v="67"/>
    <x v="27"/>
    <x v="2"/>
    <s v="Cyan"/>
    <x v="2"/>
    <n v="4.3"/>
    <x v="0"/>
    <x v="2"/>
    <x v="0"/>
    <x v="0"/>
    <n v="15"/>
    <x v="2"/>
    <x v="1"/>
  </r>
  <r>
    <n v="973"/>
    <n v="61"/>
    <x v="0"/>
    <x v="4"/>
    <x v="1"/>
    <n v="61"/>
    <x v="24"/>
    <x v="0"/>
    <s v="Gold"/>
    <x v="0"/>
    <n v="3"/>
    <x v="0"/>
    <x v="3"/>
    <x v="0"/>
    <x v="0"/>
    <n v="33"/>
    <x v="2"/>
    <x v="1"/>
  </r>
  <r>
    <n v="974"/>
    <n v="60"/>
    <x v="0"/>
    <x v="14"/>
    <x v="2"/>
    <n v="75"/>
    <x v="24"/>
    <x v="2"/>
    <s v="Teal"/>
    <x v="3"/>
    <n v="3.5"/>
    <x v="0"/>
    <x v="4"/>
    <x v="0"/>
    <x v="0"/>
    <n v="30"/>
    <x v="4"/>
    <x v="3"/>
  </r>
  <r>
    <n v="975"/>
    <n v="69"/>
    <x v="0"/>
    <x v="11"/>
    <x v="0"/>
    <n v="90"/>
    <x v="17"/>
    <x v="2"/>
    <s v="Beige"/>
    <x v="1"/>
    <n v="3.6"/>
    <x v="0"/>
    <x v="4"/>
    <x v="0"/>
    <x v="0"/>
    <n v="23"/>
    <x v="4"/>
    <x v="5"/>
  </r>
  <r>
    <n v="976"/>
    <n v="58"/>
    <x v="0"/>
    <x v="1"/>
    <x v="0"/>
    <n v="40"/>
    <x v="47"/>
    <x v="2"/>
    <s v="Olive"/>
    <x v="2"/>
    <n v="3.8"/>
    <x v="0"/>
    <x v="4"/>
    <x v="0"/>
    <x v="0"/>
    <n v="2"/>
    <x v="4"/>
    <x v="1"/>
  </r>
  <r>
    <n v="977"/>
    <n v="34"/>
    <x v="0"/>
    <x v="17"/>
    <x v="0"/>
    <n v="90"/>
    <x v="20"/>
    <x v="2"/>
    <s v="Gray"/>
    <x v="3"/>
    <n v="3.6"/>
    <x v="0"/>
    <x v="0"/>
    <x v="0"/>
    <x v="0"/>
    <n v="50"/>
    <x v="2"/>
    <x v="6"/>
  </r>
  <r>
    <n v="978"/>
    <n v="20"/>
    <x v="0"/>
    <x v="22"/>
    <x v="3"/>
    <n v="20"/>
    <x v="47"/>
    <x v="2"/>
    <s v="Black"/>
    <x v="1"/>
    <n v="4.5999999999999996"/>
    <x v="0"/>
    <x v="0"/>
    <x v="0"/>
    <x v="0"/>
    <n v="34"/>
    <x v="1"/>
    <x v="4"/>
  </r>
  <r>
    <n v="979"/>
    <n v="56"/>
    <x v="0"/>
    <x v="24"/>
    <x v="3"/>
    <n v="40"/>
    <x v="24"/>
    <x v="2"/>
    <s v="Turquoise"/>
    <x v="2"/>
    <n v="2.5"/>
    <x v="0"/>
    <x v="3"/>
    <x v="0"/>
    <x v="0"/>
    <n v="33"/>
    <x v="2"/>
    <x v="1"/>
  </r>
  <r>
    <n v="980"/>
    <n v="64"/>
    <x v="0"/>
    <x v="19"/>
    <x v="3"/>
    <n v="33"/>
    <x v="13"/>
    <x v="1"/>
    <s v="Brown"/>
    <x v="3"/>
    <n v="3.5"/>
    <x v="0"/>
    <x v="5"/>
    <x v="0"/>
    <x v="0"/>
    <n v="34"/>
    <x v="5"/>
    <x v="5"/>
  </r>
  <r>
    <n v="981"/>
    <n v="56"/>
    <x v="0"/>
    <x v="23"/>
    <x v="1"/>
    <n v="98"/>
    <x v="33"/>
    <x v="1"/>
    <s v="Magenta"/>
    <x v="1"/>
    <n v="4"/>
    <x v="0"/>
    <x v="1"/>
    <x v="0"/>
    <x v="0"/>
    <n v="39"/>
    <x v="3"/>
    <x v="6"/>
  </r>
  <r>
    <n v="982"/>
    <n v="27"/>
    <x v="0"/>
    <x v="22"/>
    <x v="3"/>
    <n v="42"/>
    <x v="33"/>
    <x v="2"/>
    <s v="Silver"/>
    <x v="1"/>
    <n v="3.5"/>
    <x v="0"/>
    <x v="2"/>
    <x v="0"/>
    <x v="0"/>
    <n v="47"/>
    <x v="2"/>
    <x v="3"/>
  </r>
  <r>
    <n v="983"/>
    <n v="35"/>
    <x v="0"/>
    <x v="7"/>
    <x v="2"/>
    <n v="62"/>
    <x v="21"/>
    <x v="1"/>
    <s v="Red"/>
    <x v="2"/>
    <n v="3.2"/>
    <x v="0"/>
    <x v="3"/>
    <x v="0"/>
    <x v="0"/>
    <n v="37"/>
    <x v="3"/>
    <x v="5"/>
  </r>
  <r>
    <n v="984"/>
    <n v="24"/>
    <x v="0"/>
    <x v="19"/>
    <x v="3"/>
    <n v="45"/>
    <x v="35"/>
    <x v="0"/>
    <s v="Indigo"/>
    <x v="0"/>
    <n v="3.5"/>
    <x v="0"/>
    <x v="1"/>
    <x v="0"/>
    <x v="0"/>
    <n v="40"/>
    <x v="0"/>
    <x v="4"/>
  </r>
  <r>
    <n v="985"/>
    <n v="26"/>
    <x v="0"/>
    <x v="9"/>
    <x v="1"/>
    <n v="78"/>
    <x v="40"/>
    <x v="2"/>
    <s v="Green"/>
    <x v="2"/>
    <n v="3.4"/>
    <x v="0"/>
    <x v="1"/>
    <x v="0"/>
    <x v="0"/>
    <n v="8"/>
    <x v="2"/>
    <x v="4"/>
  </r>
  <r>
    <n v="986"/>
    <n v="32"/>
    <x v="0"/>
    <x v="8"/>
    <x v="3"/>
    <n v="80"/>
    <x v="8"/>
    <x v="2"/>
    <s v="Gray"/>
    <x v="3"/>
    <n v="5"/>
    <x v="0"/>
    <x v="0"/>
    <x v="0"/>
    <x v="0"/>
    <n v="12"/>
    <x v="4"/>
    <x v="2"/>
  </r>
  <r>
    <n v="987"/>
    <n v="54"/>
    <x v="0"/>
    <x v="18"/>
    <x v="3"/>
    <n v="96"/>
    <x v="39"/>
    <x v="1"/>
    <s v="Peach"/>
    <x v="1"/>
    <n v="4.5"/>
    <x v="0"/>
    <x v="5"/>
    <x v="0"/>
    <x v="0"/>
    <n v="36"/>
    <x v="4"/>
    <x v="5"/>
  </r>
  <r>
    <n v="988"/>
    <n v="62"/>
    <x v="0"/>
    <x v="8"/>
    <x v="3"/>
    <n v="47"/>
    <x v="8"/>
    <x v="2"/>
    <s v="Charcoal"/>
    <x v="2"/>
    <n v="2.8"/>
    <x v="0"/>
    <x v="0"/>
    <x v="0"/>
    <x v="0"/>
    <n v="48"/>
    <x v="3"/>
    <x v="1"/>
  </r>
  <r>
    <n v="989"/>
    <n v="50"/>
    <x v="0"/>
    <x v="13"/>
    <x v="0"/>
    <n v="84"/>
    <x v="31"/>
    <x v="2"/>
    <s v="Orange"/>
    <x v="0"/>
    <n v="4.9000000000000004"/>
    <x v="0"/>
    <x v="4"/>
    <x v="0"/>
    <x v="0"/>
    <n v="47"/>
    <x v="3"/>
    <x v="0"/>
  </r>
  <r>
    <n v="990"/>
    <n v="70"/>
    <x v="0"/>
    <x v="9"/>
    <x v="1"/>
    <n v="31"/>
    <x v="21"/>
    <x v="2"/>
    <s v="Beige"/>
    <x v="1"/>
    <n v="3.1"/>
    <x v="0"/>
    <x v="5"/>
    <x v="0"/>
    <x v="0"/>
    <n v="2"/>
    <x v="4"/>
    <x v="5"/>
  </r>
  <r>
    <n v="991"/>
    <n v="48"/>
    <x v="0"/>
    <x v="12"/>
    <x v="3"/>
    <n v="63"/>
    <x v="47"/>
    <x v="1"/>
    <s v="Yellow"/>
    <x v="1"/>
    <n v="4.8"/>
    <x v="0"/>
    <x v="5"/>
    <x v="0"/>
    <x v="0"/>
    <n v="24"/>
    <x v="1"/>
    <x v="1"/>
  </r>
  <r>
    <n v="992"/>
    <n v="20"/>
    <x v="0"/>
    <x v="6"/>
    <x v="0"/>
    <n v="97"/>
    <x v="48"/>
    <x v="3"/>
    <s v="White"/>
    <x v="1"/>
    <n v="2.7"/>
    <x v="0"/>
    <x v="3"/>
    <x v="0"/>
    <x v="0"/>
    <n v="40"/>
    <x v="4"/>
    <x v="4"/>
  </r>
  <r>
    <n v="993"/>
    <n v="46"/>
    <x v="0"/>
    <x v="14"/>
    <x v="2"/>
    <n v="99"/>
    <x v="7"/>
    <x v="2"/>
    <s v="Gray"/>
    <x v="0"/>
    <n v="4.5999999999999996"/>
    <x v="0"/>
    <x v="0"/>
    <x v="0"/>
    <x v="0"/>
    <n v="50"/>
    <x v="5"/>
    <x v="1"/>
  </r>
  <r>
    <n v="994"/>
    <n v="51"/>
    <x v="0"/>
    <x v="3"/>
    <x v="1"/>
    <n v="90"/>
    <x v="44"/>
    <x v="2"/>
    <s v="Peach"/>
    <x v="0"/>
    <n v="4.4000000000000004"/>
    <x v="0"/>
    <x v="5"/>
    <x v="0"/>
    <x v="0"/>
    <n v="25"/>
    <x v="1"/>
    <x v="1"/>
  </r>
  <r>
    <n v="995"/>
    <n v="53"/>
    <x v="0"/>
    <x v="9"/>
    <x v="1"/>
    <n v="68"/>
    <x v="14"/>
    <x v="0"/>
    <s v="Violet"/>
    <x v="3"/>
    <n v="3.2"/>
    <x v="0"/>
    <x v="0"/>
    <x v="0"/>
    <x v="0"/>
    <n v="20"/>
    <x v="5"/>
    <x v="5"/>
  </r>
  <r>
    <n v="996"/>
    <n v="44"/>
    <x v="0"/>
    <x v="16"/>
    <x v="3"/>
    <n v="80"/>
    <x v="37"/>
    <x v="2"/>
    <s v="Magenta"/>
    <x v="1"/>
    <n v="3"/>
    <x v="0"/>
    <x v="4"/>
    <x v="0"/>
    <x v="0"/>
    <n v="10"/>
    <x v="0"/>
    <x v="1"/>
  </r>
  <r>
    <n v="997"/>
    <n v="29"/>
    <x v="0"/>
    <x v="3"/>
    <x v="1"/>
    <n v="91"/>
    <x v="12"/>
    <x v="0"/>
    <s v="Maroon"/>
    <x v="2"/>
    <n v="4.9000000000000004"/>
    <x v="0"/>
    <x v="3"/>
    <x v="0"/>
    <x v="0"/>
    <n v="32"/>
    <x v="4"/>
    <x v="3"/>
  </r>
  <r>
    <n v="998"/>
    <n v="64"/>
    <x v="0"/>
    <x v="13"/>
    <x v="0"/>
    <n v="30"/>
    <x v="0"/>
    <x v="2"/>
    <s v="Cyan"/>
    <x v="1"/>
    <n v="3.6"/>
    <x v="0"/>
    <x v="0"/>
    <x v="0"/>
    <x v="0"/>
    <n v="31"/>
    <x v="1"/>
    <x v="0"/>
  </r>
  <r>
    <n v="999"/>
    <n v="51"/>
    <x v="0"/>
    <x v="9"/>
    <x v="1"/>
    <n v="90"/>
    <x v="39"/>
    <x v="2"/>
    <s v="White"/>
    <x v="1"/>
    <n v="3.8"/>
    <x v="0"/>
    <x v="2"/>
    <x v="0"/>
    <x v="0"/>
    <n v="48"/>
    <x v="4"/>
    <x v="4"/>
  </r>
  <r>
    <n v="1000"/>
    <n v="50"/>
    <x v="0"/>
    <x v="20"/>
    <x v="0"/>
    <n v="28"/>
    <x v="35"/>
    <x v="0"/>
    <s v="Brown"/>
    <x v="1"/>
    <n v="2.9"/>
    <x v="0"/>
    <x v="3"/>
    <x v="0"/>
    <x v="0"/>
    <n v="23"/>
    <x v="5"/>
    <x v="5"/>
  </r>
  <r>
    <n v="1001"/>
    <n v="43"/>
    <x v="0"/>
    <x v="20"/>
    <x v="0"/>
    <n v="46"/>
    <x v="42"/>
    <x v="2"/>
    <s v="Red"/>
    <x v="0"/>
    <n v="3.9"/>
    <x v="0"/>
    <x v="0"/>
    <x v="0"/>
    <x v="0"/>
    <n v="1"/>
    <x v="4"/>
    <x v="4"/>
  </r>
  <r>
    <n v="1002"/>
    <n v="61"/>
    <x v="0"/>
    <x v="10"/>
    <x v="0"/>
    <n v="60"/>
    <x v="47"/>
    <x v="2"/>
    <s v="Orange"/>
    <x v="3"/>
    <n v="3.6"/>
    <x v="0"/>
    <x v="3"/>
    <x v="0"/>
    <x v="0"/>
    <n v="4"/>
    <x v="5"/>
    <x v="0"/>
  </r>
  <r>
    <n v="1003"/>
    <n v="55"/>
    <x v="0"/>
    <x v="9"/>
    <x v="1"/>
    <n v="59"/>
    <x v="25"/>
    <x v="2"/>
    <s v="White"/>
    <x v="1"/>
    <n v="3.5"/>
    <x v="0"/>
    <x v="5"/>
    <x v="0"/>
    <x v="0"/>
    <n v="3"/>
    <x v="4"/>
    <x v="4"/>
  </r>
  <r>
    <n v="1004"/>
    <n v="56"/>
    <x v="0"/>
    <x v="19"/>
    <x v="3"/>
    <n v="68"/>
    <x v="31"/>
    <x v="2"/>
    <s v="Green"/>
    <x v="3"/>
    <n v="4"/>
    <x v="0"/>
    <x v="5"/>
    <x v="0"/>
    <x v="0"/>
    <n v="3"/>
    <x v="1"/>
    <x v="4"/>
  </r>
  <r>
    <n v="1005"/>
    <n v="33"/>
    <x v="0"/>
    <x v="21"/>
    <x v="3"/>
    <n v="79"/>
    <x v="30"/>
    <x v="2"/>
    <s v="Black"/>
    <x v="2"/>
    <n v="4.8"/>
    <x v="0"/>
    <x v="4"/>
    <x v="0"/>
    <x v="0"/>
    <n v="44"/>
    <x v="1"/>
    <x v="2"/>
  </r>
  <r>
    <n v="1006"/>
    <n v="43"/>
    <x v="0"/>
    <x v="21"/>
    <x v="3"/>
    <n v="94"/>
    <x v="14"/>
    <x v="2"/>
    <s v="Gold"/>
    <x v="0"/>
    <n v="3.9"/>
    <x v="0"/>
    <x v="5"/>
    <x v="0"/>
    <x v="0"/>
    <n v="5"/>
    <x v="5"/>
    <x v="4"/>
  </r>
  <r>
    <n v="1007"/>
    <n v="21"/>
    <x v="0"/>
    <x v="13"/>
    <x v="0"/>
    <n v="83"/>
    <x v="49"/>
    <x v="1"/>
    <s v="Lavender"/>
    <x v="2"/>
    <n v="4.5"/>
    <x v="0"/>
    <x v="2"/>
    <x v="0"/>
    <x v="0"/>
    <n v="50"/>
    <x v="0"/>
    <x v="3"/>
  </r>
  <r>
    <n v="1008"/>
    <n v="58"/>
    <x v="0"/>
    <x v="24"/>
    <x v="3"/>
    <n v="62"/>
    <x v="42"/>
    <x v="3"/>
    <s v="Turquoise"/>
    <x v="1"/>
    <n v="4.8"/>
    <x v="0"/>
    <x v="3"/>
    <x v="0"/>
    <x v="0"/>
    <n v="2"/>
    <x v="2"/>
    <x v="2"/>
  </r>
  <r>
    <n v="1009"/>
    <n v="41"/>
    <x v="0"/>
    <x v="18"/>
    <x v="3"/>
    <n v="85"/>
    <x v="35"/>
    <x v="2"/>
    <s v="Pink"/>
    <x v="1"/>
    <n v="2.6"/>
    <x v="0"/>
    <x v="5"/>
    <x v="0"/>
    <x v="0"/>
    <n v="29"/>
    <x v="3"/>
    <x v="2"/>
  </r>
  <r>
    <n v="1010"/>
    <n v="39"/>
    <x v="0"/>
    <x v="15"/>
    <x v="0"/>
    <n v="30"/>
    <x v="7"/>
    <x v="2"/>
    <s v="Silver"/>
    <x v="2"/>
    <n v="3.1"/>
    <x v="0"/>
    <x v="0"/>
    <x v="0"/>
    <x v="0"/>
    <n v="11"/>
    <x v="0"/>
    <x v="2"/>
  </r>
  <r>
    <n v="1011"/>
    <n v="54"/>
    <x v="0"/>
    <x v="2"/>
    <x v="0"/>
    <n v="24"/>
    <x v="45"/>
    <x v="3"/>
    <s v="Gray"/>
    <x v="1"/>
    <n v="4.7"/>
    <x v="0"/>
    <x v="4"/>
    <x v="0"/>
    <x v="0"/>
    <n v="37"/>
    <x v="2"/>
    <x v="0"/>
  </r>
  <r>
    <n v="1012"/>
    <n v="43"/>
    <x v="0"/>
    <x v="21"/>
    <x v="3"/>
    <n v="25"/>
    <x v="6"/>
    <x v="0"/>
    <s v="Indigo"/>
    <x v="1"/>
    <n v="2.9"/>
    <x v="0"/>
    <x v="2"/>
    <x v="0"/>
    <x v="0"/>
    <n v="32"/>
    <x v="5"/>
    <x v="0"/>
  </r>
  <r>
    <n v="1013"/>
    <n v="28"/>
    <x v="0"/>
    <x v="3"/>
    <x v="1"/>
    <n v="37"/>
    <x v="35"/>
    <x v="0"/>
    <s v="Teal"/>
    <x v="2"/>
    <n v="3.8"/>
    <x v="0"/>
    <x v="0"/>
    <x v="0"/>
    <x v="0"/>
    <n v="27"/>
    <x v="2"/>
    <x v="2"/>
  </r>
  <r>
    <n v="1014"/>
    <n v="59"/>
    <x v="0"/>
    <x v="22"/>
    <x v="3"/>
    <n v="69"/>
    <x v="36"/>
    <x v="3"/>
    <s v="Green"/>
    <x v="2"/>
    <n v="3.8"/>
    <x v="0"/>
    <x v="4"/>
    <x v="0"/>
    <x v="0"/>
    <n v="31"/>
    <x v="0"/>
    <x v="4"/>
  </r>
  <r>
    <n v="1015"/>
    <n v="28"/>
    <x v="0"/>
    <x v="9"/>
    <x v="1"/>
    <n v="97"/>
    <x v="31"/>
    <x v="2"/>
    <s v="Violet"/>
    <x v="2"/>
    <n v="3"/>
    <x v="0"/>
    <x v="3"/>
    <x v="0"/>
    <x v="0"/>
    <n v="36"/>
    <x v="5"/>
    <x v="0"/>
  </r>
  <r>
    <n v="1016"/>
    <n v="68"/>
    <x v="0"/>
    <x v="24"/>
    <x v="3"/>
    <n v="24"/>
    <x v="17"/>
    <x v="2"/>
    <s v="Cyan"/>
    <x v="2"/>
    <n v="4.0999999999999996"/>
    <x v="0"/>
    <x v="3"/>
    <x v="0"/>
    <x v="0"/>
    <n v="34"/>
    <x v="1"/>
    <x v="1"/>
  </r>
  <r>
    <n v="1017"/>
    <n v="20"/>
    <x v="0"/>
    <x v="22"/>
    <x v="3"/>
    <n v="30"/>
    <x v="37"/>
    <x v="3"/>
    <s v="Blue"/>
    <x v="2"/>
    <n v="3.4"/>
    <x v="0"/>
    <x v="0"/>
    <x v="0"/>
    <x v="0"/>
    <n v="15"/>
    <x v="4"/>
    <x v="6"/>
  </r>
  <r>
    <n v="1018"/>
    <n v="21"/>
    <x v="0"/>
    <x v="14"/>
    <x v="2"/>
    <n v="53"/>
    <x v="19"/>
    <x v="0"/>
    <s v="Orange"/>
    <x v="3"/>
    <n v="2.5"/>
    <x v="0"/>
    <x v="0"/>
    <x v="0"/>
    <x v="0"/>
    <n v="14"/>
    <x v="2"/>
    <x v="2"/>
  </r>
  <r>
    <n v="1019"/>
    <n v="50"/>
    <x v="0"/>
    <x v="10"/>
    <x v="0"/>
    <n v="70"/>
    <x v="42"/>
    <x v="3"/>
    <s v="Charcoal"/>
    <x v="1"/>
    <n v="4.9000000000000004"/>
    <x v="0"/>
    <x v="2"/>
    <x v="0"/>
    <x v="0"/>
    <n v="46"/>
    <x v="1"/>
    <x v="1"/>
  </r>
  <r>
    <n v="1020"/>
    <n v="32"/>
    <x v="0"/>
    <x v="5"/>
    <x v="0"/>
    <n v="76"/>
    <x v="0"/>
    <x v="1"/>
    <s v="Beige"/>
    <x v="0"/>
    <n v="2.8"/>
    <x v="0"/>
    <x v="3"/>
    <x v="0"/>
    <x v="0"/>
    <n v="33"/>
    <x v="0"/>
    <x v="4"/>
  </r>
  <r>
    <n v="1021"/>
    <n v="24"/>
    <x v="0"/>
    <x v="18"/>
    <x v="3"/>
    <n v="95"/>
    <x v="12"/>
    <x v="2"/>
    <s v="Black"/>
    <x v="3"/>
    <n v="4.5"/>
    <x v="0"/>
    <x v="0"/>
    <x v="0"/>
    <x v="0"/>
    <n v="41"/>
    <x v="5"/>
    <x v="2"/>
  </r>
  <r>
    <n v="1022"/>
    <n v="55"/>
    <x v="0"/>
    <x v="7"/>
    <x v="2"/>
    <n v="51"/>
    <x v="2"/>
    <x v="1"/>
    <s v="Lavender"/>
    <x v="0"/>
    <n v="4.9000000000000004"/>
    <x v="0"/>
    <x v="4"/>
    <x v="0"/>
    <x v="0"/>
    <n v="39"/>
    <x v="3"/>
    <x v="1"/>
  </r>
  <r>
    <n v="1023"/>
    <n v="61"/>
    <x v="0"/>
    <x v="8"/>
    <x v="3"/>
    <n v="41"/>
    <x v="43"/>
    <x v="2"/>
    <s v="Lavender"/>
    <x v="0"/>
    <n v="4.9000000000000004"/>
    <x v="0"/>
    <x v="5"/>
    <x v="0"/>
    <x v="0"/>
    <n v="7"/>
    <x v="1"/>
    <x v="2"/>
  </r>
  <r>
    <n v="1024"/>
    <n v="61"/>
    <x v="0"/>
    <x v="12"/>
    <x v="3"/>
    <n v="71"/>
    <x v="1"/>
    <x v="1"/>
    <s v="Turquoise"/>
    <x v="0"/>
    <n v="3.5"/>
    <x v="0"/>
    <x v="1"/>
    <x v="0"/>
    <x v="0"/>
    <n v="29"/>
    <x v="4"/>
    <x v="6"/>
  </r>
  <r>
    <n v="1025"/>
    <n v="28"/>
    <x v="0"/>
    <x v="17"/>
    <x v="0"/>
    <n v="66"/>
    <x v="38"/>
    <x v="2"/>
    <s v="Purple"/>
    <x v="2"/>
    <n v="3.5"/>
    <x v="0"/>
    <x v="1"/>
    <x v="0"/>
    <x v="0"/>
    <n v="18"/>
    <x v="0"/>
    <x v="3"/>
  </r>
  <r>
    <n v="1026"/>
    <n v="60"/>
    <x v="0"/>
    <x v="5"/>
    <x v="0"/>
    <n v="84"/>
    <x v="43"/>
    <x v="2"/>
    <s v="Olive"/>
    <x v="0"/>
    <n v="4.9000000000000004"/>
    <x v="0"/>
    <x v="1"/>
    <x v="0"/>
    <x v="0"/>
    <n v="15"/>
    <x v="2"/>
    <x v="2"/>
  </r>
  <r>
    <n v="1027"/>
    <n v="49"/>
    <x v="0"/>
    <x v="8"/>
    <x v="3"/>
    <n v="95"/>
    <x v="41"/>
    <x v="0"/>
    <s v="Turquoise"/>
    <x v="0"/>
    <n v="3"/>
    <x v="0"/>
    <x v="0"/>
    <x v="0"/>
    <x v="0"/>
    <n v="39"/>
    <x v="3"/>
    <x v="4"/>
  </r>
  <r>
    <n v="1028"/>
    <n v="33"/>
    <x v="0"/>
    <x v="16"/>
    <x v="3"/>
    <n v="90"/>
    <x v="31"/>
    <x v="0"/>
    <s v="Teal"/>
    <x v="2"/>
    <n v="2.8"/>
    <x v="0"/>
    <x v="2"/>
    <x v="0"/>
    <x v="0"/>
    <n v="11"/>
    <x v="1"/>
    <x v="5"/>
  </r>
  <r>
    <n v="1029"/>
    <n v="45"/>
    <x v="0"/>
    <x v="15"/>
    <x v="0"/>
    <n v="36"/>
    <x v="43"/>
    <x v="1"/>
    <s v="Lavender"/>
    <x v="2"/>
    <n v="3.7"/>
    <x v="0"/>
    <x v="3"/>
    <x v="0"/>
    <x v="0"/>
    <n v="4"/>
    <x v="1"/>
    <x v="0"/>
  </r>
  <r>
    <n v="1030"/>
    <n v="29"/>
    <x v="0"/>
    <x v="24"/>
    <x v="3"/>
    <n v="22"/>
    <x v="31"/>
    <x v="2"/>
    <s v="Purple"/>
    <x v="1"/>
    <n v="3.6"/>
    <x v="0"/>
    <x v="4"/>
    <x v="0"/>
    <x v="0"/>
    <n v="33"/>
    <x v="0"/>
    <x v="4"/>
  </r>
  <r>
    <n v="1031"/>
    <n v="58"/>
    <x v="0"/>
    <x v="7"/>
    <x v="2"/>
    <n v="89"/>
    <x v="0"/>
    <x v="0"/>
    <s v="Blue"/>
    <x v="0"/>
    <n v="3.3"/>
    <x v="0"/>
    <x v="2"/>
    <x v="0"/>
    <x v="0"/>
    <n v="37"/>
    <x v="5"/>
    <x v="3"/>
  </r>
  <r>
    <n v="1032"/>
    <n v="22"/>
    <x v="0"/>
    <x v="3"/>
    <x v="1"/>
    <n v="50"/>
    <x v="30"/>
    <x v="2"/>
    <s v="Teal"/>
    <x v="1"/>
    <n v="3.4"/>
    <x v="0"/>
    <x v="1"/>
    <x v="0"/>
    <x v="0"/>
    <n v="32"/>
    <x v="1"/>
    <x v="3"/>
  </r>
  <r>
    <n v="1033"/>
    <n v="55"/>
    <x v="0"/>
    <x v="23"/>
    <x v="1"/>
    <n v="36"/>
    <x v="1"/>
    <x v="2"/>
    <s v="Lavender"/>
    <x v="3"/>
    <n v="4"/>
    <x v="0"/>
    <x v="1"/>
    <x v="0"/>
    <x v="0"/>
    <n v="44"/>
    <x v="2"/>
    <x v="3"/>
  </r>
  <r>
    <n v="1034"/>
    <n v="19"/>
    <x v="0"/>
    <x v="13"/>
    <x v="0"/>
    <n v="52"/>
    <x v="6"/>
    <x v="1"/>
    <s v="Silver"/>
    <x v="1"/>
    <n v="4.5999999999999996"/>
    <x v="0"/>
    <x v="1"/>
    <x v="0"/>
    <x v="0"/>
    <n v="41"/>
    <x v="4"/>
    <x v="3"/>
  </r>
  <r>
    <n v="1035"/>
    <n v="68"/>
    <x v="0"/>
    <x v="20"/>
    <x v="0"/>
    <n v="29"/>
    <x v="33"/>
    <x v="2"/>
    <s v="Olive"/>
    <x v="3"/>
    <n v="4.2"/>
    <x v="0"/>
    <x v="2"/>
    <x v="0"/>
    <x v="0"/>
    <n v="44"/>
    <x v="4"/>
    <x v="1"/>
  </r>
  <r>
    <n v="1036"/>
    <n v="61"/>
    <x v="0"/>
    <x v="0"/>
    <x v="0"/>
    <n v="89"/>
    <x v="42"/>
    <x v="2"/>
    <s v="Brown"/>
    <x v="3"/>
    <n v="2.8"/>
    <x v="0"/>
    <x v="0"/>
    <x v="0"/>
    <x v="0"/>
    <n v="32"/>
    <x v="0"/>
    <x v="2"/>
  </r>
  <r>
    <n v="1037"/>
    <n v="68"/>
    <x v="0"/>
    <x v="8"/>
    <x v="3"/>
    <n v="47"/>
    <x v="11"/>
    <x v="2"/>
    <s v="Yellow"/>
    <x v="3"/>
    <n v="3.7"/>
    <x v="0"/>
    <x v="4"/>
    <x v="0"/>
    <x v="0"/>
    <n v="13"/>
    <x v="4"/>
    <x v="5"/>
  </r>
  <r>
    <n v="1038"/>
    <n v="52"/>
    <x v="0"/>
    <x v="16"/>
    <x v="3"/>
    <n v="25"/>
    <x v="3"/>
    <x v="3"/>
    <s v="Brown"/>
    <x v="1"/>
    <n v="3.4"/>
    <x v="0"/>
    <x v="3"/>
    <x v="0"/>
    <x v="0"/>
    <n v="48"/>
    <x v="5"/>
    <x v="3"/>
  </r>
  <r>
    <n v="1039"/>
    <n v="41"/>
    <x v="0"/>
    <x v="13"/>
    <x v="0"/>
    <n v="74"/>
    <x v="43"/>
    <x v="3"/>
    <s v="Cyan"/>
    <x v="3"/>
    <n v="3"/>
    <x v="0"/>
    <x v="0"/>
    <x v="0"/>
    <x v="0"/>
    <n v="3"/>
    <x v="4"/>
    <x v="1"/>
  </r>
  <r>
    <n v="1040"/>
    <n v="29"/>
    <x v="0"/>
    <x v="22"/>
    <x v="3"/>
    <n v="46"/>
    <x v="49"/>
    <x v="2"/>
    <s v="Magenta"/>
    <x v="3"/>
    <n v="4.8"/>
    <x v="0"/>
    <x v="3"/>
    <x v="0"/>
    <x v="0"/>
    <n v="39"/>
    <x v="0"/>
    <x v="5"/>
  </r>
  <r>
    <n v="1041"/>
    <n v="68"/>
    <x v="0"/>
    <x v="2"/>
    <x v="0"/>
    <n v="22"/>
    <x v="17"/>
    <x v="1"/>
    <s v="Magenta"/>
    <x v="3"/>
    <n v="4"/>
    <x v="0"/>
    <x v="2"/>
    <x v="0"/>
    <x v="0"/>
    <n v="7"/>
    <x v="1"/>
    <x v="0"/>
  </r>
  <r>
    <n v="1042"/>
    <n v="36"/>
    <x v="0"/>
    <x v="5"/>
    <x v="0"/>
    <n v="25"/>
    <x v="46"/>
    <x v="2"/>
    <s v="Orange"/>
    <x v="2"/>
    <n v="4.9000000000000004"/>
    <x v="0"/>
    <x v="2"/>
    <x v="0"/>
    <x v="0"/>
    <n v="11"/>
    <x v="1"/>
    <x v="0"/>
  </r>
  <r>
    <n v="1043"/>
    <n v="55"/>
    <x v="0"/>
    <x v="22"/>
    <x v="3"/>
    <n v="80"/>
    <x v="33"/>
    <x v="2"/>
    <s v="Maroon"/>
    <x v="1"/>
    <n v="4.9000000000000004"/>
    <x v="0"/>
    <x v="2"/>
    <x v="0"/>
    <x v="0"/>
    <n v="47"/>
    <x v="2"/>
    <x v="1"/>
  </r>
  <r>
    <n v="1044"/>
    <n v="28"/>
    <x v="0"/>
    <x v="2"/>
    <x v="0"/>
    <n v="76"/>
    <x v="11"/>
    <x v="2"/>
    <s v="Green"/>
    <x v="1"/>
    <n v="3.3"/>
    <x v="0"/>
    <x v="4"/>
    <x v="0"/>
    <x v="0"/>
    <n v="28"/>
    <x v="5"/>
    <x v="0"/>
  </r>
  <r>
    <n v="1045"/>
    <n v="39"/>
    <x v="0"/>
    <x v="2"/>
    <x v="0"/>
    <n v="30"/>
    <x v="4"/>
    <x v="0"/>
    <s v="Teal"/>
    <x v="2"/>
    <n v="4.4000000000000004"/>
    <x v="0"/>
    <x v="2"/>
    <x v="0"/>
    <x v="0"/>
    <n v="17"/>
    <x v="4"/>
    <x v="6"/>
  </r>
  <r>
    <n v="1046"/>
    <n v="54"/>
    <x v="0"/>
    <x v="1"/>
    <x v="0"/>
    <n v="79"/>
    <x v="35"/>
    <x v="0"/>
    <s v="Black"/>
    <x v="3"/>
    <n v="3.5"/>
    <x v="0"/>
    <x v="4"/>
    <x v="0"/>
    <x v="0"/>
    <n v="11"/>
    <x v="3"/>
    <x v="4"/>
  </r>
  <r>
    <n v="1047"/>
    <n v="40"/>
    <x v="0"/>
    <x v="4"/>
    <x v="1"/>
    <n v="22"/>
    <x v="26"/>
    <x v="2"/>
    <s v="Magenta"/>
    <x v="0"/>
    <n v="4.2"/>
    <x v="0"/>
    <x v="3"/>
    <x v="0"/>
    <x v="0"/>
    <n v="12"/>
    <x v="0"/>
    <x v="2"/>
  </r>
  <r>
    <n v="1048"/>
    <n v="31"/>
    <x v="0"/>
    <x v="20"/>
    <x v="0"/>
    <n v="36"/>
    <x v="40"/>
    <x v="1"/>
    <s v="Olive"/>
    <x v="3"/>
    <n v="4.2"/>
    <x v="0"/>
    <x v="3"/>
    <x v="0"/>
    <x v="0"/>
    <n v="7"/>
    <x v="2"/>
    <x v="0"/>
  </r>
  <r>
    <n v="1049"/>
    <n v="30"/>
    <x v="0"/>
    <x v="20"/>
    <x v="0"/>
    <n v="77"/>
    <x v="1"/>
    <x v="0"/>
    <s v="Yellow"/>
    <x v="3"/>
    <n v="2.7"/>
    <x v="0"/>
    <x v="3"/>
    <x v="0"/>
    <x v="0"/>
    <n v="19"/>
    <x v="0"/>
    <x v="0"/>
  </r>
  <r>
    <n v="1050"/>
    <n v="45"/>
    <x v="0"/>
    <x v="12"/>
    <x v="3"/>
    <n v="33"/>
    <x v="41"/>
    <x v="1"/>
    <s v="Purple"/>
    <x v="3"/>
    <n v="2.8"/>
    <x v="0"/>
    <x v="5"/>
    <x v="0"/>
    <x v="0"/>
    <n v="24"/>
    <x v="1"/>
    <x v="3"/>
  </r>
  <r>
    <n v="1051"/>
    <n v="48"/>
    <x v="0"/>
    <x v="4"/>
    <x v="1"/>
    <n v="64"/>
    <x v="20"/>
    <x v="2"/>
    <s v="Beige"/>
    <x v="0"/>
    <n v="3.8"/>
    <x v="0"/>
    <x v="2"/>
    <x v="0"/>
    <x v="0"/>
    <n v="19"/>
    <x v="0"/>
    <x v="5"/>
  </r>
  <r>
    <n v="1052"/>
    <n v="45"/>
    <x v="0"/>
    <x v="20"/>
    <x v="0"/>
    <n v="53"/>
    <x v="31"/>
    <x v="2"/>
    <s v="Indigo"/>
    <x v="3"/>
    <n v="2.6"/>
    <x v="0"/>
    <x v="1"/>
    <x v="0"/>
    <x v="0"/>
    <n v="39"/>
    <x v="3"/>
    <x v="2"/>
  </r>
  <r>
    <n v="1053"/>
    <n v="60"/>
    <x v="0"/>
    <x v="9"/>
    <x v="1"/>
    <n v="36"/>
    <x v="41"/>
    <x v="3"/>
    <s v="Pink"/>
    <x v="3"/>
    <n v="3"/>
    <x v="0"/>
    <x v="4"/>
    <x v="0"/>
    <x v="0"/>
    <n v="1"/>
    <x v="2"/>
    <x v="0"/>
  </r>
  <r>
    <n v="1054"/>
    <n v="59"/>
    <x v="0"/>
    <x v="0"/>
    <x v="0"/>
    <n v="70"/>
    <x v="23"/>
    <x v="2"/>
    <s v="Blue"/>
    <x v="1"/>
    <n v="3.3"/>
    <x v="1"/>
    <x v="4"/>
    <x v="0"/>
    <x v="0"/>
    <n v="10"/>
    <x v="5"/>
    <x v="4"/>
  </r>
  <r>
    <n v="1055"/>
    <n v="18"/>
    <x v="0"/>
    <x v="6"/>
    <x v="0"/>
    <n v="96"/>
    <x v="10"/>
    <x v="0"/>
    <s v="Cyan"/>
    <x v="0"/>
    <n v="4.9000000000000004"/>
    <x v="1"/>
    <x v="0"/>
    <x v="0"/>
    <x v="0"/>
    <n v="48"/>
    <x v="3"/>
    <x v="3"/>
  </r>
  <r>
    <n v="1056"/>
    <n v="70"/>
    <x v="0"/>
    <x v="14"/>
    <x v="2"/>
    <n v="27"/>
    <x v="2"/>
    <x v="2"/>
    <s v="Orange"/>
    <x v="1"/>
    <n v="3.3"/>
    <x v="1"/>
    <x v="2"/>
    <x v="0"/>
    <x v="0"/>
    <n v="24"/>
    <x v="5"/>
    <x v="2"/>
  </r>
  <r>
    <n v="1057"/>
    <n v="20"/>
    <x v="0"/>
    <x v="1"/>
    <x v="0"/>
    <n v="64"/>
    <x v="37"/>
    <x v="0"/>
    <s v="Black"/>
    <x v="0"/>
    <n v="2.9"/>
    <x v="1"/>
    <x v="4"/>
    <x v="0"/>
    <x v="0"/>
    <n v="42"/>
    <x v="0"/>
    <x v="0"/>
  </r>
  <r>
    <n v="1058"/>
    <n v="65"/>
    <x v="0"/>
    <x v="14"/>
    <x v="2"/>
    <n v="23"/>
    <x v="48"/>
    <x v="1"/>
    <s v="Maroon"/>
    <x v="1"/>
    <n v="4.4000000000000004"/>
    <x v="1"/>
    <x v="4"/>
    <x v="0"/>
    <x v="0"/>
    <n v="20"/>
    <x v="2"/>
    <x v="1"/>
  </r>
  <r>
    <n v="1059"/>
    <n v="29"/>
    <x v="0"/>
    <x v="18"/>
    <x v="3"/>
    <n v="33"/>
    <x v="35"/>
    <x v="0"/>
    <s v="Violet"/>
    <x v="2"/>
    <n v="3.1"/>
    <x v="1"/>
    <x v="2"/>
    <x v="0"/>
    <x v="0"/>
    <n v="49"/>
    <x v="4"/>
    <x v="6"/>
  </r>
  <r>
    <n v="1060"/>
    <n v="22"/>
    <x v="0"/>
    <x v="14"/>
    <x v="2"/>
    <n v="34"/>
    <x v="17"/>
    <x v="2"/>
    <s v="Beige"/>
    <x v="0"/>
    <n v="2.5"/>
    <x v="1"/>
    <x v="3"/>
    <x v="0"/>
    <x v="0"/>
    <n v="25"/>
    <x v="5"/>
    <x v="5"/>
  </r>
  <r>
    <n v="1061"/>
    <n v="27"/>
    <x v="0"/>
    <x v="1"/>
    <x v="0"/>
    <n v="35"/>
    <x v="44"/>
    <x v="1"/>
    <s v="Gray"/>
    <x v="2"/>
    <n v="2.6"/>
    <x v="1"/>
    <x v="2"/>
    <x v="0"/>
    <x v="0"/>
    <n v="21"/>
    <x v="5"/>
    <x v="6"/>
  </r>
  <r>
    <n v="1062"/>
    <n v="36"/>
    <x v="0"/>
    <x v="7"/>
    <x v="2"/>
    <n v="62"/>
    <x v="37"/>
    <x v="2"/>
    <s v="Gray"/>
    <x v="2"/>
    <n v="4.4000000000000004"/>
    <x v="1"/>
    <x v="1"/>
    <x v="0"/>
    <x v="0"/>
    <n v="12"/>
    <x v="0"/>
    <x v="6"/>
  </r>
  <r>
    <n v="1063"/>
    <n v="59"/>
    <x v="0"/>
    <x v="23"/>
    <x v="1"/>
    <n v="75"/>
    <x v="31"/>
    <x v="2"/>
    <s v="Brown"/>
    <x v="3"/>
    <n v="2.6"/>
    <x v="1"/>
    <x v="2"/>
    <x v="0"/>
    <x v="0"/>
    <n v="21"/>
    <x v="5"/>
    <x v="6"/>
  </r>
  <r>
    <n v="1064"/>
    <n v="62"/>
    <x v="0"/>
    <x v="15"/>
    <x v="0"/>
    <n v="29"/>
    <x v="15"/>
    <x v="1"/>
    <s v="Indigo"/>
    <x v="2"/>
    <n v="3.3"/>
    <x v="1"/>
    <x v="1"/>
    <x v="0"/>
    <x v="0"/>
    <n v="35"/>
    <x v="1"/>
    <x v="5"/>
  </r>
  <r>
    <n v="1065"/>
    <n v="34"/>
    <x v="0"/>
    <x v="19"/>
    <x v="3"/>
    <n v="28"/>
    <x v="5"/>
    <x v="2"/>
    <s v="Violet"/>
    <x v="1"/>
    <n v="3.5"/>
    <x v="1"/>
    <x v="0"/>
    <x v="0"/>
    <x v="0"/>
    <n v="42"/>
    <x v="2"/>
    <x v="6"/>
  </r>
  <r>
    <n v="1066"/>
    <n v="59"/>
    <x v="0"/>
    <x v="17"/>
    <x v="0"/>
    <n v="20"/>
    <x v="15"/>
    <x v="3"/>
    <s v="Blue"/>
    <x v="1"/>
    <n v="4.0999999999999996"/>
    <x v="1"/>
    <x v="5"/>
    <x v="0"/>
    <x v="0"/>
    <n v="3"/>
    <x v="3"/>
    <x v="6"/>
  </r>
  <r>
    <n v="1067"/>
    <n v="49"/>
    <x v="0"/>
    <x v="7"/>
    <x v="2"/>
    <n v="96"/>
    <x v="16"/>
    <x v="2"/>
    <s v="Red"/>
    <x v="0"/>
    <n v="4"/>
    <x v="1"/>
    <x v="5"/>
    <x v="0"/>
    <x v="0"/>
    <n v="11"/>
    <x v="3"/>
    <x v="4"/>
  </r>
  <r>
    <n v="1068"/>
    <n v="18"/>
    <x v="0"/>
    <x v="10"/>
    <x v="0"/>
    <n v="43"/>
    <x v="38"/>
    <x v="1"/>
    <s v="Peach"/>
    <x v="2"/>
    <n v="2.7"/>
    <x v="1"/>
    <x v="4"/>
    <x v="0"/>
    <x v="0"/>
    <n v="22"/>
    <x v="3"/>
    <x v="3"/>
  </r>
  <r>
    <n v="1069"/>
    <n v="55"/>
    <x v="0"/>
    <x v="5"/>
    <x v="0"/>
    <n v="94"/>
    <x v="5"/>
    <x v="2"/>
    <s v="Olive"/>
    <x v="3"/>
    <n v="2.5"/>
    <x v="1"/>
    <x v="3"/>
    <x v="0"/>
    <x v="0"/>
    <n v="47"/>
    <x v="2"/>
    <x v="1"/>
  </r>
  <r>
    <n v="1070"/>
    <n v="38"/>
    <x v="0"/>
    <x v="11"/>
    <x v="0"/>
    <n v="81"/>
    <x v="33"/>
    <x v="3"/>
    <s v="White"/>
    <x v="3"/>
    <n v="4.3"/>
    <x v="1"/>
    <x v="2"/>
    <x v="0"/>
    <x v="0"/>
    <n v="33"/>
    <x v="0"/>
    <x v="6"/>
  </r>
  <r>
    <n v="1071"/>
    <n v="50"/>
    <x v="0"/>
    <x v="16"/>
    <x v="3"/>
    <n v="75"/>
    <x v="17"/>
    <x v="2"/>
    <s v="Magenta"/>
    <x v="2"/>
    <n v="3.3"/>
    <x v="1"/>
    <x v="1"/>
    <x v="0"/>
    <x v="0"/>
    <n v="50"/>
    <x v="5"/>
    <x v="1"/>
  </r>
  <r>
    <n v="1072"/>
    <n v="61"/>
    <x v="0"/>
    <x v="19"/>
    <x v="3"/>
    <n v="81"/>
    <x v="38"/>
    <x v="2"/>
    <s v="Beige"/>
    <x v="2"/>
    <n v="2.6"/>
    <x v="1"/>
    <x v="0"/>
    <x v="0"/>
    <x v="0"/>
    <n v="46"/>
    <x v="2"/>
    <x v="5"/>
  </r>
  <r>
    <n v="1073"/>
    <n v="48"/>
    <x v="0"/>
    <x v="6"/>
    <x v="0"/>
    <n v="92"/>
    <x v="37"/>
    <x v="0"/>
    <s v="Gold"/>
    <x v="3"/>
    <n v="3.5"/>
    <x v="1"/>
    <x v="0"/>
    <x v="0"/>
    <x v="0"/>
    <n v="34"/>
    <x v="5"/>
    <x v="0"/>
  </r>
  <r>
    <n v="1074"/>
    <n v="22"/>
    <x v="0"/>
    <x v="18"/>
    <x v="3"/>
    <n v="96"/>
    <x v="18"/>
    <x v="3"/>
    <s v="Purple"/>
    <x v="1"/>
    <n v="4"/>
    <x v="1"/>
    <x v="5"/>
    <x v="0"/>
    <x v="0"/>
    <n v="33"/>
    <x v="2"/>
    <x v="5"/>
  </r>
  <r>
    <n v="1075"/>
    <n v="48"/>
    <x v="0"/>
    <x v="16"/>
    <x v="3"/>
    <n v="71"/>
    <x v="30"/>
    <x v="1"/>
    <s v="White"/>
    <x v="3"/>
    <n v="2.6"/>
    <x v="1"/>
    <x v="3"/>
    <x v="0"/>
    <x v="0"/>
    <n v="45"/>
    <x v="4"/>
    <x v="0"/>
  </r>
  <r>
    <n v="1076"/>
    <n v="57"/>
    <x v="0"/>
    <x v="12"/>
    <x v="3"/>
    <n v="50"/>
    <x v="9"/>
    <x v="0"/>
    <s v="Indigo"/>
    <x v="2"/>
    <n v="4.9000000000000004"/>
    <x v="1"/>
    <x v="2"/>
    <x v="0"/>
    <x v="0"/>
    <n v="32"/>
    <x v="5"/>
    <x v="4"/>
  </r>
  <r>
    <n v="1077"/>
    <n v="33"/>
    <x v="0"/>
    <x v="7"/>
    <x v="2"/>
    <n v="72"/>
    <x v="25"/>
    <x v="0"/>
    <s v="Charcoal"/>
    <x v="1"/>
    <n v="2.9"/>
    <x v="1"/>
    <x v="3"/>
    <x v="0"/>
    <x v="0"/>
    <n v="47"/>
    <x v="0"/>
    <x v="4"/>
  </r>
  <r>
    <n v="1078"/>
    <n v="58"/>
    <x v="0"/>
    <x v="14"/>
    <x v="2"/>
    <n v="28"/>
    <x v="8"/>
    <x v="2"/>
    <s v="Pink"/>
    <x v="0"/>
    <n v="3.7"/>
    <x v="1"/>
    <x v="3"/>
    <x v="0"/>
    <x v="0"/>
    <n v="5"/>
    <x v="3"/>
    <x v="3"/>
  </r>
  <r>
    <n v="1079"/>
    <n v="37"/>
    <x v="0"/>
    <x v="1"/>
    <x v="0"/>
    <n v="59"/>
    <x v="28"/>
    <x v="2"/>
    <s v="Silver"/>
    <x v="3"/>
    <n v="4.4000000000000004"/>
    <x v="1"/>
    <x v="0"/>
    <x v="0"/>
    <x v="0"/>
    <n v="49"/>
    <x v="2"/>
    <x v="0"/>
  </r>
  <r>
    <n v="1080"/>
    <n v="18"/>
    <x v="0"/>
    <x v="7"/>
    <x v="2"/>
    <n v="33"/>
    <x v="19"/>
    <x v="1"/>
    <s v="Blue"/>
    <x v="2"/>
    <n v="4.4000000000000004"/>
    <x v="1"/>
    <x v="1"/>
    <x v="0"/>
    <x v="0"/>
    <n v="48"/>
    <x v="4"/>
    <x v="5"/>
  </r>
  <r>
    <n v="1081"/>
    <n v="65"/>
    <x v="0"/>
    <x v="18"/>
    <x v="3"/>
    <n v="59"/>
    <x v="38"/>
    <x v="0"/>
    <s v="Blue"/>
    <x v="3"/>
    <n v="3.8"/>
    <x v="1"/>
    <x v="0"/>
    <x v="0"/>
    <x v="0"/>
    <n v="22"/>
    <x v="1"/>
    <x v="6"/>
  </r>
  <r>
    <n v="1082"/>
    <n v="62"/>
    <x v="0"/>
    <x v="22"/>
    <x v="3"/>
    <n v="30"/>
    <x v="37"/>
    <x v="3"/>
    <s v="Brown"/>
    <x v="1"/>
    <n v="4.5"/>
    <x v="1"/>
    <x v="3"/>
    <x v="0"/>
    <x v="0"/>
    <n v="45"/>
    <x v="2"/>
    <x v="2"/>
  </r>
  <r>
    <n v="1083"/>
    <n v="54"/>
    <x v="0"/>
    <x v="19"/>
    <x v="3"/>
    <n v="85"/>
    <x v="36"/>
    <x v="3"/>
    <s v="Cyan"/>
    <x v="0"/>
    <n v="2.6"/>
    <x v="1"/>
    <x v="2"/>
    <x v="0"/>
    <x v="0"/>
    <n v="30"/>
    <x v="0"/>
    <x v="3"/>
  </r>
  <r>
    <n v="1084"/>
    <n v="35"/>
    <x v="0"/>
    <x v="21"/>
    <x v="3"/>
    <n v="97"/>
    <x v="47"/>
    <x v="0"/>
    <s v="Teal"/>
    <x v="2"/>
    <n v="3.3"/>
    <x v="1"/>
    <x v="5"/>
    <x v="0"/>
    <x v="0"/>
    <n v="43"/>
    <x v="1"/>
    <x v="1"/>
  </r>
  <r>
    <n v="1085"/>
    <n v="34"/>
    <x v="0"/>
    <x v="17"/>
    <x v="0"/>
    <n v="36"/>
    <x v="10"/>
    <x v="1"/>
    <s v="Purple"/>
    <x v="3"/>
    <n v="4.0999999999999996"/>
    <x v="1"/>
    <x v="2"/>
    <x v="0"/>
    <x v="0"/>
    <n v="48"/>
    <x v="1"/>
    <x v="3"/>
  </r>
  <r>
    <n v="1086"/>
    <n v="25"/>
    <x v="0"/>
    <x v="16"/>
    <x v="3"/>
    <n v="85"/>
    <x v="40"/>
    <x v="2"/>
    <s v="Turquoise"/>
    <x v="0"/>
    <n v="3"/>
    <x v="1"/>
    <x v="5"/>
    <x v="0"/>
    <x v="0"/>
    <n v="23"/>
    <x v="0"/>
    <x v="0"/>
  </r>
  <r>
    <n v="1087"/>
    <n v="53"/>
    <x v="0"/>
    <x v="12"/>
    <x v="3"/>
    <n v="62"/>
    <x v="29"/>
    <x v="2"/>
    <s v="Olive"/>
    <x v="0"/>
    <n v="3"/>
    <x v="1"/>
    <x v="1"/>
    <x v="0"/>
    <x v="0"/>
    <n v="27"/>
    <x v="3"/>
    <x v="4"/>
  </r>
  <r>
    <n v="1088"/>
    <n v="45"/>
    <x v="0"/>
    <x v="2"/>
    <x v="0"/>
    <n v="71"/>
    <x v="8"/>
    <x v="1"/>
    <s v="White"/>
    <x v="0"/>
    <n v="3.4"/>
    <x v="1"/>
    <x v="2"/>
    <x v="0"/>
    <x v="0"/>
    <n v="7"/>
    <x v="4"/>
    <x v="5"/>
  </r>
  <r>
    <n v="1089"/>
    <n v="49"/>
    <x v="0"/>
    <x v="13"/>
    <x v="0"/>
    <n v="21"/>
    <x v="7"/>
    <x v="2"/>
    <s v="Turquoise"/>
    <x v="0"/>
    <n v="2.7"/>
    <x v="1"/>
    <x v="1"/>
    <x v="0"/>
    <x v="0"/>
    <n v="2"/>
    <x v="3"/>
    <x v="1"/>
  </r>
  <r>
    <n v="1090"/>
    <n v="40"/>
    <x v="0"/>
    <x v="21"/>
    <x v="3"/>
    <n v="61"/>
    <x v="28"/>
    <x v="2"/>
    <s v="Silver"/>
    <x v="1"/>
    <n v="3.8"/>
    <x v="1"/>
    <x v="2"/>
    <x v="0"/>
    <x v="0"/>
    <n v="33"/>
    <x v="3"/>
    <x v="4"/>
  </r>
  <r>
    <n v="1091"/>
    <n v="38"/>
    <x v="0"/>
    <x v="18"/>
    <x v="3"/>
    <n v="58"/>
    <x v="39"/>
    <x v="2"/>
    <s v="Violet"/>
    <x v="1"/>
    <n v="4.2"/>
    <x v="1"/>
    <x v="5"/>
    <x v="0"/>
    <x v="0"/>
    <n v="27"/>
    <x v="1"/>
    <x v="0"/>
  </r>
  <r>
    <n v="1092"/>
    <n v="44"/>
    <x v="0"/>
    <x v="1"/>
    <x v="0"/>
    <n v="80"/>
    <x v="17"/>
    <x v="0"/>
    <s v="Lavender"/>
    <x v="1"/>
    <n v="4.7"/>
    <x v="1"/>
    <x v="5"/>
    <x v="0"/>
    <x v="0"/>
    <n v="6"/>
    <x v="2"/>
    <x v="0"/>
  </r>
  <r>
    <n v="1093"/>
    <n v="68"/>
    <x v="0"/>
    <x v="16"/>
    <x v="3"/>
    <n v="50"/>
    <x v="45"/>
    <x v="0"/>
    <s v="Magenta"/>
    <x v="1"/>
    <n v="4.0999999999999996"/>
    <x v="1"/>
    <x v="4"/>
    <x v="0"/>
    <x v="0"/>
    <n v="20"/>
    <x v="0"/>
    <x v="3"/>
  </r>
  <r>
    <n v="1094"/>
    <n v="60"/>
    <x v="0"/>
    <x v="4"/>
    <x v="1"/>
    <n v="48"/>
    <x v="12"/>
    <x v="1"/>
    <s v="Indigo"/>
    <x v="0"/>
    <n v="4.2"/>
    <x v="1"/>
    <x v="4"/>
    <x v="0"/>
    <x v="0"/>
    <n v="46"/>
    <x v="0"/>
    <x v="6"/>
  </r>
  <r>
    <n v="1095"/>
    <n v="25"/>
    <x v="0"/>
    <x v="16"/>
    <x v="3"/>
    <n v="40"/>
    <x v="39"/>
    <x v="2"/>
    <s v="Black"/>
    <x v="0"/>
    <n v="4.8"/>
    <x v="1"/>
    <x v="2"/>
    <x v="0"/>
    <x v="0"/>
    <n v="25"/>
    <x v="1"/>
    <x v="3"/>
  </r>
  <r>
    <n v="1096"/>
    <n v="19"/>
    <x v="0"/>
    <x v="7"/>
    <x v="2"/>
    <n v="34"/>
    <x v="30"/>
    <x v="1"/>
    <s v="Peach"/>
    <x v="2"/>
    <n v="3"/>
    <x v="1"/>
    <x v="1"/>
    <x v="0"/>
    <x v="0"/>
    <n v="30"/>
    <x v="4"/>
    <x v="3"/>
  </r>
  <r>
    <n v="1097"/>
    <n v="57"/>
    <x v="0"/>
    <x v="7"/>
    <x v="2"/>
    <n v="46"/>
    <x v="13"/>
    <x v="1"/>
    <s v="Beige"/>
    <x v="3"/>
    <n v="2.6"/>
    <x v="1"/>
    <x v="3"/>
    <x v="0"/>
    <x v="0"/>
    <n v="48"/>
    <x v="2"/>
    <x v="2"/>
  </r>
  <r>
    <n v="1098"/>
    <n v="58"/>
    <x v="0"/>
    <x v="12"/>
    <x v="3"/>
    <n v="27"/>
    <x v="34"/>
    <x v="2"/>
    <s v="Black"/>
    <x v="2"/>
    <n v="3.2"/>
    <x v="1"/>
    <x v="5"/>
    <x v="0"/>
    <x v="0"/>
    <n v="47"/>
    <x v="4"/>
    <x v="1"/>
  </r>
  <r>
    <n v="1099"/>
    <n v="49"/>
    <x v="0"/>
    <x v="8"/>
    <x v="3"/>
    <n v="98"/>
    <x v="37"/>
    <x v="1"/>
    <s v="Turquoise"/>
    <x v="1"/>
    <n v="3.6"/>
    <x v="1"/>
    <x v="2"/>
    <x v="0"/>
    <x v="0"/>
    <n v="27"/>
    <x v="2"/>
    <x v="1"/>
  </r>
  <r>
    <n v="1100"/>
    <n v="19"/>
    <x v="0"/>
    <x v="1"/>
    <x v="0"/>
    <n v="73"/>
    <x v="17"/>
    <x v="2"/>
    <s v="Peach"/>
    <x v="3"/>
    <n v="2.6"/>
    <x v="1"/>
    <x v="2"/>
    <x v="0"/>
    <x v="0"/>
    <n v="45"/>
    <x v="4"/>
    <x v="0"/>
  </r>
  <r>
    <n v="1101"/>
    <n v="50"/>
    <x v="0"/>
    <x v="13"/>
    <x v="0"/>
    <n v="28"/>
    <x v="22"/>
    <x v="0"/>
    <s v="Gold"/>
    <x v="1"/>
    <n v="4.4000000000000004"/>
    <x v="1"/>
    <x v="0"/>
    <x v="0"/>
    <x v="0"/>
    <n v="2"/>
    <x v="2"/>
    <x v="1"/>
  </r>
  <r>
    <n v="1102"/>
    <n v="30"/>
    <x v="0"/>
    <x v="24"/>
    <x v="3"/>
    <n v="76"/>
    <x v="12"/>
    <x v="3"/>
    <s v="Silver"/>
    <x v="3"/>
    <n v="3"/>
    <x v="1"/>
    <x v="1"/>
    <x v="0"/>
    <x v="0"/>
    <n v="39"/>
    <x v="1"/>
    <x v="0"/>
  </r>
  <r>
    <n v="1103"/>
    <n v="52"/>
    <x v="0"/>
    <x v="1"/>
    <x v="0"/>
    <n v="83"/>
    <x v="21"/>
    <x v="2"/>
    <s v="Peach"/>
    <x v="3"/>
    <n v="2.9"/>
    <x v="1"/>
    <x v="0"/>
    <x v="0"/>
    <x v="0"/>
    <n v="24"/>
    <x v="1"/>
    <x v="0"/>
  </r>
  <r>
    <n v="1104"/>
    <n v="35"/>
    <x v="0"/>
    <x v="15"/>
    <x v="0"/>
    <n v="23"/>
    <x v="30"/>
    <x v="1"/>
    <s v="Charcoal"/>
    <x v="1"/>
    <n v="4.3"/>
    <x v="1"/>
    <x v="1"/>
    <x v="0"/>
    <x v="0"/>
    <n v="8"/>
    <x v="5"/>
    <x v="4"/>
  </r>
  <r>
    <n v="1105"/>
    <n v="35"/>
    <x v="0"/>
    <x v="19"/>
    <x v="3"/>
    <n v="28"/>
    <x v="12"/>
    <x v="2"/>
    <s v="Beige"/>
    <x v="3"/>
    <n v="3.1"/>
    <x v="1"/>
    <x v="0"/>
    <x v="0"/>
    <x v="0"/>
    <n v="8"/>
    <x v="4"/>
    <x v="3"/>
  </r>
  <r>
    <n v="1106"/>
    <n v="33"/>
    <x v="0"/>
    <x v="17"/>
    <x v="0"/>
    <n v="83"/>
    <x v="2"/>
    <x v="1"/>
    <s v="Olive"/>
    <x v="1"/>
    <n v="3"/>
    <x v="1"/>
    <x v="2"/>
    <x v="0"/>
    <x v="0"/>
    <n v="6"/>
    <x v="0"/>
    <x v="6"/>
  </r>
  <r>
    <n v="1107"/>
    <n v="52"/>
    <x v="0"/>
    <x v="11"/>
    <x v="0"/>
    <n v="96"/>
    <x v="46"/>
    <x v="0"/>
    <s v="Violet"/>
    <x v="0"/>
    <n v="3.6"/>
    <x v="1"/>
    <x v="5"/>
    <x v="0"/>
    <x v="0"/>
    <n v="12"/>
    <x v="0"/>
    <x v="0"/>
  </r>
  <r>
    <n v="1108"/>
    <n v="69"/>
    <x v="0"/>
    <x v="4"/>
    <x v="1"/>
    <n v="62"/>
    <x v="21"/>
    <x v="2"/>
    <s v="Peach"/>
    <x v="3"/>
    <n v="2.8"/>
    <x v="1"/>
    <x v="5"/>
    <x v="0"/>
    <x v="0"/>
    <n v="26"/>
    <x v="4"/>
    <x v="1"/>
  </r>
  <r>
    <n v="1109"/>
    <n v="27"/>
    <x v="0"/>
    <x v="6"/>
    <x v="0"/>
    <n v="25"/>
    <x v="43"/>
    <x v="2"/>
    <s v="Teal"/>
    <x v="3"/>
    <n v="2.8"/>
    <x v="1"/>
    <x v="3"/>
    <x v="0"/>
    <x v="0"/>
    <n v="50"/>
    <x v="1"/>
    <x v="0"/>
  </r>
  <r>
    <n v="1110"/>
    <n v="66"/>
    <x v="0"/>
    <x v="15"/>
    <x v="0"/>
    <n v="97"/>
    <x v="19"/>
    <x v="0"/>
    <s v="Violet"/>
    <x v="0"/>
    <n v="4.9000000000000004"/>
    <x v="1"/>
    <x v="2"/>
    <x v="0"/>
    <x v="0"/>
    <n v="2"/>
    <x v="0"/>
    <x v="1"/>
  </r>
  <r>
    <n v="1111"/>
    <n v="28"/>
    <x v="0"/>
    <x v="15"/>
    <x v="0"/>
    <n v="61"/>
    <x v="21"/>
    <x v="0"/>
    <s v="Cyan"/>
    <x v="3"/>
    <n v="3"/>
    <x v="1"/>
    <x v="3"/>
    <x v="0"/>
    <x v="0"/>
    <n v="31"/>
    <x v="1"/>
    <x v="4"/>
  </r>
  <r>
    <n v="1112"/>
    <n v="22"/>
    <x v="0"/>
    <x v="9"/>
    <x v="1"/>
    <n v="66"/>
    <x v="14"/>
    <x v="1"/>
    <s v="Olive"/>
    <x v="2"/>
    <n v="4.0999999999999996"/>
    <x v="1"/>
    <x v="2"/>
    <x v="0"/>
    <x v="0"/>
    <n v="4"/>
    <x v="2"/>
    <x v="4"/>
  </r>
  <r>
    <n v="1113"/>
    <n v="69"/>
    <x v="0"/>
    <x v="15"/>
    <x v="0"/>
    <n v="67"/>
    <x v="47"/>
    <x v="3"/>
    <s v="Pink"/>
    <x v="1"/>
    <n v="4.5999999999999996"/>
    <x v="1"/>
    <x v="1"/>
    <x v="0"/>
    <x v="0"/>
    <n v="32"/>
    <x v="3"/>
    <x v="3"/>
  </r>
  <r>
    <n v="1114"/>
    <n v="28"/>
    <x v="0"/>
    <x v="12"/>
    <x v="3"/>
    <n v="80"/>
    <x v="33"/>
    <x v="2"/>
    <s v="Purple"/>
    <x v="2"/>
    <n v="4.8"/>
    <x v="1"/>
    <x v="2"/>
    <x v="0"/>
    <x v="0"/>
    <n v="11"/>
    <x v="3"/>
    <x v="4"/>
  </r>
  <r>
    <n v="1115"/>
    <n v="55"/>
    <x v="0"/>
    <x v="11"/>
    <x v="0"/>
    <n v="25"/>
    <x v="13"/>
    <x v="0"/>
    <s v="Violet"/>
    <x v="3"/>
    <n v="2.6"/>
    <x v="1"/>
    <x v="2"/>
    <x v="0"/>
    <x v="0"/>
    <n v="47"/>
    <x v="4"/>
    <x v="6"/>
  </r>
  <r>
    <n v="1116"/>
    <n v="30"/>
    <x v="0"/>
    <x v="19"/>
    <x v="3"/>
    <n v="58"/>
    <x v="14"/>
    <x v="1"/>
    <s v="Peach"/>
    <x v="3"/>
    <n v="4"/>
    <x v="1"/>
    <x v="4"/>
    <x v="0"/>
    <x v="0"/>
    <n v="37"/>
    <x v="1"/>
    <x v="1"/>
  </r>
  <r>
    <n v="1117"/>
    <n v="67"/>
    <x v="0"/>
    <x v="21"/>
    <x v="3"/>
    <n v="96"/>
    <x v="11"/>
    <x v="2"/>
    <s v="Charcoal"/>
    <x v="0"/>
    <n v="4.2"/>
    <x v="1"/>
    <x v="0"/>
    <x v="0"/>
    <x v="0"/>
    <n v="39"/>
    <x v="3"/>
    <x v="0"/>
  </r>
  <r>
    <n v="1118"/>
    <n v="25"/>
    <x v="0"/>
    <x v="12"/>
    <x v="3"/>
    <n v="77"/>
    <x v="18"/>
    <x v="0"/>
    <s v="Lavender"/>
    <x v="1"/>
    <n v="4.5"/>
    <x v="1"/>
    <x v="5"/>
    <x v="0"/>
    <x v="0"/>
    <n v="24"/>
    <x v="2"/>
    <x v="5"/>
  </r>
  <r>
    <n v="1119"/>
    <n v="49"/>
    <x v="0"/>
    <x v="22"/>
    <x v="3"/>
    <n v="65"/>
    <x v="27"/>
    <x v="2"/>
    <s v="Purple"/>
    <x v="2"/>
    <n v="4.9000000000000004"/>
    <x v="1"/>
    <x v="3"/>
    <x v="0"/>
    <x v="0"/>
    <n v="11"/>
    <x v="3"/>
    <x v="6"/>
  </r>
  <r>
    <n v="1120"/>
    <n v="34"/>
    <x v="0"/>
    <x v="16"/>
    <x v="3"/>
    <n v="36"/>
    <x v="7"/>
    <x v="2"/>
    <s v="Indigo"/>
    <x v="1"/>
    <n v="3.1"/>
    <x v="1"/>
    <x v="3"/>
    <x v="0"/>
    <x v="0"/>
    <n v="36"/>
    <x v="2"/>
    <x v="1"/>
  </r>
  <r>
    <n v="1121"/>
    <n v="22"/>
    <x v="0"/>
    <x v="4"/>
    <x v="1"/>
    <n v="84"/>
    <x v="38"/>
    <x v="2"/>
    <s v="Magenta"/>
    <x v="0"/>
    <n v="4"/>
    <x v="1"/>
    <x v="2"/>
    <x v="0"/>
    <x v="0"/>
    <n v="40"/>
    <x v="5"/>
    <x v="5"/>
  </r>
  <r>
    <n v="1122"/>
    <n v="63"/>
    <x v="0"/>
    <x v="17"/>
    <x v="0"/>
    <n v="58"/>
    <x v="20"/>
    <x v="3"/>
    <s v="Peach"/>
    <x v="3"/>
    <n v="3.2"/>
    <x v="1"/>
    <x v="0"/>
    <x v="0"/>
    <x v="0"/>
    <n v="25"/>
    <x v="1"/>
    <x v="3"/>
  </r>
  <r>
    <n v="1123"/>
    <n v="70"/>
    <x v="0"/>
    <x v="8"/>
    <x v="3"/>
    <n v="62"/>
    <x v="17"/>
    <x v="1"/>
    <s v="Charcoal"/>
    <x v="1"/>
    <n v="4.3"/>
    <x v="1"/>
    <x v="4"/>
    <x v="0"/>
    <x v="0"/>
    <n v="12"/>
    <x v="2"/>
    <x v="2"/>
  </r>
  <r>
    <n v="1124"/>
    <n v="36"/>
    <x v="0"/>
    <x v="19"/>
    <x v="3"/>
    <n v="67"/>
    <x v="2"/>
    <x v="1"/>
    <s v="Purple"/>
    <x v="3"/>
    <n v="2.5"/>
    <x v="1"/>
    <x v="5"/>
    <x v="0"/>
    <x v="0"/>
    <n v="38"/>
    <x v="1"/>
    <x v="5"/>
  </r>
  <r>
    <n v="1125"/>
    <n v="42"/>
    <x v="0"/>
    <x v="1"/>
    <x v="0"/>
    <n v="20"/>
    <x v="44"/>
    <x v="2"/>
    <s v="Orange"/>
    <x v="1"/>
    <n v="4.9000000000000004"/>
    <x v="1"/>
    <x v="0"/>
    <x v="0"/>
    <x v="0"/>
    <n v="40"/>
    <x v="1"/>
    <x v="3"/>
  </r>
  <r>
    <n v="1126"/>
    <n v="27"/>
    <x v="0"/>
    <x v="3"/>
    <x v="1"/>
    <n v="90"/>
    <x v="25"/>
    <x v="2"/>
    <s v="Lavender"/>
    <x v="2"/>
    <n v="2.7"/>
    <x v="1"/>
    <x v="4"/>
    <x v="0"/>
    <x v="0"/>
    <n v="10"/>
    <x v="4"/>
    <x v="1"/>
  </r>
  <r>
    <n v="1127"/>
    <n v="23"/>
    <x v="0"/>
    <x v="18"/>
    <x v="3"/>
    <n v="58"/>
    <x v="44"/>
    <x v="0"/>
    <s v="Beige"/>
    <x v="0"/>
    <n v="3.4"/>
    <x v="1"/>
    <x v="3"/>
    <x v="0"/>
    <x v="0"/>
    <n v="47"/>
    <x v="0"/>
    <x v="0"/>
  </r>
  <r>
    <n v="1128"/>
    <n v="50"/>
    <x v="0"/>
    <x v="5"/>
    <x v="0"/>
    <n v="53"/>
    <x v="12"/>
    <x v="3"/>
    <s v="Maroon"/>
    <x v="1"/>
    <n v="4.8"/>
    <x v="1"/>
    <x v="5"/>
    <x v="0"/>
    <x v="0"/>
    <n v="22"/>
    <x v="5"/>
    <x v="5"/>
  </r>
  <r>
    <n v="1129"/>
    <n v="56"/>
    <x v="0"/>
    <x v="24"/>
    <x v="3"/>
    <n v="30"/>
    <x v="14"/>
    <x v="0"/>
    <s v="Charcoal"/>
    <x v="0"/>
    <n v="4.7"/>
    <x v="1"/>
    <x v="2"/>
    <x v="0"/>
    <x v="0"/>
    <n v="35"/>
    <x v="5"/>
    <x v="5"/>
  </r>
  <r>
    <n v="1130"/>
    <n v="37"/>
    <x v="0"/>
    <x v="15"/>
    <x v="0"/>
    <n v="65"/>
    <x v="13"/>
    <x v="3"/>
    <s v="White"/>
    <x v="0"/>
    <n v="4.7"/>
    <x v="1"/>
    <x v="0"/>
    <x v="0"/>
    <x v="0"/>
    <n v="46"/>
    <x v="0"/>
    <x v="0"/>
  </r>
  <r>
    <n v="1131"/>
    <n v="67"/>
    <x v="0"/>
    <x v="16"/>
    <x v="3"/>
    <n v="41"/>
    <x v="0"/>
    <x v="2"/>
    <s v="Lavender"/>
    <x v="2"/>
    <n v="3.9"/>
    <x v="1"/>
    <x v="3"/>
    <x v="0"/>
    <x v="0"/>
    <n v="30"/>
    <x v="3"/>
    <x v="4"/>
  </r>
  <r>
    <n v="1132"/>
    <n v="67"/>
    <x v="0"/>
    <x v="5"/>
    <x v="0"/>
    <n v="73"/>
    <x v="26"/>
    <x v="2"/>
    <s v="Black"/>
    <x v="1"/>
    <n v="3.7"/>
    <x v="1"/>
    <x v="0"/>
    <x v="0"/>
    <x v="0"/>
    <n v="20"/>
    <x v="4"/>
    <x v="5"/>
  </r>
  <r>
    <n v="1133"/>
    <n v="50"/>
    <x v="0"/>
    <x v="15"/>
    <x v="0"/>
    <n v="98"/>
    <x v="17"/>
    <x v="1"/>
    <s v="Teal"/>
    <x v="1"/>
    <n v="4.3"/>
    <x v="1"/>
    <x v="5"/>
    <x v="0"/>
    <x v="0"/>
    <n v="25"/>
    <x v="1"/>
    <x v="0"/>
  </r>
  <r>
    <n v="1134"/>
    <n v="36"/>
    <x v="0"/>
    <x v="9"/>
    <x v="1"/>
    <n v="36"/>
    <x v="39"/>
    <x v="3"/>
    <s v="Magenta"/>
    <x v="0"/>
    <n v="4.0999999999999996"/>
    <x v="1"/>
    <x v="4"/>
    <x v="0"/>
    <x v="0"/>
    <n v="29"/>
    <x v="1"/>
    <x v="1"/>
  </r>
  <r>
    <n v="1135"/>
    <n v="62"/>
    <x v="0"/>
    <x v="17"/>
    <x v="0"/>
    <n v="81"/>
    <x v="48"/>
    <x v="2"/>
    <s v="Brown"/>
    <x v="2"/>
    <n v="4.5999999999999996"/>
    <x v="1"/>
    <x v="0"/>
    <x v="0"/>
    <x v="0"/>
    <n v="2"/>
    <x v="0"/>
    <x v="6"/>
  </r>
  <r>
    <n v="1136"/>
    <n v="65"/>
    <x v="0"/>
    <x v="11"/>
    <x v="0"/>
    <n v="90"/>
    <x v="2"/>
    <x v="0"/>
    <s v="Peach"/>
    <x v="0"/>
    <n v="3.6"/>
    <x v="1"/>
    <x v="4"/>
    <x v="0"/>
    <x v="0"/>
    <n v="32"/>
    <x v="4"/>
    <x v="3"/>
  </r>
  <r>
    <n v="1137"/>
    <n v="23"/>
    <x v="0"/>
    <x v="8"/>
    <x v="3"/>
    <n v="83"/>
    <x v="26"/>
    <x v="1"/>
    <s v="Cyan"/>
    <x v="2"/>
    <n v="4.8"/>
    <x v="1"/>
    <x v="1"/>
    <x v="0"/>
    <x v="0"/>
    <n v="37"/>
    <x v="1"/>
    <x v="5"/>
  </r>
  <r>
    <n v="1138"/>
    <n v="46"/>
    <x v="0"/>
    <x v="5"/>
    <x v="0"/>
    <n v="91"/>
    <x v="35"/>
    <x v="3"/>
    <s v="Pink"/>
    <x v="0"/>
    <n v="2.8"/>
    <x v="1"/>
    <x v="4"/>
    <x v="0"/>
    <x v="0"/>
    <n v="16"/>
    <x v="4"/>
    <x v="6"/>
  </r>
  <r>
    <n v="1139"/>
    <n v="18"/>
    <x v="0"/>
    <x v="13"/>
    <x v="0"/>
    <n v="36"/>
    <x v="44"/>
    <x v="2"/>
    <s v="Purple"/>
    <x v="2"/>
    <n v="4.7"/>
    <x v="1"/>
    <x v="0"/>
    <x v="0"/>
    <x v="0"/>
    <n v="32"/>
    <x v="0"/>
    <x v="0"/>
  </r>
  <r>
    <n v="1140"/>
    <n v="58"/>
    <x v="0"/>
    <x v="7"/>
    <x v="2"/>
    <n v="53"/>
    <x v="15"/>
    <x v="0"/>
    <s v="Purple"/>
    <x v="1"/>
    <n v="3.9"/>
    <x v="1"/>
    <x v="3"/>
    <x v="0"/>
    <x v="0"/>
    <n v="42"/>
    <x v="5"/>
    <x v="4"/>
  </r>
  <r>
    <n v="1141"/>
    <n v="31"/>
    <x v="0"/>
    <x v="2"/>
    <x v="0"/>
    <n v="39"/>
    <x v="33"/>
    <x v="2"/>
    <s v="White"/>
    <x v="0"/>
    <n v="2.6"/>
    <x v="1"/>
    <x v="5"/>
    <x v="0"/>
    <x v="0"/>
    <n v="6"/>
    <x v="2"/>
    <x v="6"/>
  </r>
  <r>
    <n v="1142"/>
    <n v="39"/>
    <x v="0"/>
    <x v="24"/>
    <x v="3"/>
    <n v="33"/>
    <x v="31"/>
    <x v="1"/>
    <s v="Silver"/>
    <x v="0"/>
    <n v="4.7"/>
    <x v="1"/>
    <x v="2"/>
    <x v="0"/>
    <x v="0"/>
    <n v="23"/>
    <x v="3"/>
    <x v="0"/>
  </r>
  <r>
    <n v="1143"/>
    <n v="69"/>
    <x v="0"/>
    <x v="17"/>
    <x v="0"/>
    <n v="76"/>
    <x v="31"/>
    <x v="0"/>
    <s v="Green"/>
    <x v="1"/>
    <n v="3.5"/>
    <x v="1"/>
    <x v="5"/>
    <x v="0"/>
    <x v="0"/>
    <n v="27"/>
    <x v="0"/>
    <x v="4"/>
  </r>
  <r>
    <n v="1144"/>
    <n v="68"/>
    <x v="0"/>
    <x v="23"/>
    <x v="1"/>
    <n v="23"/>
    <x v="22"/>
    <x v="0"/>
    <s v="Teal"/>
    <x v="0"/>
    <n v="4.4000000000000004"/>
    <x v="1"/>
    <x v="3"/>
    <x v="0"/>
    <x v="0"/>
    <n v="43"/>
    <x v="3"/>
    <x v="3"/>
  </r>
  <r>
    <n v="1145"/>
    <n v="41"/>
    <x v="0"/>
    <x v="2"/>
    <x v="0"/>
    <n v="54"/>
    <x v="36"/>
    <x v="1"/>
    <s v="Indigo"/>
    <x v="3"/>
    <n v="4.4000000000000004"/>
    <x v="1"/>
    <x v="4"/>
    <x v="0"/>
    <x v="0"/>
    <n v="25"/>
    <x v="4"/>
    <x v="0"/>
  </r>
  <r>
    <n v="1146"/>
    <n v="31"/>
    <x v="0"/>
    <x v="4"/>
    <x v="1"/>
    <n v="89"/>
    <x v="22"/>
    <x v="0"/>
    <s v="Pink"/>
    <x v="2"/>
    <n v="3"/>
    <x v="1"/>
    <x v="0"/>
    <x v="0"/>
    <x v="0"/>
    <n v="30"/>
    <x v="1"/>
    <x v="6"/>
  </r>
  <r>
    <n v="1147"/>
    <n v="48"/>
    <x v="0"/>
    <x v="4"/>
    <x v="1"/>
    <n v="38"/>
    <x v="48"/>
    <x v="2"/>
    <s v="Indigo"/>
    <x v="2"/>
    <n v="4.2"/>
    <x v="1"/>
    <x v="3"/>
    <x v="0"/>
    <x v="0"/>
    <n v="7"/>
    <x v="4"/>
    <x v="6"/>
  </r>
  <r>
    <n v="1148"/>
    <n v="59"/>
    <x v="0"/>
    <x v="19"/>
    <x v="3"/>
    <n v="36"/>
    <x v="30"/>
    <x v="3"/>
    <s v="Red"/>
    <x v="0"/>
    <n v="4.3"/>
    <x v="1"/>
    <x v="2"/>
    <x v="0"/>
    <x v="0"/>
    <n v="17"/>
    <x v="5"/>
    <x v="2"/>
  </r>
  <r>
    <n v="1149"/>
    <n v="34"/>
    <x v="0"/>
    <x v="13"/>
    <x v="0"/>
    <n v="66"/>
    <x v="20"/>
    <x v="2"/>
    <s v="Violet"/>
    <x v="1"/>
    <n v="2.6"/>
    <x v="1"/>
    <x v="5"/>
    <x v="0"/>
    <x v="0"/>
    <n v="10"/>
    <x v="3"/>
    <x v="0"/>
  </r>
  <r>
    <n v="1150"/>
    <n v="21"/>
    <x v="0"/>
    <x v="16"/>
    <x v="3"/>
    <n v="42"/>
    <x v="42"/>
    <x v="0"/>
    <s v="Cyan"/>
    <x v="1"/>
    <n v="3.3"/>
    <x v="1"/>
    <x v="5"/>
    <x v="0"/>
    <x v="0"/>
    <n v="40"/>
    <x v="0"/>
    <x v="2"/>
  </r>
  <r>
    <n v="1151"/>
    <n v="29"/>
    <x v="0"/>
    <x v="16"/>
    <x v="3"/>
    <n v="36"/>
    <x v="0"/>
    <x v="1"/>
    <s v="Red"/>
    <x v="0"/>
    <n v="2.7"/>
    <x v="1"/>
    <x v="2"/>
    <x v="0"/>
    <x v="0"/>
    <n v="50"/>
    <x v="0"/>
    <x v="4"/>
  </r>
  <r>
    <n v="1152"/>
    <n v="41"/>
    <x v="0"/>
    <x v="0"/>
    <x v="0"/>
    <n v="86"/>
    <x v="31"/>
    <x v="2"/>
    <s v="Gray"/>
    <x v="1"/>
    <n v="4.2"/>
    <x v="1"/>
    <x v="0"/>
    <x v="0"/>
    <x v="0"/>
    <n v="24"/>
    <x v="2"/>
    <x v="1"/>
  </r>
  <r>
    <n v="1153"/>
    <n v="62"/>
    <x v="0"/>
    <x v="8"/>
    <x v="3"/>
    <n v="49"/>
    <x v="39"/>
    <x v="2"/>
    <s v="Gold"/>
    <x v="3"/>
    <n v="4"/>
    <x v="1"/>
    <x v="3"/>
    <x v="0"/>
    <x v="0"/>
    <n v="8"/>
    <x v="3"/>
    <x v="6"/>
  </r>
  <r>
    <n v="1154"/>
    <n v="27"/>
    <x v="0"/>
    <x v="5"/>
    <x v="0"/>
    <n v="41"/>
    <x v="37"/>
    <x v="2"/>
    <s v="Pink"/>
    <x v="2"/>
    <n v="4"/>
    <x v="1"/>
    <x v="1"/>
    <x v="0"/>
    <x v="0"/>
    <n v="6"/>
    <x v="4"/>
    <x v="3"/>
  </r>
  <r>
    <n v="1155"/>
    <n v="49"/>
    <x v="0"/>
    <x v="10"/>
    <x v="0"/>
    <n v="82"/>
    <x v="42"/>
    <x v="0"/>
    <s v="Cyan"/>
    <x v="1"/>
    <n v="2.9"/>
    <x v="1"/>
    <x v="4"/>
    <x v="0"/>
    <x v="0"/>
    <n v="44"/>
    <x v="2"/>
    <x v="4"/>
  </r>
  <r>
    <n v="1156"/>
    <n v="67"/>
    <x v="0"/>
    <x v="17"/>
    <x v="0"/>
    <n v="53"/>
    <x v="30"/>
    <x v="1"/>
    <s v="Red"/>
    <x v="3"/>
    <n v="2.6"/>
    <x v="1"/>
    <x v="0"/>
    <x v="0"/>
    <x v="0"/>
    <n v="47"/>
    <x v="3"/>
    <x v="3"/>
  </r>
  <r>
    <n v="1157"/>
    <n v="20"/>
    <x v="0"/>
    <x v="9"/>
    <x v="1"/>
    <n v="21"/>
    <x v="11"/>
    <x v="2"/>
    <s v="Gold"/>
    <x v="2"/>
    <n v="4.8"/>
    <x v="1"/>
    <x v="0"/>
    <x v="0"/>
    <x v="0"/>
    <n v="6"/>
    <x v="0"/>
    <x v="6"/>
  </r>
  <r>
    <n v="1158"/>
    <n v="37"/>
    <x v="0"/>
    <x v="22"/>
    <x v="3"/>
    <n v="66"/>
    <x v="33"/>
    <x v="2"/>
    <s v="Charcoal"/>
    <x v="3"/>
    <n v="4.4000000000000004"/>
    <x v="1"/>
    <x v="3"/>
    <x v="0"/>
    <x v="0"/>
    <n v="11"/>
    <x v="1"/>
    <x v="3"/>
  </r>
  <r>
    <n v="1159"/>
    <n v="69"/>
    <x v="0"/>
    <x v="22"/>
    <x v="3"/>
    <n v="89"/>
    <x v="22"/>
    <x v="0"/>
    <s v="Orange"/>
    <x v="2"/>
    <n v="4"/>
    <x v="1"/>
    <x v="4"/>
    <x v="0"/>
    <x v="0"/>
    <n v="41"/>
    <x v="4"/>
    <x v="2"/>
  </r>
  <r>
    <n v="1160"/>
    <n v="66"/>
    <x v="0"/>
    <x v="8"/>
    <x v="3"/>
    <n v="55"/>
    <x v="13"/>
    <x v="0"/>
    <s v="Blue"/>
    <x v="3"/>
    <n v="3.6"/>
    <x v="1"/>
    <x v="4"/>
    <x v="0"/>
    <x v="0"/>
    <n v="46"/>
    <x v="0"/>
    <x v="6"/>
  </r>
  <r>
    <n v="1161"/>
    <n v="37"/>
    <x v="0"/>
    <x v="18"/>
    <x v="3"/>
    <n v="42"/>
    <x v="25"/>
    <x v="1"/>
    <s v="Blue"/>
    <x v="2"/>
    <n v="3.2"/>
    <x v="1"/>
    <x v="2"/>
    <x v="0"/>
    <x v="0"/>
    <n v="9"/>
    <x v="0"/>
    <x v="4"/>
  </r>
  <r>
    <n v="1162"/>
    <n v="63"/>
    <x v="0"/>
    <x v="6"/>
    <x v="0"/>
    <n v="52"/>
    <x v="19"/>
    <x v="1"/>
    <s v="Orange"/>
    <x v="3"/>
    <n v="3.1"/>
    <x v="1"/>
    <x v="4"/>
    <x v="0"/>
    <x v="0"/>
    <n v="37"/>
    <x v="3"/>
    <x v="5"/>
  </r>
  <r>
    <n v="1163"/>
    <n v="47"/>
    <x v="0"/>
    <x v="3"/>
    <x v="1"/>
    <n v="92"/>
    <x v="17"/>
    <x v="2"/>
    <s v="Blue"/>
    <x v="0"/>
    <n v="4.2"/>
    <x v="1"/>
    <x v="0"/>
    <x v="0"/>
    <x v="0"/>
    <n v="13"/>
    <x v="3"/>
    <x v="1"/>
  </r>
  <r>
    <n v="1164"/>
    <n v="26"/>
    <x v="0"/>
    <x v="13"/>
    <x v="0"/>
    <n v="56"/>
    <x v="30"/>
    <x v="0"/>
    <s v="White"/>
    <x v="2"/>
    <n v="3"/>
    <x v="1"/>
    <x v="4"/>
    <x v="0"/>
    <x v="0"/>
    <n v="24"/>
    <x v="5"/>
    <x v="5"/>
  </r>
  <r>
    <n v="1165"/>
    <n v="68"/>
    <x v="0"/>
    <x v="10"/>
    <x v="0"/>
    <n v="96"/>
    <x v="6"/>
    <x v="2"/>
    <s v="Green"/>
    <x v="0"/>
    <n v="4.2"/>
    <x v="1"/>
    <x v="3"/>
    <x v="0"/>
    <x v="0"/>
    <n v="47"/>
    <x v="3"/>
    <x v="3"/>
  </r>
  <r>
    <n v="1166"/>
    <n v="51"/>
    <x v="0"/>
    <x v="17"/>
    <x v="0"/>
    <n v="64"/>
    <x v="48"/>
    <x v="2"/>
    <s v="Silver"/>
    <x v="0"/>
    <n v="2.9"/>
    <x v="1"/>
    <x v="2"/>
    <x v="0"/>
    <x v="0"/>
    <n v="21"/>
    <x v="0"/>
    <x v="6"/>
  </r>
  <r>
    <n v="1167"/>
    <n v="48"/>
    <x v="0"/>
    <x v="10"/>
    <x v="0"/>
    <n v="48"/>
    <x v="39"/>
    <x v="1"/>
    <s v="Lavender"/>
    <x v="0"/>
    <n v="3.7"/>
    <x v="1"/>
    <x v="5"/>
    <x v="0"/>
    <x v="0"/>
    <n v="22"/>
    <x v="0"/>
    <x v="0"/>
  </r>
  <r>
    <n v="1168"/>
    <n v="60"/>
    <x v="0"/>
    <x v="20"/>
    <x v="0"/>
    <n v="83"/>
    <x v="32"/>
    <x v="3"/>
    <s v="Beige"/>
    <x v="2"/>
    <n v="3.6"/>
    <x v="1"/>
    <x v="1"/>
    <x v="0"/>
    <x v="0"/>
    <n v="16"/>
    <x v="3"/>
    <x v="3"/>
  </r>
  <r>
    <n v="1169"/>
    <n v="68"/>
    <x v="0"/>
    <x v="18"/>
    <x v="3"/>
    <n v="91"/>
    <x v="16"/>
    <x v="0"/>
    <s v="Violet"/>
    <x v="2"/>
    <n v="3.6"/>
    <x v="1"/>
    <x v="3"/>
    <x v="0"/>
    <x v="0"/>
    <n v="37"/>
    <x v="5"/>
    <x v="0"/>
  </r>
  <r>
    <n v="1170"/>
    <n v="25"/>
    <x v="0"/>
    <x v="21"/>
    <x v="3"/>
    <n v="94"/>
    <x v="5"/>
    <x v="1"/>
    <s v="Gray"/>
    <x v="3"/>
    <n v="4.5"/>
    <x v="1"/>
    <x v="4"/>
    <x v="0"/>
    <x v="0"/>
    <n v="3"/>
    <x v="1"/>
    <x v="2"/>
  </r>
  <r>
    <n v="1171"/>
    <n v="57"/>
    <x v="0"/>
    <x v="11"/>
    <x v="0"/>
    <n v="62"/>
    <x v="26"/>
    <x v="1"/>
    <s v="Red"/>
    <x v="1"/>
    <n v="3.2"/>
    <x v="1"/>
    <x v="0"/>
    <x v="0"/>
    <x v="0"/>
    <n v="33"/>
    <x v="1"/>
    <x v="4"/>
  </r>
  <r>
    <n v="1172"/>
    <n v="41"/>
    <x v="0"/>
    <x v="20"/>
    <x v="0"/>
    <n v="55"/>
    <x v="7"/>
    <x v="2"/>
    <s v="Lavender"/>
    <x v="1"/>
    <n v="3.9"/>
    <x v="1"/>
    <x v="2"/>
    <x v="0"/>
    <x v="0"/>
    <n v="15"/>
    <x v="5"/>
    <x v="2"/>
  </r>
  <r>
    <n v="1173"/>
    <n v="59"/>
    <x v="0"/>
    <x v="7"/>
    <x v="2"/>
    <n v="68"/>
    <x v="4"/>
    <x v="0"/>
    <s v="Peach"/>
    <x v="1"/>
    <n v="4.5999999999999996"/>
    <x v="1"/>
    <x v="5"/>
    <x v="0"/>
    <x v="0"/>
    <n v="42"/>
    <x v="4"/>
    <x v="4"/>
  </r>
  <r>
    <n v="1174"/>
    <n v="44"/>
    <x v="0"/>
    <x v="16"/>
    <x v="3"/>
    <n v="76"/>
    <x v="45"/>
    <x v="2"/>
    <s v="Indigo"/>
    <x v="0"/>
    <n v="2.5"/>
    <x v="1"/>
    <x v="0"/>
    <x v="0"/>
    <x v="0"/>
    <n v="42"/>
    <x v="1"/>
    <x v="4"/>
  </r>
  <r>
    <n v="1175"/>
    <n v="42"/>
    <x v="0"/>
    <x v="21"/>
    <x v="3"/>
    <n v="31"/>
    <x v="49"/>
    <x v="2"/>
    <s v="Black"/>
    <x v="0"/>
    <n v="4.3"/>
    <x v="1"/>
    <x v="0"/>
    <x v="0"/>
    <x v="0"/>
    <n v="19"/>
    <x v="4"/>
    <x v="4"/>
  </r>
  <r>
    <n v="1176"/>
    <n v="35"/>
    <x v="0"/>
    <x v="22"/>
    <x v="3"/>
    <n v="81"/>
    <x v="32"/>
    <x v="2"/>
    <s v="Beige"/>
    <x v="1"/>
    <n v="4.0999999999999996"/>
    <x v="1"/>
    <x v="5"/>
    <x v="0"/>
    <x v="0"/>
    <n v="26"/>
    <x v="3"/>
    <x v="3"/>
  </r>
  <r>
    <n v="1177"/>
    <n v="36"/>
    <x v="0"/>
    <x v="10"/>
    <x v="0"/>
    <n v="83"/>
    <x v="4"/>
    <x v="2"/>
    <s v="Red"/>
    <x v="0"/>
    <n v="4.5999999999999996"/>
    <x v="1"/>
    <x v="1"/>
    <x v="0"/>
    <x v="0"/>
    <n v="39"/>
    <x v="3"/>
    <x v="3"/>
  </r>
  <r>
    <n v="1178"/>
    <n v="54"/>
    <x v="0"/>
    <x v="11"/>
    <x v="0"/>
    <n v="21"/>
    <x v="44"/>
    <x v="2"/>
    <s v="Black"/>
    <x v="1"/>
    <n v="4.8"/>
    <x v="1"/>
    <x v="3"/>
    <x v="0"/>
    <x v="0"/>
    <n v="24"/>
    <x v="5"/>
    <x v="5"/>
  </r>
  <r>
    <n v="1179"/>
    <n v="37"/>
    <x v="0"/>
    <x v="10"/>
    <x v="0"/>
    <n v="22"/>
    <x v="36"/>
    <x v="2"/>
    <s v="Teal"/>
    <x v="1"/>
    <n v="4.9000000000000004"/>
    <x v="1"/>
    <x v="0"/>
    <x v="0"/>
    <x v="0"/>
    <n v="23"/>
    <x v="5"/>
    <x v="2"/>
  </r>
  <r>
    <n v="1180"/>
    <n v="20"/>
    <x v="0"/>
    <x v="17"/>
    <x v="0"/>
    <n v="33"/>
    <x v="27"/>
    <x v="2"/>
    <s v="Blue"/>
    <x v="2"/>
    <n v="2.8"/>
    <x v="1"/>
    <x v="1"/>
    <x v="0"/>
    <x v="0"/>
    <n v="44"/>
    <x v="4"/>
    <x v="2"/>
  </r>
  <r>
    <n v="1181"/>
    <n v="23"/>
    <x v="0"/>
    <x v="11"/>
    <x v="0"/>
    <n v="23"/>
    <x v="4"/>
    <x v="1"/>
    <s v="Beige"/>
    <x v="1"/>
    <n v="4.9000000000000004"/>
    <x v="1"/>
    <x v="3"/>
    <x v="0"/>
    <x v="0"/>
    <n v="34"/>
    <x v="1"/>
    <x v="5"/>
  </r>
  <r>
    <n v="1182"/>
    <n v="61"/>
    <x v="0"/>
    <x v="6"/>
    <x v="0"/>
    <n v="96"/>
    <x v="14"/>
    <x v="0"/>
    <s v="Teal"/>
    <x v="2"/>
    <n v="3.5"/>
    <x v="1"/>
    <x v="1"/>
    <x v="0"/>
    <x v="0"/>
    <n v="43"/>
    <x v="4"/>
    <x v="3"/>
  </r>
  <r>
    <n v="1183"/>
    <n v="37"/>
    <x v="0"/>
    <x v="16"/>
    <x v="3"/>
    <n v="21"/>
    <x v="35"/>
    <x v="2"/>
    <s v="Maroon"/>
    <x v="1"/>
    <n v="3.8"/>
    <x v="1"/>
    <x v="0"/>
    <x v="0"/>
    <x v="0"/>
    <n v="45"/>
    <x v="3"/>
    <x v="3"/>
  </r>
  <r>
    <n v="1184"/>
    <n v="23"/>
    <x v="0"/>
    <x v="13"/>
    <x v="0"/>
    <n v="39"/>
    <x v="7"/>
    <x v="2"/>
    <s v="Yellow"/>
    <x v="1"/>
    <n v="4.5"/>
    <x v="1"/>
    <x v="4"/>
    <x v="0"/>
    <x v="0"/>
    <n v="4"/>
    <x v="2"/>
    <x v="1"/>
  </r>
  <r>
    <n v="1185"/>
    <n v="63"/>
    <x v="0"/>
    <x v="22"/>
    <x v="3"/>
    <n v="73"/>
    <x v="36"/>
    <x v="1"/>
    <s v="Indigo"/>
    <x v="3"/>
    <n v="3.4"/>
    <x v="1"/>
    <x v="0"/>
    <x v="0"/>
    <x v="0"/>
    <n v="19"/>
    <x v="2"/>
    <x v="2"/>
  </r>
  <r>
    <n v="1186"/>
    <n v="47"/>
    <x v="0"/>
    <x v="2"/>
    <x v="0"/>
    <n v="64"/>
    <x v="1"/>
    <x v="2"/>
    <s v="Magenta"/>
    <x v="1"/>
    <n v="3.9"/>
    <x v="1"/>
    <x v="3"/>
    <x v="0"/>
    <x v="0"/>
    <n v="29"/>
    <x v="2"/>
    <x v="5"/>
  </r>
  <r>
    <n v="1187"/>
    <n v="63"/>
    <x v="0"/>
    <x v="2"/>
    <x v="0"/>
    <n v="68"/>
    <x v="27"/>
    <x v="2"/>
    <s v="Beige"/>
    <x v="2"/>
    <n v="4.0999999999999996"/>
    <x v="1"/>
    <x v="4"/>
    <x v="0"/>
    <x v="0"/>
    <n v="27"/>
    <x v="2"/>
    <x v="2"/>
  </r>
  <r>
    <n v="1188"/>
    <n v="56"/>
    <x v="0"/>
    <x v="19"/>
    <x v="3"/>
    <n v="89"/>
    <x v="44"/>
    <x v="0"/>
    <s v="Maroon"/>
    <x v="3"/>
    <n v="3"/>
    <x v="1"/>
    <x v="0"/>
    <x v="0"/>
    <x v="0"/>
    <n v="37"/>
    <x v="2"/>
    <x v="6"/>
  </r>
  <r>
    <n v="1189"/>
    <n v="68"/>
    <x v="0"/>
    <x v="0"/>
    <x v="0"/>
    <n v="29"/>
    <x v="16"/>
    <x v="2"/>
    <s v="Magenta"/>
    <x v="2"/>
    <n v="3.3"/>
    <x v="1"/>
    <x v="2"/>
    <x v="0"/>
    <x v="0"/>
    <n v="11"/>
    <x v="2"/>
    <x v="1"/>
  </r>
  <r>
    <n v="1190"/>
    <n v="64"/>
    <x v="0"/>
    <x v="5"/>
    <x v="0"/>
    <n v="97"/>
    <x v="10"/>
    <x v="3"/>
    <s v="Teal"/>
    <x v="2"/>
    <n v="4.9000000000000004"/>
    <x v="1"/>
    <x v="1"/>
    <x v="0"/>
    <x v="0"/>
    <n v="28"/>
    <x v="5"/>
    <x v="2"/>
  </r>
  <r>
    <n v="1191"/>
    <n v="62"/>
    <x v="0"/>
    <x v="5"/>
    <x v="0"/>
    <n v="45"/>
    <x v="36"/>
    <x v="2"/>
    <s v="Orange"/>
    <x v="0"/>
    <n v="4.3"/>
    <x v="1"/>
    <x v="2"/>
    <x v="0"/>
    <x v="0"/>
    <n v="31"/>
    <x v="2"/>
    <x v="1"/>
  </r>
  <r>
    <n v="1192"/>
    <n v="34"/>
    <x v="0"/>
    <x v="17"/>
    <x v="0"/>
    <n v="70"/>
    <x v="27"/>
    <x v="0"/>
    <s v="Charcoal"/>
    <x v="0"/>
    <n v="4.0999999999999996"/>
    <x v="1"/>
    <x v="1"/>
    <x v="0"/>
    <x v="0"/>
    <n v="50"/>
    <x v="0"/>
    <x v="3"/>
  </r>
  <r>
    <n v="1193"/>
    <n v="49"/>
    <x v="0"/>
    <x v="7"/>
    <x v="2"/>
    <n v="56"/>
    <x v="20"/>
    <x v="2"/>
    <s v="Turquoise"/>
    <x v="2"/>
    <n v="4"/>
    <x v="1"/>
    <x v="4"/>
    <x v="0"/>
    <x v="0"/>
    <n v="42"/>
    <x v="0"/>
    <x v="3"/>
  </r>
  <r>
    <n v="1194"/>
    <n v="40"/>
    <x v="0"/>
    <x v="14"/>
    <x v="2"/>
    <n v="55"/>
    <x v="29"/>
    <x v="0"/>
    <s v="Pink"/>
    <x v="3"/>
    <n v="5"/>
    <x v="1"/>
    <x v="4"/>
    <x v="0"/>
    <x v="0"/>
    <n v="18"/>
    <x v="2"/>
    <x v="0"/>
  </r>
  <r>
    <n v="1195"/>
    <n v="50"/>
    <x v="0"/>
    <x v="15"/>
    <x v="0"/>
    <n v="46"/>
    <x v="14"/>
    <x v="1"/>
    <s v="Teal"/>
    <x v="0"/>
    <n v="3.1"/>
    <x v="1"/>
    <x v="4"/>
    <x v="0"/>
    <x v="0"/>
    <n v="6"/>
    <x v="2"/>
    <x v="0"/>
  </r>
  <r>
    <n v="1196"/>
    <n v="25"/>
    <x v="0"/>
    <x v="18"/>
    <x v="3"/>
    <n v="95"/>
    <x v="21"/>
    <x v="2"/>
    <s v="White"/>
    <x v="0"/>
    <n v="4"/>
    <x v="1"/>
    <x v="4"/>
    <x v="0"/>
    <x v="0"/>
    <n v="33"/>
    <x v="0"/>
    <x v="5"/>
  </r>
  <r>
    <n v="1197"/>
    <n v="30"/>
    <x v="0"/>
    <x v="22"/>
    <x v="3"/>
    <n v="88"/>
    <x v="25"/>
    <x v="2"/>
    <s v="Maroon"/>
    <x v="0"/>
    <n v="3.2"/>
    <x v="1"/>
    <x v="4"/>
    <x v="0"/>
    <x v="0"/>
    <n v="13"/>
    <x v="4"/>
    <x v="4"/>
  </r>
  <r>
    <n v="1198"/>
    <n v="54"/>
    <x v="0"/>
    <x v="4"/>
    <x v="1"/>
    <n v="92"/>
    <x v="34"/>
    <x v="0"/>
    <s v="Violet"/>
    <x v="3"/>
    <n v="3.9"/>
    <x v="1"/>
    <x v="3"/>
    <x v="0"/>
    <x v="0"/>
    <n v="26"/>
    <x v="3"/>
    <x v="2"/>
  </r>
  <r>
    <n v="1199"/>
    <n v="40"/>
    <x v="0"/>
    <x v="20"/>
    <x v="0"/>
    <n v="49"/>
    <x v="32"/>
    <x v="2"/>
    <s v="Brown"/>
    <x v="2"/>
    <n v="3.9"/>
    <x v="1"/>
    <x v="4"/>
    <x v="0"/>
    <x v="0"/>
    <n v="17"/>
    <x v="1"/>
    <x v="2"/>
  </r>
  <r>
    <n v="1200"/>
    <n v="49"/>
    <x v="0"/>
    <x v="3"/>
    <x v="1"/>
    <n v="89"/>
    <x v="33"/>
    <x v="2"/>
    <s v="Indigo"/>
    <x v="3"/>
    <n v="4.5"/>
    <x v="1"/>
    <x v="1"/>
    <x v="0"/>
    <x v="0"/>
    <n v="3"/>
    <x v="5"/>
    <x v="1"/>
  </r>
  <r>
    <n v="1201"/>
    <n v="27"/>
    <x v="0"/>
    <x v="7"/>
    <x v="2"/>
    <n v="22"/>
    <x v="39"/>
    <x v="3"/>
    <s v="Black"/>
    <x v="0"/>
    <n v="4.4000000000000004"/>
    <x v="1"/>
    <x v="5"/>
    <x v="0"/>
    <x v="0"/>
    <n v="7"/>
    <x v="3"/>
    <x v="1"/>
  </r>
  <r>
    <n v="1202"/>
    <n v="27"/>
    <x v="0"/>
    <x v="9"/>
    <x v="1"/>
    <n v="61"/>
    <x v="26"/>
    <x v="3"/>
    <s v="Black"/>
    <x v="2"/>
    <n v="3.1"/>
    <x v="1"/>
    <x v="4"/>
    <x v="0"/>
    <x v="0"/>
    <n v="46"/>
    <x v="0"/>
    <x v="0"/>
  </r>
  <r>
    <n v="1203"/>
    <n v="48"/>
    <x v="0"/>
    <x v="18"/>
    <x v="3"/>
    <n v="29"/>
    <x v="33"/>
    <x v="1"/>
    <s v="Olive"/>
    <x v="1"/>
    <n v="2.9"/>
    <x v="1"/>
    <x v="3"/>
    <x v="0"/>
    <x v="0"/>
    <n v="14"/>
    <x v="0"/>
    <x v="6"/>
  </r>
  <r>
    <n v="1204"/>
    <n v="40"/>
    <x v="0"/>
    <x v="4"/>
    <x v="1"/>
    <n v="82"/>
    <x v="46"/>
    <x v="2"/>
    <s v="Orange"/>
    <x v="0"/>
    <n v="3.7"/>
    <x v="1"/>
    <x v="1"/>
    <x v="0"/>
    <x v="0"/>
    <n v="23"/>
    <x v="4"/>
    <x v="2"/>
  </r>
  <r>
    <n v="1205"/>
    <n v="67"/>
    <x v="0"/>
    <x v="22"/>
    <x v="3"/>
    <n v="94"/>
    <x v="20"/>
    <x v="2"/>
    <s v="Pink"/>
    <x v="1"/>
    <n v="3.2"/>
    <x v="1"/>
    <x v="4"/>
    <x v="0"/>
    <x v="0"/>
    <n v="20"/>
    <x v="2"/>
    <x v="6"/>
  </r>
  <r>
    <n v="1206"/>
    <n v="52"/>
    <x v="0"/>
    <x v="8"/>
    <x v="3"/>
    <n v="99"/>
    <x v="18"/>
    <x v="2"/>
    <s v="Olive"/>
    <x v="1"/>
    <n v="3.5"/>
    <x v="1"/>
    <x v="3"/>
    <x v="0"/>
    <x v="0"/>
    <n v="38"/>
    <x v="4"/>
    <x v="0"/>
  </r>
  <r>
    <n v="1207"/>
    <n v="22"/>
    <x v="0"/>
    <x v="8"/>
    <x v="3"/>
    <n v="59"/>
    <x v="16"/>
    <x v="1"/>
    <s v="Cyan"/>
    <x v="3"/>
    <n v="3"/>
    <x v="1"/>
    <x v="1"/>
    <x v="0"/>
    <x v="0"/>
    <n v="16"/>
    <x v="0"/>
    <x v="6"/>
  </r>
  <r>
    <n v="1208"/>
    <n v="62"/>
    <x v="0"/>
    <x v="23"/>
    <x v="1"/>
    <n v="90"/>
    <x v="47"/>
    <x v="2"/>
    <s v="White"/>
    <x v="2"/>
    <n v="4.0999999999999996"/>
    <x v="1"/>
    <x v="2"/>
    <x v="0"/>
    <x v="0"/>
    <n v="48"/>
    <x v="2"/>
    <x v="6"/>
  </r>
  <r>
    <n v="1209"/>
    <n v="20"/>
    <x v="0"/>
    <x v="23"/>
    <x v="1"/>
    <n v="100"/>
    <x v="48"/>
    <x v="1"/>
    <s v="Red"/>
    <x v="0"/>
    <n v="2.9"/>
    <x v="1"/>
    <x v="4"/>
    <x v="0"/>
    <x v="0"/>
    <n v="8"/>
    <x v="5"/>
    <x v="2"/>
  </r>
  <r>
    <n v="1210"/>
    <n v="41"/>
    <x v="0"/>
    <x v="13"/>
    <x v="0"/>
    <n v="62"/>
    <x v="38"/>
    <x v="2"/>
    <s v="Blue"/>
    <x v="0"/>
    <n v="3.8"/>
    <x v="1"/>
    <x v="2"/>
    <x v="0"/>
    <x v="0"/>
    <n v="16"/>
    <x v="4"/>
    <x v="5"/>
  </r>
  <r>
    <n v="1211"/>
    <n v="34"/>
    <x v="0"/>
    <x v="12"/>
    <x v="3"/>
    <n v="78"/>
    <x v="9"/>
    <x v="2"/>
    <s v="Olive"/>
    <x v="3"/>
    <n v="4.0999999999999996"/>
    <x v="1"/>
    <x v="2"/>
    <x v="0"/>
    <x v="0"/>
    <n v="5"/>
    <x v="1"/>
    <x v="3"/>
  </r>
  <r>
    <n v="1212"/>
    <n v="23"/>
    <x v="0"/>
    <x v="15"/>
    <x v="0"/>
    <n v="94"/>
    <x v="19"/>
    <x v="2"/>
    <s v="Green"/>
    <x v="1"/>
    <n v="4.5999999999999996"/>
    <x v="1"/>
    <x v="5"/>
    <x v="0"/>
    <x v="0"/>
    <n v="14"/>
    <x v="0"/>
    <x v="6"/>
  </r>
  <r>
    <n v="1213"/>
    <n v="32"/>
    <x v="0"/>
    <x v="9"/>
    <x v="1"/>
    <n v="74"/>
    <x v="38"/>
    <x v="2"/>
    <s v="Yellow"/>
    <x v="2"/>
    <n v="2.5"/>
    <x v="1"/>
    <x v="1"/>
    <x v="0"/>
    <x v="0"/>
    <n v="18"/>
    <x v="2"/>
    <x v="1"/>
  </r>
  <r>
    <n v="1214"/>
    <n v="68"/>
    <x v="0"/>
    <x v="8"/>
    <x v="3"/>
    <n v="52"/>
    <x v="0"/>
    <x v="3"/>
    <s v="Black"/>
    <x v="1"/>
    <n v="3.7"/>
    <x v="1"/>
    <x v="0"/>
    <x v="0"/>
    <x v="0"/>
    <n v="14"/>
    <x v="5"/>
    <x v="6"/>
  </r>
  <r>
    <n v="1215"/>
    <n v="30"/>
    <x v="0"/>
    <x v="14"/>
    <x v="2"/>
    <n v="81"/>
    <x v="34"/>
    <x v="2"/>
    <s v="Blue"/>
    <x v="3"/>
    <n v="3.8"/>
    <x v="1"/>
    <x v="1"/>
    <x v="0"/>
    <x v="0"/>
    <n v="5"/>
    <x v="1"/>
    <x v="6"/>
  </r>
  <r>
    <n v="1216"/>
    <n v="66"/>
    <x v="0"/>
    <x v="0"/>
    <x v="0"/>
    <n v="20"/>
    <x v="4"/>
    <x v="0"/>
    <s v="Pink"/>
    <x v="0"/>
    <n v="2.6"/>
    <x v="1"/>
    <x v="4"/>
    <x v="0"/>
    <x v="0"/>
    <n v="15"/>
    <x v="2"/>
    <x v="6"/>
  </r>
  <r>
    <n v="1217"/>
    <n v="62"/>
    <x v="0"/>
    <x v="13"/>
    <x v="0"/>
    <n v="32"/>
    <x v="40"/>
    <x v="3"/>
    <s v="Lavender"/>
    <x v="2"/>
    <n v="3.7"/>
    <x v="1"/>
    <x v="1"/>
    <x v="0"/>
    <x v="0"/>
    <n v="3"/>
    <x v="0"/>
    <x v="6"/>
  </r>
  <r>
    <n v="1218"/>
    <n v="50"/>
    <x v="0"/>
    <x v="23"/>
    <x v="1"/>
    <n v="63"/>
    <x v="43"/>
    <x v="3"/>
    <s v="Cyan"/>
    <x v="3"/>
    <n v="2.6"/>
    <x v="1"/>
    <x v="1"/>
    <x v="0"/>
    <x v="0"/>
    <n v="12"/>
    <x v="1"/>
    <x v="6"/>
  </r>
  <r>
    <n v="1219"/>
    <n v="55"/>
    <x v="0"/>
    <x v="23"/>
    <x v="1"/>
    <n v="79"/>
    <x v="38"/>
    <x v="2"/>
    <s v="Cyan"/>
    <x v="1"/>
    <n v="3.1"/>
    <x v="1"/>
    <x v="5"/>
    <x v="0"/>
    <x v="0"/>
    <n v="43"/>
    <x v="1"/>
    <x v="6"/>
  </r>
  <r>
    <n v="1220"/>
    <n v="19"/>
    <x v="0"/>
    <x v="1"/>
    <x v="0"/>
    <n v="23"/>
    <x v="34"/>
    <x v="2"/>
    <s v="Gold"/>
    <x v="0"/>
    <n v="2.5"/>
    <x v="1"/>
    <x v="2"/>
    <x v="0"/>
    <x v="0"/>
    <n v="35"/>
    <x v="2"/>
    <x v="4"/>
  </r>
  <r>
    <n v="1221"/>
    <n v="67"/>
    <x v="0"/>
    <x v="24"/>
    <x v="3"/>
    <n v="64"/>
    <x v="0"/>
    <x v="2"/>
    <s v="Green"/>
    <x v="0"/>
    <n v="4.9000000000000004"/>
    <x v="1"/>
    <x v="0"/>
    <x v="0"/>
    <x v="0"/>
    <n v="36"/>
    <x v="4"/>
    <x v="3"/>
  </r>
  <r>
    <n v="1222"/>
    <n v="18"/>
    <x v="0"/>
    <x v="20"/>
    <x v="0"/>
    <n v="69"/>
    <x v="44"/>
    <x v="2"/>
    <s v="Red"/>
    <x v="0"/>
    <n v="4.5"/>
    <x v="1"/>
    <x v="3"/>
    <x v="0"/>
    <x v="0"/>
    <n v="3"/>
    <x v="1"/>
    <x v="3"/>
  </r>
  <r>
    <n v="1223"/>
    <n v="58"/>
    <x v="0"/>
    <x v="2"/>
    <x v="0"/>
    <n v="69"/>
    <x v="27"/>
    <x v="0"/>
    <s v="Magenta"/>
    <x v="3"/>
    <n v="3.4"/>
    <x v="1"/>
    <x v="5"/>
    <x v="0"/>
    <x v="0"/>
    <n v="27"/>
    <x v="4"/>
    <x v="2"/>
  </r>
  <r>
    <n v="1224"/>
    <n v="69"/>
    <x v="0"/>
    <x v="13"/>
    <x v="0"/>
    <n v="24"/>
    <x v="23"/>
    <x v="0"/>
    <s v="Red"/>
    <x v="0"/>
    <n v="3.9"/>
    <x v="1"/>
    <x v="1"/>
    <x v="0"/>
    <x v="0"/>
    <n v="21"/>
    <x v="4"/>
    <x v="1"/>
  </r>
  <r>
    <n v="1225"/>
    <n v="62"/>
    <x v="0"/>
    <x v="6"/>
    <x v="0"/>
    <n v="50"/>
    <x v="26"/>
    <x v="2"/>
    <s v="Yellow"/>
    <x v="2"/>
    <n v="3.7"/>
    <x v="1"/>
    <x v="5"/>
    <x v="0"/>
    <x v="0"/>
    <n v="18"/>
    <x v="0"/>
    <x v="1"/>
  </r>
  <r>
    <n v="1226"/>
    <n v="28"/>
    <x v="0"/>
    <x v="24"/>
    <x v="3"/>
    <n v="97"/>
    <x v="17"/>
    <x v="1"/>
    <s v="Turquoise"/>
    <x v="3"/>
    <n v="2.6"/>
    <x v="1"/>
    <x v="1"/>
    <x v="0"/>
    <x v="0"/>
    <n v="16"/>
    <x v="5"/>
    <x v="1"/>
  </r>
  <r>
    <n v="1227"/>
    <n v="53"/>
    <x v="0"/>
    <x v="3"/>
    <x v="1"/>
    <n v="91"/>
    <x v="31"/>
    <x v="1"/>
    <s v="Cyan"/>
    <x v="3"/>
    <n v="3.4"/>
    <x v="1"/>
    <x v="5"/>
    <x v="0"/>
    <x v="0"/>
    <n v="18"/>
    <x v="0"/>
    <x v="4"/>
  </r>
  <r>
    <n v="1228"/>
    <n v="27"/>
    <x v="0"/>
    <x v="0"/>
    <x v="0"/>
    <n v="37"/>
    <x v="26"/>
    <x v="0"/>
    <s v="Yellow"/>
    <x v="1"/>
    <n v="4.9000000000000004"/>
    <x v="1"/>
    <x v="5"/>
    <x v="0"/>
    <x v="0"/>
    <n v="19"/>
    <x v="4"/>
    <x v="4"/>
  </r>
  <r>
    <n v="1229"/>
    <n v="55"/>
    <x v="0"/>
    <x v="14"/>
    <x v="2"/>
    <n v="55"/>
    <x v="27"/>
    <x v="1"/>
    <s v="Yellow"/>
    <x v="0"/>
    <n v="3.9"/>
    <x v="1"/>
    <x v="0"/>
    <x v="0"/>
    <x v="0"/>
    <n v="1"/>
    <x v="1"/>
    <x v="2"/>
  </r>
  <r>
    <n v="1230"/>
    <n v="34"/>
    <x v="0"/>
    <x v="16"/>
    <x v="3"/>
    <n v="52"/>
    <x v="23"/>
    <x v="3"/>
    <s v="Maroon"/>
    <x v="0"/>
    <n v="3.6"/>
    <x v="1"/>
    <x v="0"/>
    <x v="0"/>
    <x v="0"/>
    <n v="39"/>
    <x v="4"/>
    <x v="2"/>
  </r>
  <r>
    <n v="1231"/>
    <n v="25"/>
    <x v="0"/>
    <x v="19"/>
    <x v="3"/>
    <n v="80"/>
    <x v="26"/>
    <x v="0"/>
    <s v="Brown"/>
    <x v="1"/>
    <n v="4.5999999999999996"/>
    <x v="1"/>
    <x v="3"/>
    <x v="0"/>
    <x v="0"/>
    <n v="49"/>
    <x v="0"/>
    <x v="5"/>
  </r>
  <r>
    <n v="1232"/>
    <n v="66"/>
    <x v="0"/>
    <x v="20"/>
    <x v="0"/>
    <n v="79"/>
    <x v="38"/>
    <x v="2"/>
    <s v="Gold"/>
    <x v="1"/>
    <n v="4"/>
    <x v="1"/>
    <x v="4"/>
    <x v="0"/>
    <x v="0"/>
    <n v="43"/>
    <x v="2"/>
    <x v="0"/>
  </r>
  <r>
    <n v="1233"/>
    <n v="57"/>
    <x v="0"/>
    <x v="8"/>
    <x v="3"/>
    <n v="23"/>
    <x v="14"/>
    <x v="2"/>
    <s v="Charcoal"/>
    <x v="2"/>
    <n v="3.6"/>
    <x v="1"/>
    <x v="1"/>
    <x v="0"/>
    <x v="0"/>
    <n v="31"/>
    <x v="5"/>
    <x v="6"/>
  </r>
  <r>
    <n v="1234"/>
    <n v="46"/>
    <x v="0"/>
    <x v="13"/>
    <x v="0"/>
    <n v="73"/>
    <x v="40"/>
    <x v="0"/>
    <s v="Beige"/>
    <x v="0"/>
    <n v="3.5"/>
    <x v="1"/>
    <x v="2"/>
    <x v="0"/>
    <x v="0"/>
    <n v="40"/>
    <x v="0"/>
    <x v="6"/>
  </r>
  <r>
    <n v="1235"/>
    <n v="38"/>
    <x v="0"/>
    <x v="24"/>
    <x v="3"/>
    <n v="99"/>
    <x v="32"/>
    <x v="2"/>
    <s v="Indigo"/>
    <x v="3"/>
    <n v="4.0999999999999996"/>
    <x v="1"/>
    <x v="5"/>
    <x v="0"/>
    <x v="0"/>
    <n v="2"/>
    <x v="4"/>
    <x v="4"/>
  </r>
  <r>
    <n v="1236"/>
    <n v="23"/>
    <x v="0"/>
    <x v="1"/>
    <x v="0"/>
    <n v="22"/>
    <x v="37"/>
    <x v="2"/>
    <s v="Red"/>
    <x v="1"/>
    <n v="3"/>
    <x v="1"/>
    <x v="5"/>
    <x v="0"/>
    <x v="0"/>
    <n v="46"/>
    <x v="3"/>
    <x v="6"/>
  </r>
  <r>
    <n v="1237"/>
    <n v="42"/>
    <x v="0"/>
    <x v="19"/>
    <x v="3"/>
    <n v="68"/>
    <x v="35"/>
    <x v="2"/>
    <s v="White"/>
    <x v="2"/>
    <n v="4.4000000000000004"/>
    <x v="1"/>
    <x v="5"/>
    <x v="0"/>
    <x v="0"/>
    <n v="35"/>
    <x v="5"/>
    <x v="6"/>
  </r>
  <r>
    <n v="1238"/>
    <n v="25"/>
    <x v="0"/>
    <x v="10"/>
    <x v="0"/>
    <n v="92"/>
    <x v="49"/>
    <x v="1"/>
    <s v="Charcoal"/>
    <x v="1"/>
    <n v="4.4000000000000004"/>
    <x v="1"/>
    <x v="4"/>
    <x v="0"/>
    <x v="0"/>
    <n v="42"/>
    <x v="2"/>
    <x v="3"/>
  </r>
  <r>
    <n v="1239"/>
    <n v="55"/>
    <x v="0"/>
    <x v="13"/>
    <x v="0"/>
    <n v="77"/>
    <x v="5"/>
    <x v="2"/>
    <s v="Violet"/>
    <x v="0"/>
    <n v="3.7"/>
    <x v="1"/>
    <x v="0"/>
    <x v="0"/>
    <x v="0"/>
    <n v="3"/>
    <x v="0"/>
    <x v="0"/>
  </r>
  <r>
    <n v="1240"/>
    <n v="62"/>
    <x v="0"/>
    <x v="7"/>
    <x v="2"/>
    <n v="37"/>
    <x v="32"/>
    <x v="3"/>
    <s v="Magenta"/>
    <x v="1"/>
    <n v="4.8"/>
    <x v="1"/>
    <x v="3"/>
    <x v="0"/>
    <x v="0"/>
    <n v="32"/>
    <x v="5"/>
    <x v="6"/>
  </r>
  <r>
    <n v="1241"/>
    <n v="41"/>
    <x v="0"/>
    <x v="18"/>
    <x v="3"/>
    <n v="79"/>
    <x v="32"/>
    <x v="0"/>
    <s v="White"/>
    <x v="0"/>
    <n v="2.9"/>
    <x v="1"/>
    <x v="5"/>
    <x v="0"/>
    <x v="0"/>
    <n v="48"/>
    <x v="5"/>
    <x v="2"/>
  </r>
  <r>
    <n v="1242"/>
    <n v="58"/>
    <x v="0"/>
    <x v="15"/>
    <x v="0"/>
    <n v="51"/>
    <x v="11"/>
    <x v="3"/>
    <s v="Pink"/>
    <x v="0"/>
    <n v="3.1"/>
    <x v="1"/>
    <x v="0"/>
    <x v="0"/>
    <x v="0"/>
    <n v="34"/>
    <x v="2"/>
    <x v="1"/>
  </r>
  <r>
    <n v="1243"/>
    <n v="56"/>
    <x v="0"/>
    <x v="20"/>
    <x v="0"/>
    <n v="27"/>
    <x v="22"/>
    <x v="2"/>
    <s v="Lavender"/>
    <x v="2"/>
    <n v="4"/>
    <x v="1"/>
    <x v="2"/>
    <x v="0"/>
    <x v="0"/>
    <n v="15"/>
    <x v="4"/>
    <x v="3"/>
  </r>
  <r>
    <n v="1244"/>
    <n v="25"/>
    <x v="0"/>
    <x v="0"/>
    <x v="0"/>
    <n v="23"/>
    <x v="13"/>
    <x v="1"/>
    <s v="Pink"/>
    <x v="1"/>
    <n v="3"/>
    <x v="1"/>
    <x v="5"/>
    <x v="0"/>
    <x v="0"/>
    <n v="22"/>
    <x v="5"/>
    <x v="2"/>
  </r>
  <r>
    <n v="1245"/>
    <n v="70"/>
    <x v="0"/>
    <x v="20"/>
    <x v="0"/>
    <n v="76"/>
    <x v="27"/>
    <x v="1"/>
    <s v="Silver"/>
    <x v="2"/>
    <n v="3.9"/>
    <x v="1"/>
    <x v="4"/>
    <x v="0"/>
    <x v="0"/>
    <n v="2"/>
    <x v="1"/>
    <x v="5"/>
  </r>
  <r>
    <n v="1246"/>
    <n v="42"/>
    <x v="0"/>
    <x v="10"/>
    <x v="0"/>
    <n v="31"/>
    <x v="14"/>
    <x v="2"/>
    <s v="Violet"/>
    <x v="3"/>
    <n v="3.4"/>
    <x v="1"/>
    <x v="3"/>
    <x v="0"/>
    <x v="0"/>
    <n v="30"/>
    <x v="4"/>
    <x v="1"/>
  </r>
  <r>
    <n v="1247"/>
    <n v="27"/>
    <x v="0"/>
    <x v="15"/>
    <x v="0"/>
    <n v="60"/>
    <x v="7"/>
    <x v="2"/>
    <s v="Charcoal"/>
    <x v="0"/>
    <n v="2.7"/>
    <x v="1"/>
    <x v="3"/>
    <x v="0"/>
    <x v="0"/>
    <n v="27"/>
    <x v="1"/>
    <x v="5"/>
  </r>
  <r>
    <n v="1248"/>
    <n v="65"/>
    <x v="0"/>
    <x v="17"/>
    <x v="0"/>
    <n v="99"/>
    <x v="41"/>
    <x v="2"/>
    <s v="Charcoal"/>
    <x v="1"/>
    <n v="3.5"/>
    <x v="1"/>
    <x v="0"/>
    <x v="0"/>
    <x v="0"/>
    <n v="18"/>
    <x v="0"/>
    <x v="4"/>
  </r>
  <r>
    <n v="1249"/>
    <n v="62"/>
    <x v="0"/>
    <x v="19"/>
    <x v="3"/>
    <n v="37"/>
    <x v="48"/>
    <x v="3"/>
    <s v="Red"/>
    <x v="0"/>
    <n v="3"/>
    <x v="1"/>
    <x v="1"/>
    <x v="0"/>
    <x v="0"/>
    <n v="8"/>
    <x v="2"/>
    <x v="2"/>
  </r>
  <r>
    <n v="1250"/>
    <n v="62"/>
    <x v="0"/>
    <x v="23"/>
    <x v="1"/>
    <n v="50"/>
    <x v="4"/>
    <x v="2"/>
    <s v="Peach"/>
    <x v="0"/>
    <n v="4.5"/>
    <x v="1"/>
    <x v="0"/>
    <x v="0"/>
    <x v="0"/>
    <n v="48"/>
    <x v="0"/>
    <x v="0"/>
  </r>
  <r>
    <n v="1251"/>
    <n v="52"/>
    <x v="0"/>
    <x v="2"/>
    <x v="0"/>
    <n v="26"/>
    <x v="13"/>
    <x v="3"/>
    <s v="Purple"/>
    <x v="0"/>
    <n v="4.0999999999999996"/>
    <x v="1"/>
    <x v="1"/>
    <x v="0"/>
    <x v="0"/>
    <n v="24"/>
    <x v="1"/>
    <x v="5"/>
  </r>
  <r>
    <n v="1252"/>
    <n v="56"/>
    <x v="0"/>
    <x v="6"/>
    <x v="0"/>
    <n v="86"/>
    <x v="27"/>
    <x v="3"/>
    <s v="Orange"/>
    <x v="1"/>
    <n v="5"/>
    <x v="1"/>
    <x v="2"/>
    <x v="0"/>
    <x v="0"/>
    <n v="43"/>
    <x v="2"/>
    <x v="5"/>
  </r>
  <r>
    <n v="1253"/>
    <n v="28"/>
    <x v="0"/>
    <x v="3"/>
    <x v="1"/>
    <n v="41"/>
    <x v="2"/>
    <x v="0"/>
    <s v="Magenta"/>
    <x v="3"/>
    <n v="4"/>
    <x v="1"/>
    <x v="3"/>
    <x v="0"/>
    <x v="0"/>
    <n v="8"/>
    <x v="1"/>
    <x v="3"/>
  </r>
  <r>
    <n v="1254"/>
    <n v="39"/>
    <x v="0"/>
    <x v="3"/>
    <x v="1"/>
    <n v="23"/>
    <x v="6"/>
    <x v="3"/>
    <s v="Red"/>
    <x v="0"/>
    <n v="4.9000000000000004"/>
    <x v="1"/>
    <x v="0"/>
    <x v="0"/>
    <x v="0"/>
    <n v="49"/>
    <x v="3"/>
    <x v="2"/>
  </r>
  <r>
    <n v="1255"/>
    <n v="54"/>
    <x v="0"/>
    <x v="4"/>
    <x v="1"/>
    <n v="56"/>
    <x v="18"/>
    <x v="3"/>
    <s v="Black"/>
    <x v="1"/>
    <n v="3.3"/>
    <x v="1"/>
    <x v="4"/>
    <x v="0"/>
    <x v="0"/>
    <n v="2"/>
    <x v="2"/>
    <x v="4"/>
  </r>
  <r>
    <n v="1256"/>
    <n v="30"/>
    <x v="0"/>
    <x v="19"/>
    <x v="3"/>
    <n v="68"/>
    <x v="27"/>
    <x v="2"/>
    <s v="Peach"/>
    <x v="3"/>
    <n v="4.0999999999999996"/>
    <x v="1"/>
    <x v="3"/>
    <x v="0"/>
    <x v="0"/>
    <n v="38"/>
    <x v="1"/>
    <x v="0"/>
  </r>
  <r>
    <n v="1257"/>
    <n v="45"/>
    <x v="0"/>
    <x v="7"/>
    <x v="2"/>
    <n v="48"/>
    <x v="8"/>
    <x v="1"/>
    <s v="Olive"/>
    <x v="0"/>
    <n v="3.6"/>
    <x v="1"/>
    <x v="0"/>
    <x v="0"/>
    <x v="0"/>
    <n v="4"/>
    <x v="1"/>
    <x v="0"/>
  </r>
  <r>
    <n v="1258"/>
    <n v="68"/>
    <x v="0"/>
    <x v="10"/>
    <x v="0"/>
    <n v="67"/>
    <x v="46"/>
    <x v="0"/>
    <s v="Gold"/>
    <x v="1"/>
    <n v="3"/>
    <x v="1"/>
    <x v="1"/>
    <x v="0"/>
    <x v="0"/>
    <n v="31"/>
    <x v="1"/>
    <x v="6"/>
  </r>
  <r>
    <n v="1259"/>
    <n v="47"/>
    <x v="0"/>
    <x v="23"/>
    <x v="1"/>
    <n v="87"/>
    <x v="31"/>
    <x v="3"/>
    <s v="Gold"/>
    <x v="1"/>
    <n v="4.0999999999999996"/>
    <x v="1"/>
    <x v="4"/>
    <x v="0"/>
    <x v="0"/>
    <n v="34"/>
    <x v="5"/>
    <x v="6"/>
  </r>
  <r>
    <n v="1260"/>
    <n v="68"/>
    <x v="0"/>
    <x v="11"/>
    <x v="0"/>
    <n v="64"/>
    <x v="46"/>
    <x v="2"/>
    <s v="Turquoise"/>
    <x v="3"/>
    <n v="3.9"/>
    <x v="1"/>
    <x v="3"/>
    <x v="0"/>
    <x v="0"/>
    <n v="45"/>
    <x v="2"/>
    <x v="5"/>
  </r>
  <r>
    <n v="1261"/>
    <n v="63"/>
    <x v="0"/>
    <x v="5"/>
    <x v="0"/>
    <n v="93"/>
    <x v="41"/>
    <x v="3"/>
    <s v="Green"/>
    <x v="1"/>
    <n v="4.0999999999999996"/>
    <x v="1"/>
    <x v="5"/>
    <x v="0"/>
    <x v="0"/>
    <n v="30"/>
    <x v="5"/>
    <x v="3"/>
  </r>
  <r>
    <n v="1262"/>
    <n v="20"/>
    <x v="0"/>
    <x v="5"/>
    <x v="0"/>
    <n v="29"/>
    <x v="39"/>
    <x v="0"/>
    <s v="Maroon"/>
    <x v="2"/>
    <n v="2.8"/>
    <x v="1"/>
    <x v="2"/>
    <x v="0"/>
    <x v="0"/>
    <n v="2"/>
    <x v="2"/>
    <x v="0"/>
  </r>
  <r>
    <n v="1263"/>
    <n v="29"/>
    <x v="0"/>
    <x v="23"/>
    <x v="1"/>
    <n v="62"/>
    <x v="30"/>
    <x v="0"/>
    <s v="Brown"/>
    <x v="0"/>
    <n v="4.8"/>
    <x v="1"/>
    <x v="5"/>
    <x v="0"/>
    <x v="0"/>
    <n v="44"/>
    <x v="0"/>
    <x v="5"/>
  </r>
  <r>
    <n v="1264"/>
    <n v="41"/>
    <x v="0"/>
    <x v="15"/>
    <x v="0"/>
    <n v="70"/>
    <x v="12"/>
    <x v="0"/>
    <s v="Brown"/>
    <x v="0"/>
    <n v="4.5999999999999996"/>
    <x v="1"/>
    <x v="4"/>
    <x v="0"/>
    <x v="0"/>
    <n v="1"/>
    <x v="2"/>
    <x v="4"/>
  </r>
  <r>
    <n v="1265"/>
    <n v="52"/>
    <x v="0"/>
    <x v="1"/>
    <x v="0"/>
    <n v="92"/>
    <x v="34"/>
    <x v="1"/>
    <s v="Blue"/>
    <x v="0"/>
    <n v="2.5"/>
    <x v="1"/>
    <x v="2"/>
    <x v="0"/>
    <x v="0"/>
    <n v="1"/>
    <x v="0"/>
    <x v="4"/>
  </r>
  <r>
    <n v="1266"/>
    <n v="32"/>
    <x v="0"/>
    <x v="5"/>
    <x v="0"/>
    <n v="79"/>
    <x v="7"/>
    <x v="2"/>
    <s v="Lavender"/>
    <x v="1"/>
    <n v="2.7"/>
    <x v="1"/>
    <x v="2"/>
    <x v="0"/>
    <x v="0"/>
    <n v="27"/>
    <x v="4"/>
    <x v="1"/>
  </r>
  <r>
    <n v="1267"/>
    <n v="20"/>
    <x v="0"/>
    <x v="0"/>
    <x v="0"/>
    <n v="31"/>
    <x v="25"/>
    <x v="2"/>
    <s v="Peach"/>
    <x v="3"/>
    <n v="4"/>
    <x v="1"/>
    <x v="3"/>
    <x v="0"/>
    <x v="0"/>
    <n v="14"/>
    <x v="5"/>
    <x v="6"/>
  </r>
  <r>
    <n v="1268"/>
    <n v="47"/>
    <x v="0"/>
    <x v="17"/>
    <x v="0"/>
    <n v="83"/>
    <x v="4"/>
    <x v="1"/>
    <s v="Gray"/>
    <x v="1"/>
    <n v="2.7"/>
    <x v="1"/>
    <x v="3"/>
    <x v="0"/>
    <x v="0"/>
    <n v="41"/>
    <x v="1"/>
    <x v="1"/>
  </r>
  <r>
    <n v="1269"/>
    <n v="23"/>
    <x v="0"/>
    <x v="14"/>
    <x v="2"/>
    <n v="88"/>
    <x v="37"/>
    <x v="3"/>
    <s v="Charcoal"/>
    <x v="0"/>
    <n v="2.9"/>
    <x v="1"/>
    <x v="2"/>
    <x v="0"/>
    <x v="0"/>
    <n v="25"/>
    <x v="5"/>
    <x v="4"/>
  </r>
  <r>
    <n v="1270"/>
    <n v="43"/>
    <x v="0"/>
    <x v="16"/>
    <x v="3"/>
    <n v="53"/>
    <x v="34"/>
    <x v="2"/>
    <s v="Lavender"/>
    <x v="1"/>
    <n v="3"/>
    <x v="1"/>
    <x v="3"/>
    <x v="0"/>
    <x v="0"/>
    <n v="47"/>
    <x v="3"/>
    <x v="3"/>
  </r>
  <r>
    <n v="1271"/>
    <n v="67"/>
    <x v="0"/>
    <x v="15"/>
    <x v="0"/>
    <n v="98"/>
    <x v="8"/>
    <x v="2"/>
    <s v="Green"/>
    <x v="3"/>
    <n v="3.3"/>
    <x v="1"/>
    <x v="3"/>
    <x v="0"/>
    <x v="0"/>
    <n v="20"/>
    <x v="1"/>
    <x v="2"/>
  </r>
  <r>
    <n v="1272"/>
    <n v="70"/>
    <x v="0"/>
    <x v="16"/>
    <x v="3"/>
    <n v="57"/>
    <x v="0"/>
    <x v="1"/>
    <s v="Gray"/>
    <x v="1"/>
    <n v="4.3"/>
    <x v="1"/>
    <x v="5"/>
    <x v="0"/>
    <x v="0"/>
    <n v="42"/>
    <x v="3"/>
    <x v="2"/>
  </r>
  <r>
    <n v="1273"/>
    <n v="35"/>
    <x v="0"/>
    <x v="3"/>
    <x v="1"/>
    <n v="80"/>
    <x v="48"/>
    <x v="2"/>
    <s v="Orange"/>
    <x v="0"/>
    <n v="4.4000000000000004"/>
    <x v="1"/>
    <x v="0"/>
    <x v="0"/>
    <x v="0"/>
    <n v="16"/>
    <x v="4"/>
    <x v="5"/>
  </r>
  <r>
    <n v="1274"/>
    <n v="41"/>
    <x v="0"/>
    <x v="2"/>
    <x v="0"/>
    <n v="29"/>
    <x v="16"/>
    <x v="0"/>
    <s v="Silver"/>
    <x v="1"/>
    <n v="4.0999999999999996"/>
    <x v="1"/>
    <x v="2"/>
    <x v="0"/>
    <x v="0"/>
    <n v="32"/>
    <x v="2"/>
    <x v="6"/>
  </r>
  <r>
    <n v="1275"/>
    <n v="54"/>
    <x v="0"/>
    <x v="19"/>
    <x v="3"/>
    <n v="73"/>
    <x v="9"/>
    <x v="2"/>
    <s v="Olive"/>
    <x v="1"/>
    <n v="3.1"/>
    <x v="1"/>
    <x v="4"/>
    <x v="0"/>
    <x v="0"/>
    <n v="37"/>
    <x v="3"/>
    <x v="3"/>
  </r>
  <r>
    <n v="1276"/>
    <n v="55"/>
    <x v="0"/>
    <x v="1"/>
    <x v="0"/>
    <n v="32"/>
    <x v="10"/>
    <x v="1"/>
    <s v="Turquoise"/>
    <x v="3"/>
    <n v="4.5"/>
    <x v="1"/>
    <x v="3"/>
    <x v="0"/>
    <x v="0"/>
    <n v="1"/>
    <x v="3"/>
    <x v="5"/>
  </r>
  <r>
    <n v="1277"/>
    <n v="51"/>
    <x v="0"/>
    <x v="23"/>
    <x v="1"/>
    <n v="68"/>
    <x v="5"/>
    <x v="0"/>
    <s v="Turquoise"/>
    <x v="1"/>
    <n v="4.8"/>
    <x v="1"/>
    <x v="2"/>
    <x v="0"/>
    <x v="0"/>
    <n v="37"/>
    <x v="4"/>
    <x v="1"/>
  </r>
  <r>
    <n v="1278"/>
    <n v="19"/>
    <x v="0"/>
    <x v="0"/>
    <x v="0"/>
    <n v="97"/>
    <x v="3"/>
    <x v="0"/>
    <s v="Green"/>
    <x v="1"/>
    <n v="5"/>
    <x v="1"/>
    <x v="0"/>
    <x v="0"/>
    <x v="0"/>
    <n v="5"/>
    <x v="0"/>
    <x v="3"/>
  </r>
  <r>
    <n v="1279"/>
    <n v="28"/>
    <x v="0"/>
    <x v="6"/>
    <x v="0"/>
    <n v="98"/>
    <x v="40"/>
    <x v="2"/>
    <s v="Violet"/>
    <x v="3"/>
    <n v="2.8"/>
    <x v="1"/>
    <x v="2"/>
    <x v="0"/>
    <x v="0"/>
    <n v="31"/>
    <x v="0"/>
    <x v="0"/>
  </r>
  <r>
    <n v="1280"/>
    <n v="63"/>
    <x v="0"/>
    <x v="15"/>
    <x v="0"/>
    <n v="56"/>
    <x v="33"/>
    <x v="0"/>
    <s v="Charcoal"/>
    <x v="3"/>
    <n v="3.7"/>
    <x v="1"/>
    <x v="0"/>
    <x v="0"/>
    <x v="0"/>
    <n v="18"/>
    <x v="5"/>
    <x v="2"/>
  </r>
  <r>
    <n v="1281"/>
    <n v="30"/>
    <x v="0"/>
    <x v="13"/>
    <x v="0"/>
    <n v="78"/>
    <x v="42"/>
    <x v="0"/>
    <s v="White"/>
    <x v="0"/>
    <n v="4.4000000000000004"/>
    <x v="1"/>
    <x v="4"/>
    <x v="0"/>
    <x v="0"/>
    <n v="39"/>
    <x v="0"/>
    <x v="6"/>
  </r>
  <r>
    <n v="1282"/>
    <n v="29"/>
    <x v="0"/>
    <x v="22"/>
    <x v="3"/>
    <n v="81"/>
    <x v="32"/>
    <x v="2"/>
    <s v="Olive"/>
    <x v="1"/>
    <n v="4.5"/>
    <x v="1"/>
    <x v="5"/>
    <x v="0"/>
    <x v="0"/>
    <n v="8"/>
    <x v="0"/>
    <x v="4"/>
  </r>
  <r>
    <n v="1283"/>
    <n v="24"/>
    <x v="0"/>
    <x v="5"/>
    <x v="0"/>
    <n v="68"/>
    <x v="13"/>
    <x v="0"/>
    <s v="Violet"/>
    <x v="0"/>
    <n v="3"/>
    <x v="1"/>
    <x v="1"/>
    <x v="0"/>
    <x v="0"/>
    <n v="20"/>
    <x v="0"/>
    <x v="5"/>
  </r>
  <r>
    <n v="1284"/>
    <n v="69"/>
    <x v="0"/>
    <x v="5"/>
    <x v="0"/>
    <n v="94"/>
    <x v="4"/>
    <x v="2"/>
    <s v="Violet"/>
    <x v="0"/>
    <n v="3.9"/>
    <x v="1"/>
    <x v="4"/>
    <x v="0"/>
    <x v="0"/>
    <n v="23"/>
    <x v="5"/>
    <x v="6"/>
  </r>
  <r>
    <n v="1285"/>
    <n v="65"/>
    <x v="0"/>
    <x v="10"/>
    <x v="0"/>
    <n v="93"/>
    <x v="10"/>
    <x v="2"/>
    <s v="Black"/>
    <x v="1"/>
    <n v="3.9"/>
    <x v="1"/>
    <x v="0"/>
    <x v="0"/>
    <x v="0"/>
    <n v="38"/>
    <x v="3"/>
    <x v="0"/>
  </r>
  <r>
    <n v="1286"/>
    <n v="64"/>
    <x v="0"/>
    <x v="24"/>
    <x v="3"/>
    <n v="99"/>
    <x v="17"/>
    <x v="2"/>
    <s v="Charcoal"/>
    <x v="3"/>
    <n v="3.5"/>
    <x v="1"/>
    <x v="2"/>
    <x v="0"/>
    <x v="0"/>
    <n v="45"/>
    <x v="4"/>
    <x v="0"/>
  </r>
  <r>
    <n v="1287"/>
    <n v="40"/>
    <x v="0"/>
    <x v="24"/>
    <x v="3"/>
    <n v="49"/>
    <x v="8"/>
    <x v="0"/>
    <s v="Yellow"/>
    <x v="0"/>
    <n v="4.9000000000000004"/>
    <x v="1"/>
    <x v="2"/>
    <x v="0"/>
    <x v="0"/>
    <n v="44"/>
    <x v="5"/>
    <x v="0"/>
  </r>
  <r>
    <n v="1288"/>
    <n v="24"/>
    <x v="0"/>
    <x v="2"/>
    <x v="0"/>
    <n v="28"/>
    <x v="40"/>
    <x v="3"/>
    <s v="Blue"/>
    <x v="0"/>
    <n v="3.4"/>
    <x v="1"/>
    <x v="3"/>
    <x v="0"/>
    <x v="0"/>
    <n v="20"/>
    <x v="3"/>
    <x v="5"/>
  </r>
  <r>
    <n v="1289"/>
    <n v="66"/>
    <x v="0"/>
    <x v="22"/>
    <x v="3"/>
    <n v="93"/>
    <x v="45"/>
    <x v="3"/>
    <s v="Charcoal"/>
    <x v="0"/>
    <n v="4.0999999999999996"/>
    <x v="1"/>
    <x v="3"/>
    <x v="0"/>
    <x v="0"/>
    <n v="34"/>
    <x v="3"/>
    <x v="4"/>
  </r>
  <r>
    <n v="1290"/>
    <n v="35"/>
    <x v="0"/>
    <x v="14"/>
    <x v="2"/>
    <n v="24"/>
    <x v="13"/>
    <x v="2"/>
    <s v="Red"/>
    <x v="3"/>
    <n v="2.9"/>
    <x v="1"/>
    <x v="2"/>
    <x v="0"/>
    <x v="0"/>
    <n v="10"/>
    <x v="3"/>
    <x v="1"/>
  </r>
  <r>
    <n v="1291"/>
    <n v="67"/>
    <x v="0"/>
    <x v="11"/>
    <x v="0"/>
    <n v="35"/>
    <x v="33"/>
    <x v="2"/>
    <s v="Indigo"/>
    <x v="1"/>
    <n v="3.4"/>
    <x v="1"/>
    <x v="1"/>
    <x v="0"/>
    <x v="0"/>
    <n v="3"/>
    <x v="3"/>
    <x v="2"/>
  </r>
  <r>
    <n v="1292"/>
    <n v="69"/>
    <x v="0"/>
    <x v="3"/>
    <x v="1"/>
    <n v="68"/>
    <x v="45"/>
    <x v="1"/>
    <s v="Beige"/>
    <x v="1"/>
    <n v="3.2"/>
    <x v="1"/>
    <x v="4"/>
    <x v="0"/>
    <x v="0"/>
    <n v="23"/>
    <x v="5"/>
    <x v="0"/>
  </r>
  <r>
    <n v="1293"/>
    <n v="26"/>
    <x v="0"/>
    <x v="22"/>
    <x v="3"/>
    <n v="61"/>
    <x v="0"/>
    <x v="2"/>
    <s v="Maroon"/>
    <x v="2"/>
    <n v="3.9"/>
    <x v="1"/>
    <x v="1"/>
    <x v="0"/>
    <x v="0"/>
    <n v="42"/>
    <x v="4"/>
    <x v="2"/>
  </r>
  <r>
    <n v="1294"/>
    <n v="23"/>
    <x v="0"/>
    <x v="1"/>
    <x v="0"/>
    <n v="74"/>
    <x v="20"/>
    <x v="3"/>
    <s v="Yellow"/>
    <x v="3"/>
    <n v="4.0999999999999996"/>
    <x v="1"/>
    <x v="3"/>
    <x v="0"/>
    <x v="0"/>
    <n v="30"/>
    <x v="5"/>
    <x v="2"/>
  </r>
  <r>
    <n v="1295"/>
    <n v="27"/>
    <x v="0"/>
    <x v="5"/>
    <x v="0"/>
    <n v="64"/>
    <x v="21"/>
    <x v="2"/>
    <s v="Silver"/>
    <x v="2"/>
    <n v="4.5"/>
    <x v="1"/>
    <x v="3"/>
    <x v="0"/>
    <x v="0"/>
    <n v="21"/>
    <x v="1"/>
    <x v="6"/>
  </r>
  <r>
    <n v="1296"/>
    <n v="30"/>
    <x v="0"/>
    <x v="4"/>
    <x v="1"/>
    <n v="60"/>
    <x v="35"/>
    <x v="2"/>
    <s v="Olive"/>
    <x v="3"/>
    <n v="2.8"/>
    <x v="1"/>
    <x v="3"/>
    <x v="0"/>
    <x v="0"/>
    <n v="50"/>
    <x v="3"/>
    <x v="1"/>
  </r>
  <r>
    <n v="1297"/>
    <n v="48"/>
    <x v="0"/>
    <x v="2"/>
    <x v="0"/>
    <n v="29"/>
    <x v="45"/>
    <x v="1"/>
    <s v="Teal"/>
    <x v="1"/>
    <n v="2.8"/>
    <x v="1"/>
    <x v="0"/>
    <x v="0"/>
    <x v="0"/>
    <n v="16"/>
    <x v="1"/>
    <x v="4"/>
  </r>
  <r>
    <n v="1298"/>
    <n v="44"/>
    <x v="0"/>
    <x v="3"/>
    <x v="1"/>
    <n v="85"/>
    <x v="32"/>
    <x v="2"/>
    <s v="Silver"/>
    <x v="2"/>
    <n v="4.5999999999999996"/>
    <x v="1"/>
    <x v="3"/>
    <x v="0"/>
    <x v="0"/>
    <n v="32"/>
    <x v="0"/>
    <x v="2"/>
  </r>
  <r>
    <n v="1299"/>
    <n v="29"/>
    <x v="0"/>
    <x v="13"/>
    <x v="0"/>
    <n v="81"/>
    <x v="27"/>
    <x v="1"/>
    <s v="Indigo"/>
    <x v="2"/>
    <n v="3"/>
    <x v="1"/>
    <x v="1"/>
    <x v="0"/>
    <x v="0"/>
    <n v="14"/>
    <x v="4"/>
    <x v="0"/>
  </r>
  <r>
    <n v="1300"/>
    <n v="29"/>
    <x v="0"/>
    <x v="22"/>
    <x v="3"/>
    <n v="23"/>
    <x v="7"/>
    <x v="0"/>
    <s v="Teal"/>
    <x v="3"/>
    <n v="3.6"/>
    <x v="1"/>
    <x v="4"/>
    <x v="0"/>
    <x v="0"/>
    <n v="42"/>
    <x v="0"/>
    <x v="4"/>
  </r>
  <r>
    <n v="1301"/>
    <n v="67"/>
    <x v="0"/>
    <x v="17"/>
    <x v="0"/>
    <n v="100"/>
    <x v="8"/>
    <x v="2"/>
    <s v="Charcoal"/>
    <x v="1"/>
    <n v="4.5"/>
    <x v="1"/>
    <x v="2"/>
    <x v="0"/>
    <x v="0"/>
    <n v="47"/>
    <x v="2"/>
    <x v="6"/>
  </r>
  <r>
    <n v="1302"/>
    <n v="42"/>
    <x v="0"/>
    <x v="5"/>
    <x v="0"/>
    <n v="54"/>
    <x v="1"/>
    <x v="2"/>
    <s v="Orange"/>
    <x v="3"/>
    <n v="5"/>
    <x v="1"/>
    <x v="0"/>
    <x v="0"/>
    <x v="0"/>
    <n v="21"/>
    <x v="5"/>
    <x v="1"/>
  </r>
  <r>
    <n v="1303"/>
    <n v="23"/>
    <x v="0"/>
    <x v="4"/>
    <x v="1"/>
    <n v="25"/>
    <x v="37"/>
    <x v="2"/>
    <s v="Gold"/>
    <x v="3"/>
    <n v="2.9"/>
    <x v="1"/>
    <x v="2"/>
    <x v="0"/>
    <x v="0"/>
    <n v="37"/>
    <x v="2"/>
    <x v="5"/>
  </r>
  <r>
    <n v="1304"/>
    <n v="34"/>
    <x v="0"/>
    <x v="0"/>
    <x v="0"/>
    <n v="32"/>
    <x v="14"/>
    <x v="0"/>
    <s v="Silver"/>
    <x v="2"/>
    <n v="3.1"/>
    <x v="1"/>
    <x v="2"/>
    <x v="0"/>
    <x v="0"/>
    <n v="10"/>
    <x v="2"/>
    <x v="2"/>
  </r>
  <r>
    <n v="1305"/>
    <n v="64"/>
    <x v="0"/>
    <x v="21"/>
    <x v="3"/>
    <n v="63"/>
    <x v="6"/>
    <x v="1"/>
    <s v="Orange"/>
    <x v="1"/>
    <n v="4"/>
    <x v="1"/>
    <x v="4"/>
    <x v="0"/>
    <x v="0"/>
    <n v="18"/>
    <x v="3"/>
    <x v="6"/>
  </r>
  <r>
    <n v="1306"/>
    <n v="31"/>
    <x v="0"/>
    <x v="13"/>
    <x v="0"/>
    <n v="56"/>
    <x v="16"/>
    <x v="3"/>
    <s v="Peach"/>
    <x v="1"/>
    <n v="4.5"/>
    <x v="1"/>
    <x v="0"/>
    <x v="0"/>
    <x v="0"/>
    <n v="2"/>
    <x v="3"/>
    <x v="6"/>
  </r>
  <r>
    <n v="1307"/>
    <n v="54"/>
    <x v="0"/>
    <x v="1"/>
    <x v="0"/>
    <n v="33"/>
    <x v="29"/>
    <x v="0"/>
    <s v="Brown"/>
    <x v="0"/>
    <n v="4.5"/>
    <x v="1"/>
    <x v="2"/>
    <x v="0"/>
    <x v="0"/>
    <n v="40"/>
    <x v="3"/>
    <x v="2"/>
  </r>
  <r>
    <n v="1308"/>
    <n v="23"/>
    <x v="0"/>
    <x v="7"/>
    <x v="2"/>
    <n v="32"/>
    <x v="9"/>
    <x v="0"/>
    <s v="Black"/>
    <x v="2"/>
    <n v="3.1"/>
    <x v="1"/>
    <x v="0"/>
    <x v="0"/>
    <x v="0"/>
    <n v="43"/>
    <x v="3"/>
    <x v="2"/>
  </r>
  <r>
    <n v="1309"/>
    <n v="59"/>
    <x v="0"/>
    <x v="10"/>
    <x v="0"/>
    <n v="38"/>
    <x v="3"/>
    <x v="0"/>
    <s v="Red"/>
    <x v="2"/>
    <n v="4.4000000000000004"/>
    <x v="1"/>
    <x v="2"/>
    <x v="0"/>
    <x v="0"/>
    <n v="14"/>
    <x v="2"/>
    <x v="6"/>
  </r>
  <r>
    <n v="1310"/>
    <n v="32"/>
    <x v="0"/>
    <x v="0"/>
    <x v="0"/>
    <n v="21"/>
    <x v="11"/>
    <x v="0"/>
    <s v="Lavender"/>
    <x v="2"/>
    <n v="4.7"/>
    <x v="1"/>
    <x v="5"/>
    <x v="0"/>
    <x v="0"/>
    <n v="41"/>
    <x v="1"/>
    <x v="3"/>
  </r>
  <r>
    <n v="1311"/>
    <n v="43"/>
    <x v="0"/>
    <x v="15"/>
    <x v="0"/>
    <n v="59"/>
    <x v="36"/>
    <x v="0"/>
    <s v="Brown"/>
    <x v="0"/>
    <n v="3.1"/>
    <x v="1"/>
    <x v="5"/>
    <x v="0"/>
    <x v="0"/>
    <n v="38"/>
    <x v="2"/>
    <x v="6"/>
  </r>
  <r>
    <n v="1312"/>
    <n v="32"/>
    <x v="0"/>
    <x v="9"/>
    <x v="1"/>
    <n v="87"/>
    <x v="30"/>
    <x v="2"/>
    <s v="Maroon"/>
    <x v="3"/>
    <n v="4.2"/>
    <x v="1"/>
    <x v="0"/>
    <x v="0"/>
    <x v="0"/>
    <n v="12"/>
    <x v="0"/>
    <x v="2"/>
  </r>
  <r>
    <n v="1313"/>
    <n v="66"/>
    <x v="0"/>
    <x v="17"/>
    <x v="0"/>
    <n v="79"/>
    <x v="9"/>
    <x v="2"/>
    <s v="Violet"/>
    <x v="0"/>
    <n v="3"/>
    <x v="1"/>
    <x v="5"/>
    <x v="0"/>
    <x v="0"/>
    <n v="19"/>
    <x v="4"/>
    <x v="5"/>
  </r>
  <r>
    <n v="1314"/>
    <n v="70"/>
    <x v="0"/>
    <x v="9"/>
    <x v="1"/>
    <n v="28"/>
    <x v="9"/>
    <x v="2"/>
    <s v="Lavender"/>
    <x v="2"/>
    <n v="2.6"/>
    <x v="1"/>
    <x v="1"/>
    <x v="0"/>
    <x v="0"/>
    <n v="23"/>
    <x v="2"/>
    <x v="4"/>
  </r>
  <r>
    <n v="1315"/>
    <n v="42"/>
    <x v="0"/>
    <x v="23"/>
    <x v="1"/>
    <n v="67"/>
    <x v="9"/>
    <x v="1"/>
    <s v="Magenta"/>
    <x v="2"/>
    <n v="3.4"/>
    <x v="1"/>
    <x v="1"/>
    <x v="0"/>
    <x v="0"/>
    <n v="49"/>
    <x v="5"/>
    <x v="2"/>
  </r>
  <r>
    <n v="1316"/>
    <n v="56"/>
    <x v="0"/>
    <x v="6"/>
    <x v="0"/>
    <n v="75"/>
    <x v="16"/>
    <x v="0"/>
    <s v="Green"/>
    <x v="1"/>
    <n v="4.2"/>
    <x v="1"/>
    <x v="4"/>
    <x v="0"/>
    <x v="0"/>
    <n v="29"/>
    <x v="5"/>
    <x v="3"/>
  </r>
  <r>
    <n v="1317"/>
    <n v="28"/>
    <x v="0"/>
    <x v="22"/>
    <x v="3"/>
    <n v="32"/>
    <x v="10"/>
    <x v="1"/>
    <s v="Lavender"/>
    <x v="1"/>
    <n v="4.5999999999999996"/>
    <x v="1"/>
    <x v="3"/>
    <x v="0"/>
    <x v="0"/>
    <n v="14"/>
    <x v="5"/>
    <x v="4"/>
  </r>
  <r>
    <n v="1318"/>
    <n v="28"/>
    <x v="0"/>
    <x v="13"/>
    <x v="0"/>
    <n v="43"/>
    <x v="0"/>
    <x v="2"/>
    <s v="Green"/>
    <x v="1"/>
    <n v="2.8"/>
    <x v="1"/>
    <x v="1"/>
    <x v="0"/>
    <x v="0"/>
    <n v="19"/>
    <x v="1"/>
    <x v="5"/>
  </r>
  <r>
    <n v="1319"/>
    <n v="52"/>
    <x v="0"/>
    <x v="6"/>
    <x v="0"/>
    <n v="93"/>
    <x v="39"/>
    <x v="2"/>
    <s v="Maroon"/>
    <x v="1"/>
    <n v="2.7"/>
    <x v="1"/>
    <x v="0"/>
    <x v="0"/>
    <x v="0"/>
    <n v="19"/>
    <x v="2"/>
    <x v="4"/>
  </r>
  <r>
    <n v="1320"/>
    <n v="65"/>
    <x v="0"/>
    <x v="12"/>
    <x v="3"/>
    <n v="24"/>
    <x v="19"/>
    <x v="2"/>
    <s v="Magenta"/>
    <x v="1"/>
    <n v="4"/>
    <x v="1"/>
    <x v="3"/>
    <x v="0"/>
    <x v="0"/>
    <n v="48"/>
    <x v="4"/>
    <x v="1"/>
  </r>
  <r>
    <n v="1321"/>
    <n v="56"/>
    <x v="0"/>
    <x v="19"/>
    <x v="3"/>
    <n v="31"/>
    <x v="18"/>
    <x v="3"/>
    <s v="Teal"/>
    <x v="3"/>
    <n v="3.1"/>
    <x v="1"/>
    <x v="1"/>
    <x v="0"/>
    <x v="0"/>
    <n v="19"/>
    <x v="5"/>
    <x v="2"/>
  </r>
  <r>
    <n v="1322"/>
    <n v="59"/>
    <x v="0"/>
    <x v="17"/>
    <x v="0"/>
    <n v="84"/>
    <x v="9"/>
    <x v="0"/>
    <s v="Orange"/>
    <x v="0"/>
    <n v="3.7"/>
    <x v="1"/>
    <x v="0"/>
    <x v="0"/>
    <x v="0"/>
    <n v="45"/>
    <x v="4"/>
    <x v="6"/>
  </r>
  <r>
    <n v="1323"/>
    <n v="23"/>
    <x v="0"/>
    <x v="13"/>
    <x v="0"/>
    <n v="74"/>
    <x v="47"/>
    <x v="2"/>
    <s v="Violet"/>
    <x v="0"/>
    <n v="4"/>
    <x v="1"/>
    <x v="2"/>
    <x v="0"/>
    <x v="0"/>
    <n v="17"/>
    <x v="4"/>
    <x v="3"/>
  </r>
  <r>
    <n v="1324"/>
    <n v="58"/>
    <x v="0"/>
    <x v="6"/>
    <x v="0"/>
    <n v="62"/>
    <x v="14"/>
    <x v="2"/>
    <s v="Yellow"/>
    <x v="1"/>
    <n v="4.5999999999999996"/>
    <x v="1"/>
    <x v="3"/>
    <x v="0"/>
    <x v="0"/>
    <n v="15"/>
    <x v="5"/>
    <x v="6"/>
  </r>
  <r>
    <n v="1325"/>
    <n v="39"/>
    <x v="0"/>
    <x v="16"/>
    <x v="3"/>
    <n v="77"/>
    <x v="27"/>
    <x v="1"/>
    <s v="Orange"/>
    <x v="2"/>
    <n v="3.8"/>
    <x v="1"/>
    <x v="1"/>
    <x v="0"/>
    <x v="0"/>
    <n v="11"/>
    <x v="2"/>
    <x v="0"/>
  </r>
  <r>
    <n v="1326"/>
    <n v="28"/>
    <x v="0"/>
    <x v="21"/>
    <x v="3"/>
    <n v="73"/>
    <x v="4"/>
    <x v="0"/>
    <s v="Gold"/>
    <x v="2"/>
    <n v="3.5"/>
    <x v="1"/>
    <x v="0"/>
    <x v="0"/>
    <x v="0"/>
    <n v="1"/>
    <x v="1"/>
    <x v="5"/>
  </r>
  <r>
    <n v="1327"/>
    <n v="40"/>
    <x v="0"/>
    <x v="9"/>
    <x v="1"/>
    <n v="50"/>
    <x v="21"/>
    <x v="2"/>
    <s v="Indigo"/>
    <x v="1"/>
    <n v="4.5999999999999996"/>
    <x v="1"/>
    <x v="1"/>
    <x v="0"/>
    <x v="0"/>
    <n v="17"/>
    <x v="1"/>
    <x v="5"/>
  </r>
  <r>
    <n v="1328"/>
    <n v="52"/>
    <x v="0"/>
    <x v="7"/>
    <x v="2"/>
    <n v="40"/>
    <x v="20"/>
    <x v="2"/>
    <s v="Turquoise"/>
    <x v="0"/>
    <n v="2.8"/>
    <x v="1"/>
    <x v="3"/>
    <x v="0"/>
    <x v="0"/>
    <n v="37"/>
    <x v="1"/>
    <x v="1"/>
  </r>
  <r>
    <n v="1329"/>
    <n v="37"/>
    <x v="0"/>
    <x v="1"/>
    <x v="0"/>
    <n v="97"/>
    <x v="3"/>
    <x v="2"/>
    <s v="Orange"/>
    <x v="0"/>
    <n v="3.7"/>
    <x v="1"/>
    <x v="3"/>
    <x v="0"/>
    <x v="0"/>
    <n v="40"/>
    <x v="4"/>
    <x v="1"/>
  </r>
  <r>
    <n v="1330"/>
    <n v="70"/>
    <x v="0"/>
    <x v="24"/>
    <x v="3"/>
    <n v="63"/>
    <x v="21"/>
    <x v="2"/>
    <s v="Indigo"/>
    <x v="3"/>
    <n v="3.3"/>
    <x v="1"/>
    <x v="0"/>
    <x v="0"/>
    <x v="0"/>
    <n v="50"/>
    <x v="3"/>
    <x v="6"/>
  </r>
  <r>
    <n v="1331"/>
    <n v="30"/>
    <x v="0"/>
    <x v="8"/>
    <x v="3"/>
    <n v="65"/>
    <x v="34"/>
    <x v="2"/>
    <s v="Charcoal"/>
    <x v="3"/>
    <n v="2.9"/>
    <x v="1"/>
    <x v="3"/>
    <x v="0"/>
    <x v="0"/>
    <n v="20"/>
    <x v="3"/>
    <x v="4"/>
  </r>
  <r>
    <n v="1332"/>
    <n v="38"/>
    <x v="0"/>
    <x v="20"/>
    <x v="0"/>
    <n v="91"/>
    <x v="33"/>
    <x v="2"/>
    <s v="Lavender"/>
    <x v="1"/>
    <n v="3.2"/>
    <x v="1"/>
    <x v="3"/>
    <x v="0"/>
    <x v="0"/>
    <n v="8"/>
    <x v="3"/>
    <x v="4"/>
  </r>
  <r>
    <n v="1333"/>
    <n v="66"/>
    <x v="0"/>
    <x v="15"/>
    <x v="0"/>
    <n v="60"/>
    <x v="29"/>
    <x v="1"/>
    <s v="Gold"/>
    <x v="1"/>
    <n v="4.3"/>
    <x v="1"/>
    <x v="5"/>
    <x v="0"/>
    <x v="0"/>
    <n v="16"/>
    <x v="4"/>
    <x v="3"/>
  </r>
  <r>
    <n v="1334"/>
    <n v="29"/>
    <x v="0"/>
    <x v="13"/>
    <x v="0"/>
    <n v="69"/>
    <x v="37"/>
    <x v="2"/>
    <s v="Lavender"/>
    <x v="0"/>
    <n v="2.7"/>
    <x v="1"/>
    <x v="2"/>
    <x v="0"/>
    <x v="0"/>
    <n v="9"/>
    <x v="4"/>
    <x v="3"/>
  </r>
  <r>
    <n v="1335"/>
    <n v="46"/>
    <x v="0"/>
    <x v="7"/>
    <x v="2"/>
    <n v="52"/>
    <x v="8"/>
    <x v="1"/>
    <s v="White"/>
    <x v="1"/>
    <n v="4.2"/>
    <x v="1"/>
    <x v="5"/>
    <x v="0"/>
    <x v="0"/>
    <n v="12"/>
    <x v="0"/>
    <x v="5"/>
  </r>
  <r>
    <n v="1336"/>
    <n v="56"/>
    <x v="0"/>
    <x v="23"/>
    <x v="1"/>
    <n v="49"/>
    <x v="22"/>
    <x v="2"/>
    <s v="Lavender"/>
    <x v="3"/>
    <n v="4.8"/>
    <x v="1"/>
    <x v="4"/>
    <x v="0"/>
    <x v="0"/>
    <n v="26"/>
    <x v="2"/>
    <x v="1"/>
  </r>
  <r>
    <n v="1337"/>
    <n v="23"/>
    <x v="0"/>
    <x v="4"/>
    <x v="1"/>
    <n v="85"/>
    <x v="4"/>
    <x v="2"/>
    <s v="Charcoal"/>
    <x v="1"/>
    <n v="4.8"/>
    <x v="1"/>
    <x v="5"/>
    <x v="0"/>
    <x v="0"/>
    <n v="44"/>
    <x v="5"/>
    <x v="0"/>
  </r>
  <r>
    <n v="1338"/>
    <n v="37"/>
    <x v="0"/>
    <x v="1"/>
    <x v="0"/>
    <n v="86"/>
    <x v="30"/>
    <x v="0"/>
    <s v="Silver"/>
    <x v="1"/>
    <n v="3.4"/>
    <x v="1"/>
    <x v="0"/>
    <x v="0"/>
    <x v="0"/>
    <n v="19"/>
    <x v="2"/>
    <x v="4"/>
  </r>
  <r>
    <n v="1339"/>
    <n v="56"/>
    <x v="0"/>
    <x v="8"/>
    <x v="3"/>
    <n v="51"/>
    <x v="15"/>
    <x v="1"/>
    <s v="Yellow"/>
    <x v="0"/>
    <n v="2.6"/>
    <x v="1"/>
    <x v="3"/>
    <x v="0"/>
    <x v="0"/>
    <n v="43"/>
    <x v="3"/>
    <x v="0"/>
  </r>
  <r>
    <n v="1340"/>
    <n v="36"/>
    <x v="0"/>
    <x v="22"/>
    <x v="3"/>
    <n v="56"/>
    <x v="27"/>
    <x v="0"/>
    <s v="Olive"/>
    <x v="0"/>
    <n v="5"/>
    <x v="1"/>
    <x v="2"/>
    <x v="0"/>
    <x v="0"/>
    <n v="5"/>
    <x v="4"/>
    <x v="6"/>
  </r>
  <r>
    <n v="1341"/>
    <n v="40"/>
    <x v="0"/>
    <x v="22"/>
    <x v="3"/>
    <n v="72"/>
    <x v="37"/>
    <x v="2"/>
    <s v="Peach"/>
    <x v="3"/>
    <n v="4.4000000000000004"/>
    <x v="1"/>
    <x v="2"/>
    <x v="0"/>
    <x v="0"/>
    <n v="5"/>
    <x v="5"/>
    <x v="6"/>
  </r>
  <r>
    <n v="1342"/>
    <n v="26"/>
    <x v="0"/>
    <x v="15"/>
    <x v="0"/>
    <n v="27"/>
    <x v="3"/>
    <x v="3"/>
    <s v="Yellow"/>
    <x v="3"/>
    <n v="2.9"/>
    <x v="1"/>
    <x v="3"/>
    <x v="0"/>
    <x v="0"/>
    <n v="31"/>
    <x v="4"/>
    <x v="3"/>
  </r>
  <r>
    <n v="1343"/>
    <n v="57"/>
    <x v="0"/>
    <x v="12"/>
    <x v="3"/>
    <n v="43"/>
    <x v="28"/>
    <x v="3"/>
    <s v="Yellow"/>
    <x v="2"/>
    <n v="3.4"/>
    <x v="1"/>
    <x v="4"/>
    <x v="0"/>
    <x v="0"/>
    <n v="11"/>
    <x v="4"/>
    <x v="5"/>
  </r>
  <r>
    <n v="1344"/>
    <n v="68"/>
    <x v="0"/>
    <x v="4"/>
    <x v="1"/>
    <n v="56"/>
    <x v="20"/>
    <x v="2"/>
    <s v="Indigo"/>
    <x v="1"/>
    <n v="3.4"/>
    <x v="1"/>
    <x v="3"/>
    <x v="0"/>
    <x v="0"/>
    <n v="34"/>
    <x v="4"/>
    <x v="5"/>
  </r>
  <r>
    <n v="1345"/>
    <n v="56"/>
    <x v="0"/>
    <x v="17"/>
    <x v="0"/>
    <n v="37"/>
    <x v="14"/>
    <x v="1"/>
    <s v="Violet"/>
    <x v="3"/>
    <n v="4.9000000000000004"/>
    <x v="1"/>
    <x v="2"/>
    <x v="0"/>
    <x v="0"/>
    <n v="14"/>
    <x v="1"/>
    <x v="2"/>
  </r>
  <r>
    <n v="1346"/>
    <n v="40"/>
    <x v="0"/>
    <x v="10"/>
    <x v="0"/>
    <n v="21"/>
    <x v="43"/>
    <x v="2"/>
    <s v="White"/>
    <x v="3"/>
    <n v="3.6"/>
    <x v="1"/>
    <x v="3"/>
    <x v="0"/>
    <x v="0"/>
    <n v="42"/>
    <x v="0"/>
    <x v="1"/>
  </r>
  <r>
    <n v="1347"/>
    <n v="44"/>
    <x v="0"/>
    <x v="15"/>
    <x v="0"/>
    <n v="91"/>
    <x v="16"/>
    <x v="0"/>
    <s v="White"/>
    <x v="0"/>
    <n v="3"/>
    <x v="1"/>
    <x v="1"/>
    <x v="0"/>
    <x v="0"/>
    <n v="15"/>
    <x v="0"/>
    <x v="4"/>
  </r>
  <r>
    <n v="1348"/>
    <n v="44"/>
    <x v="0"/>
    <x v="1"/>
    <x v="0"/>
    <n v="95"/>
    <x v="34"/>
    <x v="2"/>
    <s v="Cyan"/>
    <x v="2"/>
    <n v="3.9"/>
    <x v="1"/>
    <x v="4"/>
    <x v="0"/>
    <x v="0"/>
    <n v="47"/>
    <x v="4"/>
    <x v="5"/>
  </r>
  <r>
    <n v="1349"/>
    <n v="19"/>
    <x v="0"/>
    <x v="22"/>
    <x v="3"/>
    <n v="54"/>
    <x v="43"/>
    <x v="3"/>
    <s v="Purple"/>
    <x v="1"/>
    <n v="3.2"/>
    <x v="1"/>
    <x v="3"/>
    <x v="0"/>
    <x v="0"/>
    <n v="23"/>
    <x v="2"/>
    <x v="0"/>
  </r>
  <r>
    <n v="1350"/>
    <n v="21"/>
    <x v="0"/>
    <x v="20"/>
    <x v="0"/>
    <n v="36"/>
    <x v="36"/>
    <x v="3"/>
    <s v="Black"/>
    <x v="1"/>
    <n v="3.2"/>
    <x v="1"/>
    <x v="2"/>
    <x v="0"/>
    <x v="0"/>
    <n v="23"/>
    <x v="1"/>
    <x v="4"/>
  </r>
  <r>
    <n v="1351"/>
    <n v="31"/>
    <x v="0"/>
    <x v="12"/>
    <x v="3"/>
    <n v="71"/>
    <x v="12"/>
    <x v="2"/>
    <s v="Orange"/>
    <x v="3"/>
    <n v="4.3"/>
    <x v="1"/>
    <x v="2"/>
    <x v="0"/>
    <x v="0"/>
    <n v="1"/>
    <x v="1"/>
    <x v="6"/>
  </r>
  <r>
    <n v="1352"/>
    <n v="30"/>
    <x v="0"/>
    <x v="7"/>
    <x v="2"/>
    <n v="31"/>
    <x v="34"/>
    <x v="0"/>
    <s v="Maroon"/>
    <x v="2"/>
    <n v="2.8"/>
    <x v="1"/>
    <x v="4"/>
    <x v="0"/>
    <x v="0"/>
    <n v="28"/>
    <x v="4"/>
    <x v="3"/>
  </r>
  <r>
    <n v="1353"/>
    <n v="65"/>
    <x v="0"/>
    <x v="19"/>
    <x v="3"/>
    <n v="89"/>
    <x v="27"/>
    <x v="3"/>
    <s v="Orange"/>
    <x v="1"/>
    <n v="4.5"/>
    <x v="1"/>
    <x v="2"/>
    <x v="0"/>
    <x v="0"/>
    <n v="37"/>
    <x v="2"/>
    <x v="4"/>
  </r>
  <r>
    <n v="1354"/>
    <n v="39"/>
    <x v="0"/>
    <x v="13"/>
    <x v="0"/>
    <n v="83"/>
    <x v="4"/>
    <x v="2"/>
    <s v="Teal"/>
    <x v="0"/>
    <n v="4.0999999999999996"/>
    <x v="1"/>
    <x v="2"/>
    <x v="0"/>
    <x v="0"/>
    <n v="4"/>
    <x v="1"/>
    <x v="6"/>
  </r>
  <r>
    <n v="1355"/>
    <n v="64"/>
    <x v="0"/>
    <x v="21"/>
    <x v="3"/>
    <n v="42"/>
    <x v="33"/>
    <x v="2"/>
    <s v="Gray"/>
    <x v="1"/>
    <n v="3.6"/>
    <x v="1"/>
    <x v="4"/>
    <x v="0"/>
    <x v="0"/>
    <n v="21"/>
    <x v="4"/>
    <x v="3"/>
  </r>
  <r>
    <n v="1356"/>
    <n v="59"/>
    <x v="0"/>
    <x v="6"/>
    <x v="0"/>
    <n v="91"/>
    <x v="20"/>
    <x v="2"/>
    <s v="Blue"/>
    <x v="2"/>
    <n v="3"/>
    <x v="1"/>
    <x v="4"/>
    <x v="0"/>
    <x v="0"/>
    <n v="50"/>
    <x v="3"/>
    <x v="4"/>
  </r>
  <r>
    <n v="1357"/>
    <n v="49"/>
    <x v="0"/>
    <x v="14"/>
    <x v="2"/>
    <n v="61"/>
    <x v="27"/>
    <x v="2"/>
    <s v="Cyan"/>
    <x v="1"/>
    <n v="4"/>
    <x v="1"/>
    <x v="1"/>
    <x v="0"/>
    <x v="0"/>
    <n v="34"/>
    <x v="4"/>
    <x v="2"/>
  </r>
  <r>
    <n v="1358"/>
    <n v="24"/>
    <x v="0"/>
    <x v="21"/>
    <x v="3"/>
    <n v="66"/>
    <x v="21"/>
    <x v="1"/>
    <s v="Red"/>
    <x v="2"/>
    <n v="3.5"/>
    <x v="1"/>
    <x v="2"/>
    <x v="0"/>
    <x v="0"/>
    <n v="20"/>
    <x v="1"/>
    <x v="3"/>
  </r>
  <r>
    <n v="1359"/>
    <n v="19"/>
    <x v="0"/>
    <x v="18"/>
    <x v="3"/>
    <n v="22"/>
    <x v="43"/>
    <x v="3"/>
    <s v="Pink"/>
    <x v="1"/>
    <n v="2.5"/>
    <x v="1"/>
    <x v="5"/>
    <x v="0"/>
    <x v="0"/>
    <n v="25"/>
    <x v="0"/>
    <x v="6"/>
  </r>
  <r>
    <n v="1360"/>
    <n v="27"/>
    <x v="0"/>
    <x v="15"/>
    <x v="0"/>
    <n v="68"/>
    <x v="17"/>
    <x v="1"/>
    <s v="Cyan"/>
    <x v="0"/>
    <n v="4.3"/>
    <x v="1"/>
    <x v="5"/>
    <x v="0"/>
    <x v="0"/>
    <n v="26"/>
    <x v="4"/>
    <x v="0"/>
  </r>
  <r>
    <n v="1361"/>
    <n v="56"/>
    <x v="0"/>
    <x v="11"/>
    <x v="0"/>
    <n v="43"/>
    <x v="15"/>
    <x v="0"/>
    <s v="Black"/>
    <x v="3"/>
    <n v="2.8"/>
    <x v="1"/>
    <x v="0"/>
    <x v="0"/>
    <x v="0"/>
    <n v="4"/>
    <x v="4"/>
    <x v="2"/>
  </r>
  <r>
    <n v="1362"/>
    <n v="49"/>
    <x v="0"/>
    <x v="10"/>
    <x v="0"/>
    <n v="32"/>
    <x v="15"/>
    <x v="2"/>
    <s v="Beige"/>
    <x v="3"/>
    <n v="3.7"/>
    <x v="1"/>
    <x v="2"/>
    <x v="0"/>
    <x v="0"/>
    <n v="39"/>
    <x v="5"/>
    <x v="5"/>
  </r>
  <r>
    <n v="1363"/>
    <n v="41"/>
    <x v="0"/>
    <x v="7"/>
    <x v="2"/>
    <n v="46"/>
    <x v="24"/>
    <x v="2"/>
    <s v="Gray"/>
    <x v="3"/>
    <n v="4.3"/>
    <x v="1"/>
    <x v="0"/>
    <x v="0"/>
    <x v="0"/>
    <n v="29"/>
    <x v="1"/>
    <x v="1"/>
  </r>
  <r>
    <n v="1364"/>
    <n v="36"/>
    <x v="0"/>
    <x v="0"/>
    <x v="0"/>
    <n v="90"/>
    <x v="48"/>
    <x v="0"/>
    <s v="Red"/>
    <x v="2"/>
    <n v="4"/>
    <x v="1"/>
    <x v="0"/>
    <x v="0"/>
    <x v="0"/>
    <n v="47"/>
    <x v="3"/>
    <x v="3"/>
  </r>
  <r>
    <n v="1365"/>
    <n v="68"/>
    <x v="0"/>
    <x v="19"/>
    <x v="3"/>
    <n v="75"/>
    <x v="12"/>
    <x v="0"/>
    <s v="Yellow"/>
    <x v="3"/>
    <n v="4.7"/>
    <x v="1"/>
    <x v="0"/>
    <x v="0"/>
    <x v="0"/>
    <n v="5"/>
    <x v="1"/>
    <x v="6"/>
  </r>
  <r>
    <n v="1366"/>
    <n v="28"/>
    <x v="0"/>
    <x v="8"/>
    <x v="3"/>
    <n v="69"/>
    <x v="27"/>
    <x v="2"/>
    <s v="Magenta"/>
    <x v="0"/>
    <n v="4.5"/>
    <x v="1"/>
    <x v="5"/>
    <x v="0"/>
    <x v="0"/>
    <n v="18"/>
    <x v="4"/>
    <x v="0"/>
  </r>
  <r>
    <n v="1367"/>
    <n v="45"/>
    <x v="0"/>
    <x v="22"/>
    <x v="3"/>
    <n v="40"/>
    <x v="44"/>
    <x v="2"/>
    <s v="Magenta"/>
    <x v="3"/>
    <n v="3.1"/>
    <x v="1"/>
    <x v="1"/>
    <x v="0"/>
    <x v="0"/>
    <n v="10"/>
    <x v="2"/>
    <x v="0"/>
  </r>
  <r>
    <n v="1368"/>
    <n v="60"/>
    <x v="0"/>
    <x v="22"/>
    <x v="3"/>
    <n v="63"/>
    <x v="44"/>
    <x v="1"/>
    <s v="Black"/>
    <x v="3"/>
    <n v="3.8"/>
    <x v="1"/>
    <x v="0"/>
    <x v="0"/>
    <x v="0"/>
    <n v="25"/>
    <x v="1"/>
    <x v="3"/>
  </r>
  <r>
    <n v="1369"/>
    <n v="21"/>
    <x v="0"/>
    <x v="5"/>
    <x v="0"/>
    <n v="36"/>
    <x v="48"/>
    <x v="0"/>
    <s v="Orange"/>
    <x v="2"/>
    <n v="4.9000000000000004"/>
    <x v="1"/>
    <x v="0"/>
    <x v="0"/>
    <x v="0"/>
    <n v="2"/>
    <x v="1"/>
    <x v="1"/>
  </r>
  <r>
    <n v="1370"/>
    <n v="32"/>
    <x v="0"/>
    <x v="9"/>
    <x v="1"/>
    <n v="75"/>
    <x v="44"/>
    <x v="2"/>
    <s v="Green"/>
    <x v="0"/>
    <n v="3.2"/>
    <x v="1"/>
    <x v="3"/>
    <x v="0"/>
    <x v="0"/>
    <n v="48"/>
    <x v="0"/>
    <x v="0"/>
  </r>
  <r>
    <n v="1371"/>
    <n v="27"/>
    <x v="0"/>
    <x v="18"/>
    <x v="3"/>
    <n v="67"/>
    <x v="6"/>
    <x v="0"/>
    <s v="Peach"/>
    <x v="2"/>
    <n v="2.9"/>
    <x v="1"/>
    <x v="4"/>
    <x v="0"/>
    <x v="0"/>
    <n v="41"/>
    <x v="4"/>
    <x v="6"/>
  </r>
  <r>
    <n v="1372"/>
    <n v="40"/>
    <x v="0"/>
    <x v="13"/>
    <x v="0"/>
    <n v="64"/>
    <x v="16"/>
    <x v="2"/>
    <s v="Charcoal"/>
    <x v="1"/>
    <n v="2.8"/>
    <x v="1"/>
    <x v="5"/>
    <x v="0"/>
    <x v="0"/>
    <n v="42"/>
    <x v="2"/>
    <x v="5"/>
  </r>
  <r>
    <n v="1373"/>
    <n v="64"/>
    <x v="0"/>
    <x v="0"/>
    <x v="0"/>
    <n v="61"/>
    <x v="49"/>
    <x v="2"/>
    <s v="Gray"/>
    <x v="3"/>
    <n v="4"/>
    <x v="1"/>
    <x v="4"/>
    <x v="0"/>
    <x v="0"/>
    <n v="44"/>
    <x v="3"/>
    <x v="4"/>
  </r>
  <r>
    <n v="1374"/>
    <n v="18"/>
    <x v="0"/>
    <x v="24"/>
    <x v="3"/>
    <n v="40"/>
    <x v="41"/>
    <x v="0"/>
    <s v="Turquoise"/>
    <x v="0"/>
    <n v="2.6"/>
    <x v="1"/>
    <x v="5"/>
    <x v="0"/>
    <x v="0"/>
    <n v="6"/>
    <x v="1"/>
    <x v="3"/>
  </r>
  <r>
    <n v="1375"/>
    <n v="22"/>
    <x v="0"/>
    <x v="8"/>
    <x v="3"/>
    <n v="97"/>
    <x v="14"/>
    <x v="2"/>
    <s v="Red"/>
    <x v="3"/>
    <n v="2.7"/>
    <x v="1"/>
    <x v="1"/>
    <x v="0"/>
    <x v="0"/>
    <n v="5"/>
    <x v="4"/>
    <x v="3"/>
  </r>
  <r>
    <n v="1376"/>
    <n v="42"/>
    <x v="0"/>
    <x v="4"/>
    <x v="1"/>
    <n v="31"/>
    <x v="1"/>
    <x v="0"/>
    <s v="Brown"/>
    <x v="1"/>
    <n v="4.0999999999999996"/>
    <x v="1"/>
    <x v="4"/>
    <x v="0"/>
    <x v="0"/>
    <n v="8"/>
    <x v="2"/>
    <x v="2"/>
  </r>
  <r>
    <n v="1377"/>
    <n v="57"/>
    <x v="0"/>
    <x v="3"/>
    <x v="1"/>
    <n v="65"/>
    <x v="32"/>
    <x v="0"/>
    <s v="Pink"/>
    <x v="1"/>
    <n v="5"/>
    <x v="1"/>
    <x v="1"/>
    <x v="0"/>
    <x v="0"/>
    <n v="24"/>
    <x v="3"/>
    <x v="2"/>
  </r>
  <r>
    <n v="1378"/>
    <n v="33"/>
    <x v="0"/>
    <x v="12"/>
    <x v="3"/>
    <n v="54"/>
    <x v="33"/>
    <x v="0"/>
    <s v="Olive"/>
    <x v="1"/>
    <n v="3"/>
    <x v="1"/>
    <x v="2"/>
    <x v="0"/>
    <x v="0"/>
    <n v="42"/>
    <x v="0"/>
    <x v="5"/>
  </r>
  <r>
    <n v="1379"/>
    <n v="37"/>
    <x v="0"/>
    <x v="14"/>
    <x v="2"/>
    <n v="49"/>
    <x v="0"/>
    <x v="3"/>
    <s v="Lavender"/>
    <x v="3"/>
    <n v="3.6"/>
    <x v="1"/>
    <x v="1"/>
    <x v="0"/>
    <x v="0"/>
    <n v="24"/>
    <x v="0"/>
    <x v="1"/>
  </r>
  <r>
    <n v="1380"/>
    <n v="21"/>
    <x v="0"/>
    <x v="17"/>
    <x v="0"/>
    <n v="64"/>
    <x v="46"/>
    <x v="0"/>
    <s v="Purple"/>
    <x v="3"/>
    <n v="2.8"/>
    <x v="1"/>
    <x v="4"/>
    <x v="0"/>
    <x v="0"/>
    <n v="38"/>
    <x v="0"/>
    <x v="4"/>
  </r>
  <r>
    <n v="1381"/>
    <n v="51"/>
    <x v="0"/>
    <x v="4"/>
    <x v="1"/>
    <n v="35"/>
    <x v="2"/>
    <x v="1"/>
    <s v="Beige"/>
    <x v="0"/>
    <n v="4.5999999999999996"/>
    <x v="1"/>
    <x v="3"/>
    <x v="0"/>
    <x v="0"/>
    <n v="41"/>
    <x v="1"/>
    <x v="0"/>
  </r>
  <r>
    <n v="1382"/>
    <n v="30"/>
    <x v="0"/>
    <x v="9"/>
    <x v="1"/>
    <n v="86"/>
    <x v="26"/>
    <x v="0"/>
    <s v="Green"/>
    <x v="0"/>
    <n v="2.9"/>
    <x v="1"/>
    <x v="3"/>
    <x v="0"/>
    <x v="0"/>
    <n v="48"/>
    <x v="0"/>
    <x v="3"/>
  </r>
  <r>
    <n v="1383"/>
    <n v="68"/>
    <x v="0"/>
    <x v="14"/>
    <x v="2"/>
    <n v="55"/>
    <x v="49"/>
    <x v="0"/>
    <s v="Brown"/>
    <x v="0"/>
    <n v="4.8"/>
    <x v="1"/>
    <x v="0"/>
    <x v="0"/>
    <x v="0"/>
    <n v="16"/>
    <x v="4"/>
    <x v="3"/>
  </r>
  <r>
    <n v="1384"/>
    <n v="36"/>
    <x v="0"/>
    <x v="18"/>
    <x v="3"/>
    <n v="58"/>
    <x v="48"/>
    <x v="2"/>
    <s v="Beige"/>
    <x v="1"/>
    <n v="3.3"/>
    <x v="1"/>
    <x v="0"/>
    <x v="0"/>
    <x v="0"/>
    <n v="4"/>
    <x v="0"/>
    <x v="5"/>
  </r>
  <r>
    <n v="1385"/>
    <n v="46"/>
    <x v="0"/>
    <x v="4"/>
    <x v="1"/>
    <n v="96"/>
    <x v="29"/>
    <x v="2"/>
    <s v="Beige"/>
    <x v="3"/>
    <n v="4.5999999999999996"/>
    <x v="1"/>
    <x v="3"/>
    <x v="0"/>
    <x v="0"/>
    <n v="8"/>
    <x v="4"/>
    <x v="1"/>
  </r>
  <r>
    <n v="1386"/>
    <n v="41"/>
    <x v="0"/>
    <x v="16"/>
    <x v="3"/>
    <n v="64"/>
    <x v="16"/>
    <x v="2"/>
    <s v="Indigo"/>
    <x v="3"/>
    <n v="2.6"/>
    <x v="1"/>
    <x v="5"/>
    <x v="0"/>
    <x v="0"/>
    <n v="1"/>
    <x v="4"/>
    <x v="4"/>
  </r>
  <r>
    <n v="1387"/>
    <n v="68"/>
    <x v="0"/>
    <x v="14"/>
    <x v="2"/>
    <n v="56"/>
    <x v="4"/>
    <x v="2"/>
    <s v="Silver"/>
    <x v="3"/>
    <n v="4"/>
    <x v="1"/>
    <x v="2"/>
    <x v="0"/>
    <x v="0"/>
    <n v="4"/>
    <x v="5"/>
    <x v="3"/>
  </r>
  <r>
    <n v="1388"/>
    <n v="21"/>
    <x v="0"/>
    <x v="0"/>
    <x v="0"/>
    <n v="85"/>
    <x v="33"/>
    <x v="2"/>
    <s v="Gold"/>
    <x v="0"/>
    <n v="3.8"/>
    <x v="1"/>
    <x v="3"/>
    <x v="0"/>
    <x v="0"/>
    <n v="20"/>
    <x v="2"/>
    <x v="5"/>
  </r>
  <r>
    <n v="1389"/>
    <n v="62"/>
    <x v="0"/>
    <x v="10"/>
    <x v="0"/>
    <n v="23"/>
    <x v="10"/>
    <x v="2"/>
    <s v="Lavender"/>
    <x v="1"/>
    <n v="3.9"/>
    <x v="1"/>
    <x v="0"/>
    <x v="0"/>
    <x v="0"/>
    <n v="40"/>
    <x v="1"/>
    <x v="3"/>
  </r>
  <r>
    <n v="1390"/>
    <n v="59"/>
    <x v="0"/>
    <x v="18"/>
    <x v="3"/>
    <n v="72"/>
    <x v="26"/>
    <x v="0"/>
    <s v="Orange"/>
    <x v="3"/>
    <n v="2.6"/>
    <x v="1"/>
    <x v="5"/>
    <x v="0"/>
    <x v="0"/>
    <n v="8"/>
    <x v="5"/>
    <x v="0"/>
  </r>
  <r>
    <n v="1391"/>
    <n v="25"/>
    <x v="0"/>
    <x v="19"/>
    <x v="3"/>
    <n v="38"/>
    <x v="10"/>
    <x v="2"/>
    <s v="Maroon"/>
    <x v="2"/>
    <n v="4.3"/>
    <x v="1"/>
    <x v="3"/>
    <x v="0"/>
    <x v="0"/>
    <n v="42"/>
    <x v="5"/>
    <x v="1"/>
  </r>
  <r>
    <n v="1392"/>
    <n v="53"/>
    <x v="0"/>
    <x v="0"/>
    <x v="0"/>
    <n v="29"/>
    <x v="16"/>
    <x v="1"/>
    <s v="White"/>
    <x v="0"/>
    <n v="3.6"/>
    <x v="1"/>
    <x v="0"/>
    <x v="0"/>
    <x v="0"/>
    <n v="38"/>
    <x v="2"/>
    <x v="2"/>
  </r>
  <r>
    <n v="1393"/>
    <n v="31"/>
    <x v="0"/>
    <x v="24"/>
    <x v="3"/>
    <n v="46"/>
    <x v="10"/>
    <x v="2"/>
    <s v="Yellow"/>
    <x v="1"/>
    <n v="4.2"/>
    <x v="1"/>
    <x v="0"/>
    <x v="0"/>
    <x v="0"/>
    <n v="34"/>
    <x v="0"/>
    <x v="6"/>
  </r>
  <r>
    <n v="1394"/>
    <n v="46"/>
    <x v="0"/>
    <x v="24"/>
    <x v="3"/>
    <n v="58"/>
    <x v="37"/>
    <x v="0"/>
    <s v="Yellow"/>
    <x v="1"/>
    <n v="3.9"/>
    <x v="1"/>
    <x v="0"/>
    <x v="0"/>
    <x v="0"/>
    <n v="14"/>
    <x v="3"/>
    <x v="0"/>
  </r>
  <r>
    <n v="1395"/>
    <n v="26"/>
    <x v="0"/>
    <x v="7"/>
    <x v="2"/>
    <n v="43"/>
    <x v="44"/>
    <x v="0"/>
    <s v="Magenta"/>
    <x v="3"/>
    <n v="4.7"/>
    <x v="1"/>
    <x v="2"/>
    <x v="0"/>
    <x v="0"/>
    <n v="39"/>
    <x v="1"/>
    <x v="1"/>
  </r>
  <r>
    <n v="1396"/>
    <n v="47"/>
    <x v="0"/>
    <x v="18"/>
    <x v="3"/>
    <n v="32"/>
    <x v="8"/>
    <x v="0"/>
    <s v="Turquoise"/>
    <x v="1"/>
    <n v="2.8"/>
    <x v="1"/>
    <x v="2"/>
    <x v="0"/>
    <x v="0"/>
    <n v="40"/>
    <x v="3"/>
    <x v="4"/>
  </r>
  <r>
    <n v="1397"/>
    <n v="37"/>
    <x v="0"/>
    <x v="13"/>
    <x v="0"/>
    <n v="30"/>
    <x v="48"/>
    <x v="3"/>
    <s v="Lavender"/>
    <x v="0"/>
    <n v="3"/>
    <x v="1"/>
    <x v="2"/>
    <x v="0"/>
    <x v="0"/>
    <n v="49"/>
    <x v="5"/>
    <x v="5"/>
  </r>
  <r>
    <n v="1398"/>
    <n v="55"/>
    <x v="0"/>
    <x v="12"/>
    <x v="3"/>
    <n v="67"/>
    <x v="2"/>
    <x v="1"/>
    <s v="Magenta"/>
    <x v="2"/>
    <n v="4.7"/>
    <x v="1"/>
    <x v="5"/>
    <x v="0"/>
    <x v="0"/>
    <n v="33"/>
    <x v="3"/>
    <x v="2"/>
  </r>
  <r>
    <n v="1399"/>
    <n v="30"/>
    <x v="0"/>
    <x v="10"/>
    <x v="0"/>
    <n v="45"/>
    <x v="21"/>
    <x v="2"/>
    <s v="Cyan"/>
    <x v="2"/>
    <n v="2.5"/>
    <x v="1"/>
    <x v="1"/>
    <x v="0"/>
    <x v="0"/>
    <n v="25"/>
    <x v="2"/>
    <x v="1"/>
  </r>
  <r>
    <n v="1400"/>
    <n v="19"/>
    <x v="0"/>
    <x v="19"/>
    <x v="3"/>
    <n v="81"/>
    <x v="43"/>
    <x v="2"/>
    <s v="Olive"/>
    <x v="0"/>
    <n v="3.1"/>
    <x v="1"/>
    <x v="5"/>
    <x v="0"/>
    <x v="0"/>
    <n v="48"/>
    <x v="0"/>
    <x v="2"/>
  </r>
  <r>
    <n v="1401"/>
    <n v="36"/>
    <x v="0"/>
    <x v="21"/>
    <x v="3"/>
    <n v="23"/>
    <x v="22"/>
    <x v="2"/>
    <s v="Red"/>
    <x v="3"/>
    <n v="3.6"/>
    <x v="1"/>
    <x v="2"/>
    <x v="0"/>
    <x v="0"/>
    <n v="22"/>
    <x v="2"/>
    <x v="6"/>
  </r>
  <r>
    <n v="1402"/>
    <n v="23"/>
    <x v="0"/>
    <x v="3"/>
    <x v="1"/>
    <n v="59"/>
    <x v="27"/>
    <x v="2"/>
    <s v="Blue"/>
    <x v="3"/>
    <n v="3.5"/>
    <x v="1"/>
    <x v="4"/>
    <x v="0"/>
    <x v="0"/>
    <n v="1"/>
    <x v="3"/>
    <x v="1"/>
  </r>
  <r>
    <n v="1403"/>
    <n v="62"/>
    <x v="0"/>
    <x v="12"/>
    <x v="3"/>
    <n v="21"/>
    <x v="25"/>
    <x v="0"/>
    <s v="White"/>
    <x v="2"/>
    <n v="3.1"/>
    <x v="1"/>
    <x v="0"/>
    <x v="0"/>
    <x v="0"/>
    <n v="47"/>
    <x v="3"/>
    <x v="5"/>
  </r>
  <r>
    <n v="1404"/>
    <n v="26"/>
    <x v="0"/>
    <x v="21"/>
    <x v="3"/>
    <n v="20"/>
    <x v="42"/>
    <x v="2"/>
    <s v="Peach"/>
    <x v="1"/>
    <n v="3.6"/>
    <x v="1"/>
    <x v="5"/>
    <x v="0"/>
    <x v="0"/>
    <n v="20"/>
    <x v="2"/>
    <x v="4"/>
  </r>
  <r>
    <n v="1405"/>
    <n v="36"/>
    <x v="0"/>
    <x v="16"/>
    <x v="3"/>
    <n v="28"/>
    <x v="35"/>
    <x v="2"/>
    <s v="Charcoal"/>
    <x v="0"/>
    <n v="3.5"/>
    <x v="1"/>
    <x v="2"/>
    <x v="0"/>
    <x v="0"/>
    <n v="10"/>
    <x v="5"/>
    <x v="1"/>
  </r>
  <r>
    <n v="1406"/>
    <n v="33"/>
    <x v="0"/>
    <x v="20"/>
    <x v="0"/>
    <n v="100"/>
    <x v="13"/>
    <x v="2"/>
    <s v="Peach"/>
    <x v="0"/>
    <n v="2.7"/>
    <x v="1"/>
    <x v="5"/>
    <x v="0"/>
    <x v="0"/>
    <n v="39"/>
    <x v="2"/>
    <x v="5"/>
  </r>
  <r>
    <n v="1407"/>
    <n v="32"/>
    <x v="0"/>
    <x v="5"/>
    <x v="0"/>
    <n v="46"/>
    <x v="47"/>
    <x v="0"/>
    <s v="Turquoise"/>
    <x v="1"/>
    <n v="3.6"/>
    <x v="1"/>
    <x v="0"/>
    <x v="0"/>
    <x v="0"/>
    <n v="15"/>
    <x v="5"/>
    <x v="5"/>
  </r>
  <r>
    <n v="1408"/>
    <n v="56"/>
    <x v="0"/>
    <x v="8"/>
    <x v="3"/>
    <n v="61"/>
    <x v="22"/>
    <x v="3"/>
    <s v="Charcoal"/>
    <x v="1"/>
    <n v="4.5"/>
    <x v="1"/>
    <x v="0"/>
    <x v="0"/>
    <x v="0"/>
    <n v="11"/>
    <x v="2"/>
    <x v="2"/>
  </r>
  <r>
    <n v="1409"/>
    <n v="58"/>
    <x v="0"/>
    <x v="0"/>
    <x v="0"/>
    <n v="58"/>
    <x v="1"/>
    <x v="2"/>
    <s v="Yellow"/>
    <x v="0"/>
    <n v="4.0999999999999996"/>
    <x v="1"/>
    <x v="1"/>
    <x v="0"/>
    <x v="0"/>
    <n v="38"/>
    <x v="0"/>
    <x v="1"/>
  </r>
  <r>
    <n v="1410"/>
    <n v="34"/>
    <x v="0"/>
    <x v="21"/>
    <x v="3"/>
    <n v="50"/>
    <x v="37"/>
    <x v="2"/>
    <s v="Blue"/>
    <x v="1"/>
    <n v="4.2"/>
    <x v="1"/>
    <x v="3"/>
    <x v="0"/>
    <x v="0"/>
    <n v="41"/>
    <x v="1"/>
    <x v="0"/>
  </r>
  <r>
    <n v="1411"/>
    <n v="61"/>
    <x v="0"/>
    <x v="19"/>
    <x v="3"/>
    <n v="93"/>
    <x v="30"/>
    <x v="2"/>
    <s v="Purple"/>
    <x v="2"/>
    <n v="4"/>
    <x v="1"/>
    <x v="5"/>
    <x v="0"/>
    <x v="0"/>
    <n v="18"/>
    <x v="5"/>
    <x v="2"/>
  </r>
  <r>
    <n v="1412"/>
    <n v="48"/>
    <x v="0"/>
    <x v="11"/>
    <x v="0"/>
    <n v="24"/>
    <x v="7"/>
    <x v="0"/>
    <s v="Green"/>
    <x v="2"/>
    <n v="2.8"/>
    <x v="1"/>
    <x v="5"/>
    <x v="0"/>
    <x v="0"/>
    <n v="13"/>
    <x v="0"/>
    <x v="3"/>
  </r>
  <r>
    <n v="1413"/>
    <n v="25"/>
    <x v="0"/>
    <x v="6"/>
    <x v="0"/>
    <n v="100"/>
    <x v="49"/>
    <x v="2"/>
    <s v="Charcoal"/>
    <x v="2"/>
    <n v="2.6"/>
    <x v="1"/>
    <x v="4"/>
    <x v="0"/>
    <x v="0"/>
    <n v="43"/>
    <x v="0"/>
    <x v="2"/>
  </r>
  <r>
    <n v="1414"/>
    <n v="51"/>
    <x v="0"/>
    <x v="0"/>
    <x v="0"/>
    <n v="79"/>
    <x v="13"/>
    <x v="1"/>
    <s v="Indigo"/>
    <x v="3"/>
    <n v="2.7"/>
    <x v="1"/>
    <x v="5"/>
    <x v="0"/>
    <x v="0"/>
    <n v="12"/>
    <x v="4"/>
    <x v="3"/>
  </r>
  <r>
    <n v="1415"/>
    <n v="29"/>
    <x v="0"/>
    <x v="20"/>
    <x v="0"/>
    <n v="51"/>
    <x v="46"/>
    <x v="2"/>
    <s v="Black"/>
    <x v="2"/>
    <n v="4.5"/>
    <x v="1"/>
    <x v="5"/>
    <x v="0"/>
    <x v="0"/>
    <n v="3"/>
    <x v="2"/>
    <x v="4"/>
  </r>
  <r>
    <n v="1416"/>
    <n v="54"/>
    <x v="0"/>
    <x v="22"/>
    <x v="3"/>
    <n v="90"/>
    <x v="26"/>
    <x v="2"/>
    <s v="Blue"/>
    <x v="0"/>
    <n v="3.7"/>
    <x v="1"/>
    <x v="1"/>
    <x v="0"/>
    <x v="0"/>
    <n v="12"/>
    <x v="2"/>
    <x v="6"/>
  </r>
  <r>
    <n v="1417"/>
    <n v="48"/>
    <x v="0"/>
    <x v="23"/>
    <x v="1"/>
    <n v="56"/>
    <x v="37"/>
    <x v="0"/>
    <s v="Silver"/>
    <x v="2"/>
    <n v="3.4"/>
    <x v="1"/>
    <x v="1"/>
    <x v="0"/>
    <x v="0"/>
    <n v="46"/>
    <x v="1"/>
    <x v="3"/>
  </r>
  <r>
    <n v="1418"/>
    <n v="62"/>
    <x v="0"/>
    <x v="6"/>
    <x v="0"/>
    <n v="25"/>
    <x v="6"/>
    <x v="1"/>
    <s v="Brown"/>
    <x v="1"/>
    <n v="4.5999999999999996"/>
    <x v="1"/>
    <x v="3"/>
    <x v="0"/>
    <x v="0"/>
    <n v="21"/>
    <x v="5"/>
    <x v="0"/>
  </r>
  <r>
    <n v="1419"/>
    <n v="18"/>
    <x v="0"/>
    <x v="5"/>
    <x v="0"/>
    <n v="75"/>
    <x v="15"/>
    <x v="2"/>
    <s v="Violet"/>
    <x v="2"/>
    <n v="4.0999999999999996"/>
    <x v="1"/>
    <x v="4"/>
    <x v="0"/>
    <x v="0"/>
    <n v="23"/>
    <x v="0"/>
    <x v="6"/>
  </r>
  <r>
    <n v="1420"/>
    <n v="43"/>
    <x v="0"/>
    <x v="8"/>
    <x v="3"/>
    <n v="75"/>
    <x v="6"/>
    <x v="2"/>
    <s v="Orange"/>
    <x v="2"/>
    <n v="2.6"/>
    <x v="1"/>
    <x v="1"/>
    <x v="0"/>
    <x v="0"/>
    <n v="4"/>
    <x v="5"/>
    <x v="3"/>
  </r>
  <r>
    <n v="1421"/>
    <n v="22"/>
    <x v="0"/>
    <x v="2"/>
    <x v="0"/>
    <n v="53"/>
    <x v="18"/>
    <x v="3"/>
    <s v="Gray"/>
    <x v="2"/>
    <n v="4.5999999999999996"/>
    <x v="1"/>
    <x v="5"/>
    <x v="0"/>
    <x v="0"/>
    <n v="45"/>
    <x v="3"/>
    <x v="6"/>
  </r>
  <r>
    <n v="1422"/>
    <n v="68"/>
    <x v="0"/>
    <x v="10"/>
    <x v="0"/>
    <n v="100"/>
    <x v="38"/>
    <x v="1"/>
    <s v="Gold"/>
    <x v="1"/>
    <n v="3"/>
    <x v="1"/>
    <x v="3"/>
    <x v="0"/>
    <x v="0"/>
    <n v="24"/>
    <x v="4"/>
    <x v="0"/>
  </r>
  <r>
    <n v="1423"/>
    <n v="44"/>
    <x v="0"/>
    <x v="10"/>
    <x v="0"/>
    <n v="27"/>
    <x v="21"/>
    <x v="0"/>
    <s v="Charcoal"/>
    <x v="3"/>
    <n v="3.4"/>
    <x v="1"/>
    <x v="1"/>
    <x v="0"/>
    <x v="0"/>
    <n v="3"/>
    <x v="3"/>
    <x v="4"/>
  </r>
  <r>
    <n v="1424"/>
    <n v="51"/>
    <x v="0"/>
    <x v="3"/>
    <x v="1"/>
    <n v="60"/>
    <x v="49"/>
    <x v="1"/>
    <s v="Black"/>
    <x v="3"/>
    <n v="3.5"/>
    <x v="1"/>
    <x v="1"/>
    <x v="0"/>
    <x v="0"/>
    <n v="12"/>
    <x v="0"/>
    <x v="6"/>
  </r>
  <r>
    <n v="1425"/>
    <n v="66"/>
    <x v="0"/>
    <x v="14"/>
    <x v="2"/>
    <n v="23"/>
    <x v="39"/>
    <x v="1"/>
    <s v="Indigo"/>
    <x v="3"/>
    <n v="3.5"/>
    <x v="1"/>
    <x v="3"/>
    <x v="0"/>
    <x v="0"/>
    <n v="34"/>
    <x v="4"/>
    <x v="6"/>
  </r>
  <r>
    <n v="1426"/>
    <n v="59"/>
    <x v="0"/>
    <x v="7"/>
    <x v="2"/>
    <n v="40"/>
    <x v="5"/>
    <x v="1"/>
    <s v="White"/>
    <x v="0"/>
    <n v="3.7"/>
    <x v="1"/>
    <x v="2"/>
    <x v="0"/>
    <x v="0"/>
    <n v="39"/>
    <x v="2"/>
    <x v="2"/>
  </r>
  <r>
    <n v="1427"/>
    <n v="60"/>
    <x v="0"/>
    <x v="13"/>
    <x v="0"/>
    <n v="38"/>
    <x v="49"/>
    <x v="2"/>
    <s v="Yellow"/>
    <x v="2"/>
    <n v="4.8"/>
    <x v="1"/>
    <x v="1"/>
    <x v="0"/>
    <x v="0"/>
    <n v="35"/>
    <x v="3"/>
    <x v="6"/>
  </r>
  <r>
    <n v="1428"/>
    <n v="31"/>
    <x v="0"/>
    <x v="21"/>
    <x v="3"/>
    <n v="90"/>
    <x v="45"/>
    <x v="1"/>
    <s v="Orange"/>
    <x v="2"/>
    <n v="4.9000000000000004"/>
    <x v="1"/>
    <x v="5"/>
    <x v="0"/>
    <x v="0"/>
    <n v="8"/>
    <x v="2"/>
    <x v="2"/>
  </r>
  <r>
    <n v="1429"/>
    <n v="20"/>
    <x v="0"/>
    <x v="0"/>
    <x v="0"/>
    <n v="97"/>
    <x v="25"/>
    <x v="1"/>
    <s v="Green"/>
    <x v="2"/>
    <n v="4.9000000000000004"/>
    <x v="1"/>
    <x v="0"/>
    <x v="0"/>
    <x v="0"/>
    <n v="42"/>
    <x v="3"/>
    <x v="3"/>
  </r>
  <r>
    <n v="1430"/>
    <n v="24"/>
    <x v="0"/>
    <x v="11"/>
    <x v="0"/>
    <n v="38"/>
    <x v="33"/>
    <x v="0"/>
    <s v="Gold"/>
    <x v="3"/>
    <n v="4.7"/>
    <x v="1"/>
    <x v="3"/>
    <x v="0"/>
    <x v="0"/>
    <n v="6"/>
    <x v="2"/>
    <x v="6"/>
  </r>
  <r>
    <n v="1431"/>
    <n v="48"/>
    <x v="0"/>
    <x v="3"/>
    <x v="1"/>
    <n v="30"/>
    <x v="49"/>
    <x v="1"/>
    <s v="Orange"/>
    <x v="2"/>
    <n v="4.9000000000000004"/>
    <x v="1"/>
    <x v="1"/>
    <x v="0"/>
    <x v="0"/>
    <n v="3"/>
    <x v="2"/>
    <x v="0"/>
  </r>
  <r>
    <n v="1432"/>
    <n v="39"/>
    <x v="0"/>
    <x v="13"/>
    <x v="0"/>
    <n v="88"/>
    <x v="45"/>
    <x v="2"/>
    <s v="Cyan"/>
    <x v="3"/>
    <n v="2.9"/>
    <x v="1"/>
    <x v="0"/>
    <x v="0"/>
    <x v="0"/>
    <n v="29"/>
    <x v="0"/>
    <x v="3"/>
  </r>
  <r>
    <n v="1433"/>
    <n v="34"/>
    <x v="0"/>
    <x v="19"/>
    <x v="3"/>
    <n v="33"/>
    <x v="20"/>
    <x v="0"/>
    <s v="Black"/>
    <x v="0"/>
    <n v="4.4000000000000004"/>
    <x v="1"/>
    <x v="0"/>
    <x v="0"/>
    <x v="0"/>
    <n v="32"/>
    <x v="5"/>
    <x v="3"/>
  </r>
  <r>
    <n v="1434"/>
    <n v="70"/>
    <x v="0"/>
    <x v="15"/>
    <x v="0"/>
    <n v="60"/>
    <x v="46"/>
    <x v="0"/>
    <s v="Yellow"/>
    <x v="0"/>
    <n v="3.2"/>
    <x v="1"/>
    <x v="2"/>
    <x v="0"/>
    <x v="0"/>
    <n v="45"/>
    <x v="5"/>
    <x v="1"/>
  </r>
  <r>
    <n v="1435"/>
    <n v="59"/>
    <x v="0"/>
    <x v="1"/>
    <x v="0"/>
    <n v="64"/>
    <x v="14"/>
    <x v="0"/>
    <s v="Maroon"/>
    <x v="2"/>
    <n v="4.5999999999999996"/>
    <x v="1"/>
    <x v="1"/>
    <x v="0"/>
    <x v="0"/>
    <n v="21"/>
    <x v="5"/>
    <x v="4"/>
  </r>
  <r>
    <n v="1436"/>
    <n v="45"/>
    <x v="0"/>
    <x v="18"/>
    <x v="3"/>
    <n v="95"/>
    <x v="4"/>
    <x v="3"/>
    <s v="Black"/>
    <x v="3"/>
    <n v="4"/>
    <x v="1"/>
    <x v="3"/>
    <x v="0"/>
    <x v="0"/>
    <n v="41"/>
    <x v="1"/>
    <x v="1"/>
  </r>
  <r>
    <n v="1437"/>
    <n v="35"/>
    <x v="0"/>
    <x v="4"/>
    <x v="1"/>
    <n v="83"/>
    <x v="46"/>
    <x v="2"/>
    <s v="Gray"/>
    <x v="0"/>
    <n v="3.7"/>
    <x v="1"/>
    <x v="1"/>
    <x v="0"/>
    <x v="0"/>
    <n v="23"/>
    <x v="3"/>
    <x v="0"/>
  </r>
  <r>
    <n v="1438"/>
    <n v="69"/>
    <x v="0"/>
    <x v="23"/>
    <x v="1"/>
    <n v="97"/>
    <x v="6"/>
    <x v="3"/>
    <s v="Orange"/>
    <x v="0"/>
    <n v="4.2"/>
    <x v="1"/>
    <x v="1"/>
    <x v="0"/>
    <x v="0"/>
    <n v="14"/>
    <x v="1"/>
    <x v="2"/>
  </r>
  <r>
    <n v="1439"/>
    <n v="58"/>
    <x v="0"/>
    <x v="7"/>
    <x v="2"/>
    <n v="38"/>
    <x v="47"/>
    <x v="2"/>
    <s v="Cyan"/>
    <x v="1"/>
    <n v="2.9"/>
    <x v="1"/>
    <x v="3"/>
    <x v="0"/>
    <x v="0"/>
    <n v="24"/>
    <x v="5"/>
    <x v="5"/>
  </r>
  <r>
    <n v="1440"/>
    <n v="25"/>
    <x v="0"/>
    <x v="23"/>
    <x v="1"/>
    <n v="48"/>
    <x v="35"/>
    <x v="2"/>
    <s v="Magenta"/>
    <x v="2"/>
    <n v="4.8"/>
    <x v="1"/>
    <x v="2"/>
    <x v="0"/>
    <x v="0"/>
    <n v="25"/>
    <x v="1"/>
    <x v="0"/>
  </r>
  <r>
    <n v="1441"/>
    <n v="27"/>
    <x v="0"/>
    <x v="3"/>
    <x v="1"/>
    <n v="76"/>
    <x v="28"/>
    <x v="2"/>
    <s v="Pink"/>
    <x v="1"/>
    <n v="4.4000000000000004"/>
    <x v="1"/>
    <x v="3"/>
    <x v="0"/>
    <x v="0"/>
    <n v="13"/>
    <x v="0"/>
    <x v="5"/>
  </r>
  <r>
    <n v="1442"/>
    <n v="34"/>
    <x v="0"/>
    <x v="13"/>
    <x v="0"/>
    <n v="25"/>
    <x v="43"/>
    <x v="1"/>
    <s v="Turquoise"/>
    <x v="2"/>
    <n v="3.4"/>
    <x v="1"/>
    <x v="1"/>
    <x v="0"/>
    <x v="0"/>
    <n v="3"/>
    <x v="0"/>
    <x v="6"/>
  </r>
  <r>
    <n v="1443"/>
    <n v="53"/>
    <x v="0"/>
    <x v="15"/>
    <x v="0"/>
    <n v="92"/>
    <x v="37"/>
    <x v="1"/>
    <s v="Violet"/>
    <x v="1"/>
    <n v="2.8"/>
    <x v="1"/>
    <x v="4"/>
    <x v="0"/>
    <x v="0"/>
    <n v="42"/>
    <x v="2"/>
    <x v="2"/>
  </r>
  <r>
    <n v="1444"/>
    <n v="58"/>
    <x v="0"/>
    <x v="3"/>
    <x v="1"/>
    <n v="47"/>
    <x v="37"/>
    <x v="0"/>
    <s v="Teal"/>
    <x v="3"/>
    <n v="4.2"/>
    <x v="1"/>
    <x v="2"/>
    <x v="0"/>
    <x v="0"/>
    <n v="2"/>
    <x v="1"/>
    <x v="5"/>
  </r>
  <r>
    <n v="1445"/>
    <n v="32"/>
    <x v="0"/>
    <x v="1"/>
    <x v="0"/>
    <n v="36"/>
    <x v="34"/>
    <x v="0"/>
    <s v="Pink"/>
    <x v="3"/>
    <n v="3.8"/>
    <x v="1"/>
    <x v="0"/>
    <x v="0"/>
    <x v="0"/>
    <n v="26"/>
    <x v="1"/>
    <x v="3"/>
  </r>
  <r>
    <n v="1446"/>
    <n v="64"/>
    <x v="0"/>
    <x v="22"/>
    <x v="3"/>
    <n v="51"/>
    <x v="10"/>
    <x v="2"/>
    <s v="Gold"/>
    <x v="3"/>
    <n v="3.1"/>
    <x v="1"/>
    <x v="4"/>
    <x v="0"/>
    <x v="0"/>
    <n v="24"/>
    <x v="2"/>
    <x v="2"/>
  </r>
  <r>
    <n v="1447"/>
    <n v="63"/>
    <x v="0"/>
    <x v="2"/>
    <x v="0"/>
    <n v="35"/>
    <x v="5"/>
    <x v="3"/>
    <s v="Red"/>
    <x v="2"/>
    <n v="3.2"/>
    <x v="1"/>
    <x v="0"/>
    <x v="0"/>
    <x v="0"/>
    <n v="6"/>
    <x v="2"/>
    <x v="3"/>
  </r>
  <r>
    <n v="1448"/>
    <n v="23"/>
    <x v="0"/>
    <x v="15"/>
    <x v="0"/>
    <n v="57"/>
    <x v="35"/>
    <x v="1"/>
    <s v="Beige"/>
    <x v="2"/>
    <n v="3"/>
    <x v="1"/>
    <x v="2"/>
    <x v="0"/>
    <x v="0"/>
    <n v="25"/>
    <x v="3"/>
    <x v="5"/>
  </r>
  <r>
    <n v="1449"/>
    <n v="64"/>
    <x v="0"/>
    <x v="23"/>
    <x v="1"/>
    <n v="95"/>
    <x v="8"/>
    <x v="2"/>
    <s v="Black"/>
    <x v="2"/>
    <n v="3.6"/>
    <x v="1"/>
    <x v="1"/>
    <x v="0"/>
    <x v="0"/>
    <n v="11"/>
    <x v="2"/>
    <x v="6"/>
  </r>
  <r>
    <n v="1450"/>
    <n v="18"/>
    <x v="0"/>
    <x v="20"/>
    <x v="0"/>
    <n v="41"/>
    <x v="14"/>
    <x v="0"/>
    <s v="Lavender"/>
    <x v="0"/>
    <n v="2.5"/>
    <x v="1"/>
    <x v="5"/>
    <x v="0"/>
    <x v="0"/>
    <n v="20"/>
    <x v="1"/>
    <x v="6"/>
  </r>
  <r>
    <n v="1451"/>
    <n v="25"/>
    <x v="0"/>
    <x v="10"/>
    <x v="0"/>
    <n v="44"/>
    <x v="26"/>
    <x v="1"/>
    <s v="Teal"/>
    <x v="0"/>
    <n v="3.4"/>
    <x v="1"/>
    <x v="1"/>
    <x v="0"/>
    <x v="0"/>
    <n v="25"/>
    <x v="1"/>
    <x v="3"/>
  </r>
  <r>
    <n v="1452"/>
    <n v="54"/>
    <x v="0"/>
    <x v="14"/>
    <x v="2"/>
    <n v="34"/>
    <x v="40"/>
    <x v="2"/>
    <s v="Maroon"/>
    <x v="3"/>
    <n v="2.5"/>
    <x v="1"/>
    <x v="2"/>
    <x v="0"/>
    <x v="0"/>
    <n v="35"/>
    <x v="3"/>
    <x v="3"/>
  </r>
  <r>
    <n v="1453"/>
    <n v="60"/>
    <x v="0"/>
    <x v="14"/>
    <x v="2"/>
    <n v="25"/>
    <x v="24"/>
    <x v="0"/>
    <s v="Blue"/>
    <x v="1"/>
    <n v="4.7"/>
    <x v="1"/>
    <x v="4"/>
    <x v="0"/>
    <x v="0"/>
    <n v="11"/>
    <x v="4"/>
    <x v="3"/>
  </r>
  <r>
    <n v="1454"/>
    <n v="36"/>
    <x v="0"/>
    <x v="23"/>
    <x v="1"/>
    <n v="93"/>
    <x v="41"/>
    <x v="1"/>
    <s v="Teal"/>
    <x v="0"/>
    <n v="3.2"/>
    <x v="1"/>
    <x v="4"/>
    <x v="0"/>
    <x v="0"/>
    <n v="41"/>
    <x v="4"/>
    <x v="0"/>
  </r>
  <r>
    <n v="1455"/>
    <n v="66"/>
    <x v="0"/>
    <x v="4"/>
    <x v="1"/>
    <n v="50"/>
    <x v="42"/>
    <x v="0"/>
    <s v="Maroon"/>
    <x v="0"/>
    <n v="2.9"/>
    <x v="1"/>
    <x v="1"/>
    <x v="0"/>
    <x v="0"/>
    <n v="17"/>
    <x v="2"/>
    <x v="2"/>
  </r>
  <r>
    <n v="1456"/>
    <n v="60"/>
    <x v="0"/>
    <x v="13"/>
    <x v="0"/>
    <n v="79"/>
    <x v="15"/>
    <x v="0"/>
    <s v="Silver"/>
    <x v="3"/>
    <n v="4.9000000000000004"/>
    <x v="1"/>
    <x v="0"/>
    <x v="0"/>
    <x v="0"/>
    <n v="1"/>
    <x v="3"/>
    <x v="6"/>
  </r>
  <r>
    <n v="1457"/>
    <n v="59"/>
    <x v="0"/>
    <x v="7"/>
    <x v="2"/>
    <n v="100"/>
    <x v="6"/>
    <x v="1"/>
    <s v="Olive"/>
    <x v="1"/>
    <n v="2.7"/>
    <x v="1"/>
    <x v="5"/>
    <x v="0"/>
    <x v="0"/>
    <n v="30"/>
    <x v="3"/>
    <x v="6"/>
  </r>
  <r>
    <n v="1458"/>
    <n v="58"/>
    <x v="0"/>
    <x v="5"/>
    <x v="0"/>
    <n v="57"/>
    <x v="38"/>
    <x v="1"/>
    <s v="Gray"/>
    <x v="1"/>
    <n v="4.7"/>
    <x v="1"/>
    <x v="0"/>
    <x v="0"/>
    <x v="0"/>
    <n v="47"/>
    <x v="0"/>
    <x v="0"/>
  </r>
  <r>
    <n v="1459"/>
    <n v="35"/>
    <x v="0"/>
    <x v="1"/>
    <x v="0"/>
    <n v="28"/>
    <x v="9"/>
    <x v="2"/>
    <s v="Peach"/>
    <x v="1"/>
    <n v="2.9"/>
    <x v="1"/>
    <x v="4"/>
    <x v="0"/>
    <x v="0"/>
    <n v="34"/>
    <x v="0"/>
    <x v="1"/>
  </r>
  <r>
    <n v="1460"/>
    <n v="20"/>
    <x v="0"/>
    <x v="9"/>
    <x v="1"/>
    <n v="35"/>
    <x v="1"/>
    <x v="0"/>
    <s v="Yellow"/>
    <x v="0"/>
    <n v="4.8"/>
    <x v="1"/>
    <x v="0"/>
    <x v="0"/>
    <x v="0"/>
    <n v="18"/>
    <x v="0"/>
    <x v="0"/>
  </r>
  <r>
    <n v="1461"/>
    <n v="70"/>
    <x v="0"/>
    <x v="23"/>
    <x v="1"/>
    <n v="85"/>
    <x v="38"/>
    <x v="0"/>
    <s v="Violet"/>
    <x v="3"/>
    <n v="4.5999999999999996"/>
    <x v="1"/>
    <x v="3"/>
    <x v="0"/>
    <x v="0"/>
    <n v="33"/>
    <x v="0"/>
    <x v="4"/>
  </r>
  <r>
    <n v="1462"/>
    <n v="54"/>
    <x v="0"/>
    <x v="12"/>
    <x v="3"/>
    <n v="95"/>
    <x v="4"/>
    <x v="1"/>
    <s v="Red"/>
    <x v="2"/>
    <n v="5"/>
    <x v="1"/>
    <x v="4"/>
    <x v="0"/>
    <x v="0"/>
    <n v="42"/>
    <x v="0"/>
    <x v="3"/>
  </r>
  <r>
    <n v="1463"/>
    <n v="38"/>
    <x v="0"/>
    <x v="4"/>
    <x v="1"/>
    <n v="90"/>
    <x v="40"/>
    <x v="1"/>
    <s v="Charcoal"/>
    <x v="2"/>
    <n v="4.8"/>
    <x v="1"/>
    <x v="4"/>
    <x v="0"/>
    <x v="0"/>
    <n v="2"/>
    <x v="0"/>
    <x v="3"/>
  </r>
  <r>
    <n v="1464"/>
    <n v="54"/>
    <x v="0"/>
    <x v="16"/>
    <x v="3"/>
    <n v="49"/>
    <x v="19"/>
    <x v="2"/>
    <s v="Beige"/>
    <x v="2"/>
    <n v="4.9000000000000004"/>
    <x v="1"/>
    <x v="5"/>
    <x v="0"/>
    <x v="0"/>
    <n v="1"/>
    <x v="4"/>
    <x v="5"/>
  </r>
  <r>
    <n v="1465"/>
    <n v="33"/>
    <x v="0"/>
    <x v="22"/>
    <x v="3"/>
    <n v="92"/>
    <x v="6"/>
    <x v="2"/>
    <s v="Peach"/>
    <x v="0"/>
    <n v="4.5999999999999996"/>
    <x v="1"/>
    <x v="4"/>
    <x v="0"/>
    <x v="0"/>
    <n v="23"/>
    <x v="4"/>
    <x v="3"/>
  </r>
  <r>
    <n v="1466"/>
    <n v="46"/>
    <x v="0"/>
    <x v="24"/>
    <x v="3"/>
    <n v="72"/>
    <x v="43"/>
    <x v="3"/>
    <s v="Violet"/>
    <x v="0"/>
    <n v="3.9"/>
    <x v="1"/>
    <x v="5"/>
    <x v="0"/>
    <x v="0"/>
    <n v="42"/>
    <x v="1"/>
    <x v="4"/>
  </r>
  <r>
    <n v="1467"/>
    <n v="58"/>
    <x v="0"/>
    <x v="6"/>
    <x v="0"/>
    <n v="71"/>
    <x v="15"/>
    <x v="2"/>
    <s v="Green"/>
    <x v="2"/>
    <n v="4.5"/>
    <x v="1"/>
    <x v="5"/>
    <x v="0"/>
    <x v="0"/>
    <n v="3"/>
    <x v="3"/>
    <x v="2"/>
  </r>
  <r>
    <n v="1468"/>
    <n v="30"/>
    <x v="0"/>
    <x v="16"/>
    <x v="3"/>
    <n v="27"/>
    <x v="31"/>
    <x v="3"/>
    <s v="Olive"/>
    <x v="0"/>
    <n v="4.7"/>
    <x v="1"/>
    <x v="5"/>
    <x v="0"/>
    <x v="0"/>
    <n v="16"/>
    <x v="5"/>
    <x v="0"/>
  </r>
  <r>
    <n v="1469"/>
    <n v="42"/>
    <x v="0"/>
    <x v="24"/>
    <x v="3"/>
    <n v="39"/>
    <x v="10"/>
    <x v="1"/>
    <s v="Silver"/>
    <x v="3"/>
    <n v="3.9"/>
    <x v="1"/>
    <x v="0"/>
    <x v="0"/>
    <x v="0"/>
    <n v="46"/>
    <x v="1"/>
    <x v="0"/>
  </r>
  <r>
    <n v="1470"/>
    <n v="28"/>
    <x v="0"/>
    <x v="16"/>
    <x v="3"/>
    <n v="98"/>
    <x v="16"/>
    <x v="2"/>
    <s v="Purple"/>
    <x v="0"/>
    <n v="4.4000000000000004"/>
    <x v="1"/>
    <x v="3"/>
    <x v="0"/>
    <x v="0"/>
    <n v="31"/>
    <x v="3"/>
    <x v="6"/>
  </r>
  <r>
    <n v="1471"/>
    <n v="43"/>
    <x v="0"/>
    <x v="3"/>
    <x v="1"/>
    <n v="27"/>
    <x v="18"/>
    <x v="2"/>
    <s v="Silver"/>
    <x v="1"/>
    <n v="3.9"/>
    <x v="1"/>
    <x v="2"/>
    <x v="0"/>
    <x v="0"/>
    <n v="15"/>
    <x v="1"/>
    <x v="6"/>
  </r>
  <r>
    <n v="1472"/>
    <n v="31"/>
    <x v="0"/>
    <x v="16"/>
    <x v="3"/>
    <n v="71"/>
    <x v="29"/>
    <x v="1"/>
    <s v="Gray"/>
    <x v="1"/>
    <n v="2.8"/>
    <x v="1"/>
    <x v="4"/>
    <x v="0"/>
    <x v="0"/>
    <n v="48"/>
    <x v="0"/>
    <x v="6"/>
  </r>
  <r>
    <n v="1473"/>
    <n v="39"/>
    <x v="0"/>
    <x v="19"/>
    <x v="3"/>
    <n v="24"/>
    <x v="27"/>
    <x v="0"/>
    <s v="Turquoise"/>
    <x v="1"/>
    <n v="3.5"/>
    <x v="1"/>
    <x v="5"/>
    <x v="0"/>
    <x v="0"/>
    <n v="11"/>
    <x v="1"/>
    <x v="1"/>
  </r>
  <r>
    <n v="1474"/>
    <n v="69"/>
    <x v="0"/>
    <x v="6"/>
    <x v="0"/>
    <n v="63"/>
    <x v="48"/>
    <x v="2"/>
    <s v="Violet"/>
    <x v="3"/>
    <n v="4.3"/>
    <x v="1"/>
    <x v="0"/>
    <x v="0"/>
    <x v="0"/>
    <n v="20"/>
    <x v="2"/>
    <x v="6"/>
  </r>
  <r>
    <n v="1475"/>
    <n v="31"/>
    <x v="0"/>
    <x v="1"/>
    <x v="0"/>
    <n v="72"/>
    <x v="32"/>
    <x v="1"/>
    <s v="Pink"/>
    <x v="3"/>
    <n v="3.9"/>
    <x v="1"/>
    <x v="2"/>
    <x v="0"/>
    <x v="0"/>
    <n v="6"/>
    <x v="2"/>
    <x v="5"/>
  </r>
  <r>
    <n v="1476"/>
    <n v="44"/>
    <x v="0"/>
    <x v="0"/>
    <x v="0"/>
    <n v="61"/>
    <x v="3"/>
    <x v="2"/>
    <s v="Teal"/>
    <x v="1"/>
    <n v="4"/>
    <x v="1"/>
    <x v="0"/>
    <x v="0"/>
    <x v="0"/>
    <n v="24"/>
    <x v="1"/>
    <x v="5"/>
  </r>
  <r>
    <n v="1477"/>
    <n v="39"/>
    <x v="0"/>
    <x v="19"/>
    <x v="3"/>
    <n v="56"/>
    <x v="5"/>
    <x v="2"/>
    <s v="Magenta"/>
    <x v="3"/>
    <n v="4.0999999999999996"/>
    <x v="1"/>
    <x v="2"/>
    <x v="0"/>
    <x v="0"/>
    <n v="18"/>
    <x v="2"/>
    <x v="5"/>
  </r>
  <r>
    <n v="1478"/>
    <n v="24"/>
    <x v="0"/>
    <x v="22"/>
    <x v="3"/>
    <n v="32"/>
    <x v="4"/>
    <x v="3"/>
    <s v="Silver"/>
    <x v="2"/>
    <n v="4.3"/>
    <x v="1"/>
    <x v="3"/>
    <x v="0"/>
    <x v="0"/>
    <n v="1"/>
    <x v="3"/>
    <x v="6"/>
  </r>
  <r>
    <n v="1479"/>
    <n v="28"/>
    <x v="0"/>
    <x v="24"/>
    <x v="3"/>
    <n v="23"/>
    <x v="47"/>
    <x v="2"/>
    <s v="Blue"/>
    <x v="2"/>
    <n v="4.2"/>
    <x v="1"/>
    <x v="1"/>
    <x v="0"/>
    <x v="0"/>
    <n v="13"/>
    <x v="0"/>
    <x v="4"/>
  </r>
  <r>
    <n v="1480"/>
    <n v="48"/>
    <x v="0"/>
    <x v="7"/>
    <x v="2"/>
    <n v="100"/>
    <x v="47"/>
    <x v="0"/>
    <s v="Black"/>
    <x v="1"/>
    <n v="4"/>
    <x v="1"/>
    <x v="3"/>
    <x v="0"/>
    <x v="0"/>
    <n v="2"/>
    <x v="4"/>
    <x v="1"/>
  </r>
  <r>
    <n v="1481"/>
    <n v="39"/>
    <x v="0"/>
    <x v="16"/>
    <x v="3"/>
    <n v="74"/>
    <x v="13"/>
    <x v="2"/>
    <s v="Gold"/>
    <x v="3"/>
    <n v="3.6"/>
    <x v="1"/>
    <x v="0"/>
    <x v="0"/>
    <x v="0"/>
    <n v="26"/>
    <x v="1"/>
    <x v="3"/>
  </r>
  <r>
    <n v="1482"/>
    <n v="64"/>
    <x v="0"/>
    <x v="11"/>
    <x v="0"/>
    <n v="33"/>
    <x v="33"/>
    <x v="1"/>
    <s v="Gray"/>
    <x v="1"/>
    <n v="3.3"/>
    <x v="1"/>
    <x v="3"/>
    <x v="0"/>
    <x v="0"/>
    <n v="31"/>
    <x v="3"/>
    <x v="3"/>
  </r>
  <r>
    <n v="1483"/>
    <n v="28"/>
    <x v="0"/>
    <x v="24"/>
    <x v="3"/>
    <n v="67"/>
    <x v="48"/>
    <x v="1"/>
    <s v="Magenta"/>
    <x v="1"/>
    <n v="4.0999999999999996"/>
    <x v="1"/>
    <x v="4"/>
    <x v="0"/>
    <x v="0"/>
    <n v="43"/>
    <x v="4"/>
    <x v="1"/>
  </r>
  <r>
    <n v="1484"/>
    <n v="39"/>
    <x v="0"/>
    <x v="16"/>
    <x v="3"/>
    <n v="61"/>
    <x v="2"/>
    <x v="1"/>
    <s v="Yellow"/>
    <x v="2"/>
    <n v="4.7"/>
    <x v="1"/>
    <x v="2"/>
    <x v="0"/>
    <x v="0"/>
    <n v="12"/>
    <x v="5"/>
    <x v="4"/>
  </r>
  <r>
    <n v="1485"/>
    <n v="49"/>
    <x v="0"/>
    <x v="6"/>
    <x v="0"/>
    <n v="46"/>
    <x v="43"/>
    <x v="2"/>
    <s v="Teal"/>
    <x v="2"/>
    <n v="4.4000000000000004"/>
    <x v="1"/>
    <x v="5"/>
    <x v="0"/>
    <x v="0"/>
    <n v="22"/>
    <x v="0"/>
    <x v="6"/>
  </r>
  <r>
    <n v="1486"/>
    <n v="22"/>
    <x v="0"/>
    <x v="24"/>
    <x v="3"/>
    <n v="56"/>
    <x v="43"/>
    <x v="0"/>
    <s v="Red"/>
    <x v="1"/>
    <n v="3.4"/>
    <x v="1"/>
    <x v="3"/>
    <x v="0"/>
    <x v="0"/>
    <n v="3"/>
    <x v="1"/>
    <x v="0"/>
  </r>
  <r>
    <n v="1487"/>
    <n v="25"/>
    <x v="0"/>
    <x v="4"/>
    <x v="1"/>
    <n v="73"/>
    <x v="37"/>
    <x v="1"/>
    <s v="Yellow"/>
    <x v="1"/>
    <n v="5"/>
    <x v="1"/>
    <x v="1"/>
    <x v="0"/>
    <x v="0"/>
    <n v="23"/>
    <x v="0"/>
    <x v="6"/>
  </r>
  <r>
    <n v="1488"/>
    <n v="40"/>
    <x v="0"/>
    <x v="11"/>
    <x v="0"/>
    <n v="44"/>
    <x v="28"/>
    <x v="0"/>
    <s v="Black"/>
    <x v="2"/>
    <n v="4.5999999999999996"/>
    <x v="1"/>
    <x v="5"/>
    <x v="0"/>
    <x v="0"/>
    <n v="26"/>
    <x v="3"/>
    <x v="2"/>
  </r>
  <r>
    <n v="1489"/>
    <n v="23"/>
    <x v="0"/>
    <x v="19"/>
    <x v="3"/>
    <n v="44"/>
    <x v="11"/>
    <x v="0"/>
    <s v="Pink"/>
    <x v="0"/>
    <n v="4"/>
    <x v="1"/>
    <x v="3"/>
    <x v="0"/>
    <x v="0"/>
    <n v="37"/>
    <x v="2"/>
    <x v="1"/>
  </r>
  <r>
    <n v="1490"/>
    <n v="24"/>
    <x v="0"/>
    <x v="16"/>
    <x v="3"/>
    <n v="26"/>
    <x v="9"/>
    <x v="3"/>
    <s v="Magenta"/>
    <x v="2"/>
    <n v="4.0999999999999996"/>
    <x v="1"/>
    <x v="2"/>
    <x v="0"/>
    <x v="0"/>
    <n v="42"/>
    <x v="0"/>
    <x v="3"/>
  </r>
  <r>
    <n v="1491"/>
    <n v="66"/>
    <x v="0"/>
    <x v="4"/>
    <x v="1"/>
    <n v="52"/>
    <x v="7"/>
    <x v="0"/>
    <s v="Olive"/>
    <x v="1"/>
    <n v="4.9000000000000004"/>
    <x v="1"/>
    <x v="0"/>
    <x v="0"/>
    <x v="0"/>
    <n v="15"/>
    <x v="0"/>
    <x v="4"/>
  </r>
  <r>
    <n v="1492"/>
    <n v="27"/>
    <x v="0"/>
    <x v="5"/>
    <x v="0"/>
    <n v="54"/>
    <x v="10"/>
    <x v="1"/>
    <s v="Black"/>
    <x v="2"/>
    <n v="2.7"/>
    <x v="1"/>
    <x v="1"/>
    <x v="0"/>
    <x v="0"/>
    <n v="10"/>
    <x v="4"/>
    <x v="3"/>
  </r>
  <r>
    <n v="1493"/>
    <n v="62"/>
    <x v="0"/>
    <x v="14"/>
    <x v="2"/>
    <n v="38"/>
    <x v="17"/>
    <x v="2"/>
    <s v="Maroon"/>
    <x v="2"/>
    <n v="4.5"/>
    <x v="1"/>
    <x v="1"/>
    <x v="0"/>
    <x v="0"/>
    <n v="3"/>
    <x v="0"/>
    <x v="3"/>
  </r>
  <r>
    <n v="1494"/>
    <n v="70"/>
    <x v="0"/>
    <x v="22"/>
    <x v="3"/>
    <n v="44"/>
    <x v="25"/>
    <x v="1"/>
    <s v="Gold"/>
    <x v="3"/>
    <n v="2.7"/>
    <x v="1"/>
    <x v="3"/>
    <x v="0"/>
    <x v="0"/>
    <n v="44"/>
    <x v="2"/>
    <x v="3"/>
  </r>
  <r>
    <n v="1495"/>
    <n v="43"/>
    <x v="0"/>
    <x v="17"/>
    <x v="0"/>
    <n v="76"/>
    <x v="6"/>
    <x v="2"/>
    <s v="Gray"/>
    <x v="1"/>
    <n v="3"/>
    <x v="1"/>
    <x v="2"/>
    <x v="0"/>
    <x v="0"/>
    <n v="23"/>
    <x v="4"/>
    <x v="0"/>
  </r>
  <r>
    <n v="1496"/>
    <n v="45"/>
    <x v="0"/>
    <x v="16"/>
    <x v="3"/>
    <n v="23"/>
    <x v="3"/>
    <x v="2"/>
    <s v="Brown"/>
    <x v="0"/>
    <n v="4.5"/>
    <x v="1"/>
    <x v="2"/>
    <x v="0"/>
    <x v="0"/>
    <n v="6"/>
    <x v="3"/>
    <x v="1"/>
  </r>
  <r>
    <n v="1497"/>
    <n v="63"/>
    <x v="0"/>
    <x v="17"/>
    <x v="0"/>
    <n v="98"/>
    <x v="37"/>
    <x v="2"/>
    <s v="Purple"/>
    <x v="0"/>
    <n v="5"/>
    <x v="1"/>
    <x v="3"/>
    <x v="0"/>
    <x v="0"/>
    <n v="9"/>
    <x v="0"/>
    <x v="4"/>
  </r>
  <r>
    <n v="1498"/>
    <n v="69"/>
    <x v="0"/>
    <x v="14"/>
    <x v="2"/>
    <n v="33"/>
    <x v="49"/>
    <x v="1"/>
    <s v="Magenta"/>
    <x v="1"/>
    <n v="3.8"/>
    <x v="1"/>
    <x v="4"/>
    <x v="0"/>
    <x v="0"/>
    <n v="16"/>
    <x v="5"/>
    <x v="6"/>
  </r>
  <r>
    <n v="1499"/>
    <n v="59"/>
    <x v="0"/>
    <x v="1"/>
    <x v="0"/>
    <n v="32"/>
    <x v="26"/>
    <x v="2"/>
    <s v="Teal"/>
    <x v="2"/>
    <n v="3.1"/>
    <x v="1"/>
    <x v="3"/>
    <x v="0"/>
    <x v="0"/>
    <n v="46"/>
    <x v="0"/>
    <x v="0"/>
  </r>
  <r>
    <n v="1500"/>
    <n v="19"/>
    <x v="0"/>
    <x v="23"/>
    <x v="1"/>
    <n v="85"/>
    <x v="42"/>
    <x v="1"/>
    <s v="Olive"/>
    <x v="3"/>
    <n v="3.4"/>
    <x v="1"/>
    <x v="1"/>
    <x v="0"/>
    <x v="0"/>
    <n v="24"/>
    <x v="2"/>
    <x v="6"/>
  </r>
  <r>
    <n v="1501"/>
    <n v="63"/>
    <x v="0"/>
    <x v="2"/>
    <x v="0"/>
    <n v="69"/>
    <x v="15"/>
    <x v="0"/>
    <s v="Maroon"/>
    <x v="2"/>
    <n v="4.8"/>
    <x v="1"/>
    <x v="2"/>
    <x v="0"/>
    <x v="0"/>
    <n v="22"/>
    <x v="5"/>
    <x v="5"/>
  </r>
  <r>
    <n v="1502"/>
    <n v="37"/>
    <x v="0"/>
    <x v="2"/>
    <x v="0"/>
    <n v="55"/>
    <x v="29"/>
    <x v="3"/>
    <s v="Silver"/>
    <x v="1"/>
    <n v="2.7"/>
    <x v="1"/>
    <x v="3"/>
    <x v="0"/>
    <x v="0"/>
    <n v="13"/>
    <x v="5"/>
    <x v="6"/>
  </r>
  <r>
    <n v="1503"/>
    <n v="37"/>
    <x v="0"/>
    <x v="13"/>
    <x v="0"/>
    <n v="66"/>
    <x v="2"/>
    <x v="2"/>
    <s v="Black"/>
    <x v="2"/>
    <n v="3.2"/>
    <x v="1"/>
    <x v="5"/>
    <x v="0"/>
    <x v="0"/>
    <n v="20"/>
    <x v="1"/>
    <x v="0"/>
  </r>
  <r>
    <n v="1504"/>
    <n v="50"/>
    <x v="0"/>
    <x v="14"/>
    <x v="2"/>
    <n v="30"/>
    <x v="49"/>
    <x v="2"/>
    <s v="Maroon"/>
    <x v="3"/>
    <n v="3.9"/>
    <x v="1"/>
    <x v="4"/>
    <x v="0"/>
    <x v="0"/>
    <n v="46"/>
    <x v="1"/>
    <x v="3"/>
  </r>
  <r>
    <n v="1505"/>
    <n v="60"/>
    <x v="0"/>
    <x v="14"/>
    <x v="2"/>
    <n v="80"/>
    <x v="29"/>
    <x v="2"/>
    <s v="Teal"/>
    <x v="0"/>
    <n v="4.2"/>
    <x v="1"/>
    <x v="2"/>
    <x v="0"/>
    <x v="0"/>
    <n v="10"/>
    <x v="4"/>
    <x v="5"/>
  </r>
  <r>
    <n v="1506"/>
    <n v="46"/>
    <x v="0"/>
    <x v="22"/>
    <x v="3"/>
    <n v="20"/>
    <x v="25"/>
    <x v="2"/>
    <s v="Teal"/>
    <x v="2"/>
    <n v="3"/>
    <x v="1"/>
    <x v="0"/>
    <x v="0"/>
    <x v="0"/>
    <n v="39"/>
    <x v="1"/>
    <x v="5"/>
  </r>
  <r>
    <n v="1507"/>
    <n v="35"/>
    <x v="0"/>
    <x v="5"/>
    <x v="0"/>
    <n v="30"/>
    <x v="36"/>
    <x v="0"/>
    <s v="Beige"/>
    <x v="3"/>
    <n v="3"/>
    <x v="1"/>
    <x v="4"/>
    <x v="0"/>
    <x v="0"/>
    <n v="44"/>
    <x v="3"/>
    <x v="3"/>
  </r>
  <r>
    <n v="1508"/>
    <n v="66"/>
    <x v="0"/>
    <x v="10"/>
    <x v="0"/>
    <n v="86"/>
    <x v="38"/>
    <x v="1"/>
    <s v="Maroon"/>
    <x v="0"/>
    <n v="3.7"/>
    <x v="1"/>
    <x v="4"/>
    <x v="0"/>
    <x v="0"/>
    <n v="7"/>
    <x v="0"/>
    <x v="2"/>
  </r>
  <r>
    <n v="1509"/>
    <n v="35"/>
    <x v="0"/>
    <x v="0"/>
    <x v="0"/>
    <n v="84"/>
    <x v="24"/>
    <x v="0"/>
    <s v="Beige"/>
    <x v="1"/>
    <n v="4.4000000000000004"/>
    <x v="1"/>
    <x v="5"/>
    <x v="0"/>
    <x v="0"/>
    <n v="3"/>
    <x v="1"/>
    <x v="6"/>
  </r>
  <r>
    <n v="1510"/>
    <n v="20"/>
    <x v="0"/>
    <x v="10"/>
    <x v="0"/>
    <n v="54"/>
    <x v="13"/>
    <x v="3"/>
    <s v="White"/>
    <x v="2"/>
    <n v="4.5999999999999996"/>
    <x v="1"/>
    <x v="1"/>
    <x v="0"/>
    <x v="0"/>
    <n v="44"/>
    <x v="5"/>
    <x v="2"/>
  </r>
  <r>
    <n v="1511"/>
    <n v="55"/>
    <x v="0"/>
    <x v="0"/>
    <x v="0"/>
    <n v="30"/>
    <x v="33"/>
    <x v="3"/>
    <s v="Gray"/>
    <x v="3"/>
    <n v="3"/>
    <x v="1"/>
    <x v="1"/>
    <x v="0"/>
    <x v="0"/>
    <n v="31"/>
    <x v="0"/>
    <x v="2"/>
  </r>
  <r>
    <n v="1512"/>
    <n v="34"/>
    <x v="0"/>
    <x v="10"/>
    <x v="0"/>
    <n v="91"/>
    <x v="42"/>
    <x v="2"/>
    <s v="Violet"/>
    <x v="0"/>
    <n v="3.6"/>
    <x v="1"/>
    <x v="0"/>
    <x v="0"/>
    <x v="0"/>
    <n v="48"/>
    <x v="2"/>
    <x v="1"/>
  </r>
  <r>
    <n v="1513"/>
    <n v="60"/>
    <x v="0"/>
    <x v="4"/>
    <x v="1"/>
    <n v="23"/>
    <x v="48"/>
    <x v="0"/>
    <s v="Silver"/>
    <x v="0"/>
    <n v="3.9"/>
    <x v="1"/>
    <x v="3"/>
    <x v="0"/>
    <x v="0"/>
    <n v="18"/>
    <x v="3"/>
    <x v="4"/>
  </r>
  <r>
    <n v="1514"/>
    <n v="22"/>
    <x v="0"/>
    <x v="20"/>
    <x v="0"/>
    <n v="35"/>
    <x v="21"/>
    <x v="2"/>
    <s v="Red"/>
    <x v="1"/>
    <n v="4.0999999999999996"/>
    <x v="1"/>
    <x v="1"/>
    <x v="0"/>
    <x v="0"/>
    <n v="27"/>
    <x v="1"/>
    <x v="5"/>
  </r>
  <r>
    <n v="1515"/>
    <n v="26"/>
    <x v="0"/>
    <x v="9"/>
    <x v="1"/>
    <n v="90"/>
    <x v="40"/>
    <x v="0"/>
    <s v="Brown"/>
    <x v="0"/>
    <n v="3.9"/>
    <x v="1"/>
    <x v="4"/>
    <x v="0"/>
    <x v="0"/>
    <n v="1"/>
    <x v="0"/>
    <x v="1"/>
  </r>
  <r>
    <n v="1516"/>
    <n v="39"/>
    <x v="0"/>
    <x v="2"/>
    <x v="0"/>
    <n v="93"/>
    <x v="27"/>
    <x v="1"/>
    <s v="Turquoise"/>
    <x v="3"/>
    <n v="3.9"/>
    <x v="1"/>
    <x v="4"/>
    <x v="0"/>
    <x v="0"/>
    <n v="34"/>
    <x v="1"/>
    <x v="1"/>
  </r>
  <r>
    <n v="1517"/>
    <n v="20"/>
    <x v="0"/>
    <x v="2"/>
    <x v="0"/>
    <n v="68"/>
    <x v="22"/>
    <x v="0"/>
    <s v="Indigo"/>
    <x v="0"/>
    <n v="4.5"/>
    <x v="1"/>
    <x v="0"/>
    <x v="0"/>
    <x v="0"/>
    <n v="5"/>
    <x v="4"/>
    <x v="4"/>
  </r>
  <r>
    <n v="1518"/>
    <n v="57"/>
    <x v="0"/>
    <x v="24"/>
    <x v="3"/>
    <n v="41"/>
    <x v="13"/>
    <x v="2"/>
    <s v="Violet"/>
    <x v="1"/>
    <n v="3.4"/>
    <x v="1"/>
    <x v="3"/>
    <x v="0"/>
    <x v="0"/>
    <n v="12"/>
    <x v="1"/>
    <x v="3"/>
  </r>
  <r>
    <n v="1519"/>
    <n v="68"/>
    <x v="0"/>
    <x v="22"/>
    <x v="3"/>
    <n v="73"/>
    <x v="14"/>
    <x v="2"/>
    <s v="Yellow"/>
    <x v="0"/>
    <n v="4.0999999999999996"/>
    <x v="1"/>
    <x v="2"/>
    <x v="0"/>
    <x v="0"/>
    <n v="14"/>
    <x v="0"/>
    <x v="0"/>
  </r>
  <r>
    <n v="1520"/>
    <n v="50"/>
    <x v="0"/>
    <x v="12"/>
    <x v="3"/>
    <n v="73"/>
    <x v="21"/>
    <x v="0"/>
    <s v="Cyan"/>
    <x v="3"/>
    <n v="4.9000000000000004"/>
    <x v="1"/>
    <x v="2"/>
    <x v="0"/>
    <x v="0"/>
    <n v="40"/>
    <x v="3"/>
    <x v="1"/>
  </r>
  <r>
    <n v="1521"/>
    <n v="21"/>
    <x v="0"/>
    <x v="19"/>
    <x v="3"/>
    <n v="66"/>
    <x v="44"/>
    <x v="2"/>
    <s v="Brown"/>
    <x v="2"/>
    <n v="4.4000000000000004"/>
    <x v="1"/>
    <x v="4"/>
    <x v="0"/>
    <x v="0"/>
    <n v="39"/>
    <x v="1"/>
    <x v="3"/>
  </r>
  <r>
    <n v="1522"/>
    <n v="29"/>
    <x v="0"/>
    <x v="21"/>
    <x v="3"/>
    <n v="59"/>
    <x v="47"/>
    <x v="2"/>
    <s v="White"/>
    <x v="2"/>
    <n v="2.7"/>
    <x v="1"/>
    <x v="4"/>
    <x v="0"/>
    <x v="0"/>
    <n v="50"/>
    <x v="4"/>
    <x v="1"/>
  </r>
  <r>
    <n v="1523"/>
    <n v="38"/>
    <x v="0"/>
    <x v="6"/>
    <x v="0"/>
    <n v="72"/>
    <x v="30"/>
    <x v="0"/>
    <s v="Yellow"/>
    <x v="1"/>
    <n v="4.8"/>
    <x v="1"/>
    <x v="1"/>
    <x v="0"/>
    <x v="0"/>
    <n v="5"/>
    <x v="5"/>
    <x v="5"/>
  </r>
  <r>
    <n v="1524"/>
    <n v="54"/>
    <x v="0"/>
    <x v="20"/>
    <x v="0"/>
    <n v="88"/>
    <x v="42"/>
    <x v="2"/>
    <s v="White"/>
    <x v="2"/>
    <n v="3.3"/>
    <x v="1"/>
    <x v="4"/>
    <x v="0"/>
    <x v="0"/>
    <n v="35"/>
    <x v="5"/>
    <x v="2"/>
  </r>
  <r>
    <n v="1525"/>
    <n v="22"/>
    <x v="0"/>
    <x v="20"/>
    <x v="0"/>
    <n v="76"/>
    <x v="2"/>
    <x v="0"/>
    <s v="Pink"/>
    <x v="2"/>
    <n v="4.4000000000000004"/>
    <x v="1"/>
    <x v="1"/>
    <x v="0"/>
    <x v="0"/>
    <n v="6"/>
    <x v="1"/>
    <x v="4"/>
  </r>
  <r>
    <n v="1526"/>
    <n v="29"/>
    <x v="0"/>
    <x v="22"/>
    <x v="3"/>
    <n v="31"/>
    <x v="4"/>
    <x v="2"/>
    <s v="Indigo"/>
    <x v="0"/>
    <n v="4.5999999999999996"/>
    <x v="1"/>
    <x v="4"/>
    <x v="0"/>
    <x v="0"/>
    <n v="22"/>
    <x v="1"/>
    <x v="0"/>
  </r>
  <r>
    <n v="1527"/>
    <n v="41"/>
    <x v="0"/>
    <x v="14"/>
    <x v="2"/>
    <n v="22"/>
    <x v="19"/>
    <x v="0"/>
    <s v="White"/>
    <x v="2"/>
    <n v="3.1"/>
    <x v="1"/>
    <x v="2"/>
    <x v="0"/>
    <x v="0"/>
    <n v="27"/>
    <x v="3"/>
    <x v="5"/>
  </r>
  <r>
    <n v="1528"/>
    <n v="26"/>
    <x v="0"/>
    <x v="19"/>
    <x v="3"/>
    <n v="75"/>
    <x v="48"/>
    <x v="0"/>
    <s v="Red"/>
    <x v="3"/>
    <n v="4.5"/>
    <x v="1"/>
    <x v="4"/>
    <x v="0"/>
    <x v="0"/>
    <n v="33"/>
    <x v="5"/>
    <x v="0"/>
  </r>
  <r>
    <n v="1529"/>
    <n v="69"/>
    <x v="0"/>
    <x v="17"/>
    <x v="0"/>
    <n v="75"/>
    <x v="4"/>
    <x v="1"/>
    <s v="Red"/>
    <x v="1"/>
    <n v="4"/>
    <x v="1"/>
    <x v="5"/>
    <x v="0"/>
    <x v="0"/>
    <n v="47"/>
    <x v="0"/>
    <x v="4"/>
  </r>
  <r>
    <n v="1530"/>
    <n v="20"/>
    <x v="0"/>
    <x v="21"/>
    <x v="3"/>
    <n v="63"/>
    <x v="42"/>
    <x v="2"/>
    <s v="Lavender"/>
    <x v="0"/>
    <n v="3.1"/>
    <x v="1"/>
    <x v="1"/>
    <x v="0"/>
    <x v="0"/>
    <n v="48"/>
    <x v="2"/>
    <x v="4"/>
  </r>
  <r>
    <n v="1531"/>
    <n v="59"/>
    <x v="0"/>
    <x v="7"/>
    <x v="2"/>
    <n v="21"/>
    <x v="35"/>
    <x v="2"/>
    <s v="Teal"/>
    <x v="1"/>
    <n v="3.9"/>
    <x v="1"/>
    <x v="2"/>
    <x v="0"/>
    <x v="0"/>
    <n v="22"/>
    <x v="4"/>
    <x v="3"/>
  </r>
  <r>
    <n v="1532"/>
    <n v="63"/>
    <x v="0"/>
    <x v="21"/>
    <x v="3"/>
    <n v="83"/>
    <x v="16"/>
    <x v="1"/>
    <s v="Violet"/>
    <x v="1"/>
    <n v="4.5"/>
    <x v="1"/>
    <x v="2"/>
    <x v="0"/>
    <x v="0"/>
    <n v="8"/>
    <x v="3"/>
    <x v="4"/>
  </r>
  <r>
    <n v="1533"/>
    <n v="68"/>
    <x v="0"/>
    <x v="14"/>
    <x v="2"/>
    <n v="46"/>
    <x v="48"/>
    <x v="1"/>
    <s v="Silver"/>
    <x v="0"/>
    <n v="4.4000000000000004"/>
    <x v="1"/>
    <x v="2"/>
    <x v="0"/>
    <x v="0"/>
    <n v="5"/>
    <x v="3"/>
    <x v="6"/>
  </r>
  <r>
    <n v="1534"/>
    <n v="50"/>
    <x v="0"/>
    <x v="9"/>
    <x v="1"/>
    <n v="59"/>
    <x v="13"/>
    <x v="2"/>
    <s v="Gold"/>
    <x v="2"/>
    <n v="3.6"/>
    <x v="1"/>
    <x v="4"/>
    <x v="0"/>
    <x v="0"/>
    <n v="16"/>
    <x v="4"/>
    <x v="3"/>
  </r>
  <r>
    <n v="1535"/>
    <n v="55"/>
    <x v="0"/>
    <x v="0"/>
    <x v="0"/>
    <n v="66"/>
    <x v="5"/>
    <x v="2"/>
    <s v="Green"/>
    <x v="2"/>
    <n v="3.4"/>
    <x v="1"/>
    <x v="1"/>
    <x v="0"/>
    <x v="0"/>
    <n v="26"/>
    <x v="0"/>
    <x v="0"/>
  </r>
  <r>
    <n v="1536"/>
    <n v="36"/>
    <x v="0"/>
    <x v="3"/>
    <x v="1"/>
    <n v="74"/>
    <x v="8"/>
    <x v="1"/>
    <s v="Turquoise"/>
    <x v="3"/>
    <n v="4"/>
    <x v="1"/>
    <x v="4"/>
    <x v="0"/>
    <x v="0"/>
    <n v="8"/>
    <x v="0"/>
    <x v="5"/>
  </r>
  <r>
    <n v="1537"/>
    <n v="18"/>
    <x v="0"/>
    <x v="12"/>
    <x v="3"/>
    <n v="82"/>
    <x v="49"/>
    <x v="2"/>
    <s v="Indigo"/>
    <x v="2"/>
    <n v="2.6"/>
    <x v="1"/>
    <x v="5"/>
    <x v="0"/>
    <x v="0"/>
    <n v="17"/>
    <x v="1"/>
    <x v="3"/>
  </r>
  <r>
    <n v="1538"/>
    <n v="68"/>
    <x v="0"/>
    <x v="9"/>
    <x v="1"/>
    <n v="89"/>
    <x v="29"/>
    <x v="0"/>
    <s v="Black"/>
    <x v="1"/>
    <n v="3.2"/>
    <x v="1"/>
    <x v="2"/>
    <x v="0"/>
    <x v="0"/>
    <n v="50"/>
    <x v="0"/>
    <x v="2"/>
  </r>
  <r>
    <n v="1539"/>
    <n v="56"/>
    <x v="0"/>
    <x v="10"/>
    <x v="0"/>
    <n v="65"/>
    <x v="26"/>
    <x v="0"/>
    <s v="Charcoal"/>
    <x v="3"/>
    <n v="3.2"/>
    <x v="1"/>
    <x v="3"/>
    <x v="0"/>
    <x v="0"/>
    <n v="22"/>
    <x v="0"/>
    <x v="4"/>
  </r>
  <r>
    <n v="1540"/>
    <n v="32"/>
    <x v="0"/>
    <x v="22"/>
    <x v="3"/>
    <n v="55"/>
    <x v="11"/>
    <x v="2"/>
    <s v="Turquoise"/>
    <x v="1"/>
    <n v="5"/>
    <x v="1"/>
    <x v="4"/>
    <x v="0"/>
    <x v="0"/>
    <n v="19"/>
    <x v="1"/>
    <x v="6"/>
  </r>
  <r>
    <n v="1541"/>
    <n v="28"/>
    <x v="0"/>
    <x v="6"/>
    <x v="0"/>
    <n v="95"/>
    <x v="24"/>
    <x v="2"/>
    <s v="Red"/>
    <x v="0"/>
    <n v="2.9"/>
    <x v="1"/>
    <x v="2"/>
    <x v="0"/>
    <x v="0"/>
    <n v="14"/>
    <x v="4"/>
    <x v="5"/>
  </r>
  <r>
    <n v="1542"/>
    <n v="24"/>
    <x v="0"/>
    <x v="8"/>
    <x v="3"/>
    <n v="77"/>
    <x v="26"/>
    <x v="1"/>
    <s v="Indigo"/>
    <x v="0"/>
    <n v="2.9"/>
    <x v="1"/>
    <x v="5"/>
    <x v="0"/>
    <x v="0"/>
    <n v="35"/>
    <x v="1"/>
    <x v="4"/>
  </r>
  <r>
    <n v="1543"/>
    <n v="59"/>
    <x v="0"/>
    <x v="0"/>
    <x v="0"/>
    <n v="44"/>
    <x v="11"/>
    <x v="2"/>
    <s v="Maroon"/>
    <x v="0"/>
    <n v="3.5"/>
    <x v="1"/>
    <x v="2"/>
    <x v="0"/>
    <x v="0"/>
    <n v="43"/>
    <x v="3"/>
    <x v="1"/>
  </r>
  <r>
    <n v="1544"/>
    <n v="56"/>
    <x v="0"/>
    <x v="2"/>
    <x v="0"/>
    <n v="89"/>
    <x v="48"/>
    <x v="2"/>
    <s v="Indigo"/>
    <x v="3"/>
    <n v="4"/>
    <x v="1"/>
    <x v="3"/>
    <x v="0"/>
    <x v="0"/>
    <n v="24"/>
    <x v="0"/>
    <x v="2"/>
  </r>
  <r>
    <n v="1545"/>
    <n v="30"/>
    <x v="0"/>
    <x v="16"/>
    <x v="3"/>
    <n v="24"/>
    <x v="10"/>
    <x v="2"/>
    <s v="Maroon"/>
    <x v="1"/>
    <n v="3.9"/>
    <x v="1"/>
    <x v="3"/>
    <x v="0"/>
    <x v="0"/>
    <n v="17"/>
    <x v="5"/>
    <x v="4"/>
  </r>
  <r>
    <n v="1546"/>
    <n v="48"/>
    <x v="0"/>
    <x v="22"/>
    <x v="3"/>
    <n v="43"/>
    <x v="12"/>
    <x v="2"/>
    <s v="Black"/>
    <x v="0"/>
    <n v="4.9000000000000004"/>
    <x v="1"/>
    <x v="5"/>
    <x v="0"/>
    <x v="0"/>
    <n v="49"/>
    <x v="4"/>
    <x v="2"/>
  </r>
  <r>
    <n v="1547"/>
    <n v="60"/>
    <x v="0"/>
    <x v="4"/>
    <x v="1"/>
    <n v="51"/>
    <x v="4"/>
    <x v="3"/>
    <s v="Purple"/>
    <x v="2"/>
    <n v="3.8"/>
    <x v="1"/>
    <x v="0"/>
    <x v="0"/>
    <x v="0"/>
    <n v="17"/>
    <x v="4"/>
    <x v="2"/>
  </r>
  <r>
    <n v="1548"/>
    <n v="46"/>
    <x v="0"/>
    <x v="19"/>
    <x v="3"/>
    <n v="46"/>
    <x v="36"/>
    <x v="0"/>
    <s v="Teal"/>
    <x v="2"/>
    <n v="3.5"/>
    <x v="1"/>
    <x v="3"/>
    <x v="0"/>
    <x v="0"/>
    <n v="40"/>
    <x v="1"/>
    <x v="3"/>
  </r>
  <r>
    <n v="1549"/>
    <n v="69"/>
    <x v="0"/>
    <x v="10"/>
    <x v="0"/>
    <n v="32"/>
    <x v="33"/>
    <x v="2"/>
    <s v="Silver"/>
    <x v="2"/>
    <n v="3.7"/>
    <x v="1"/>
    <x v="5"/>
    <x v="0"/>
    <x v="0"/>
    <n v="43"/>
    <x v="4"/>
    <x v="1"/>
  </r>
  <r>
    <n v="1550"/>
    <n v="19"/>
    <x v="0"/>
    <x v="4"/>
    <x v="1"/>
    <n v="55"/>
    <x v="23"/>
    <x v="2"/>
    <s v="Black"/>
    <x v="1"/>
    <n v="2.9"/>
    <x v="1"/>
    <x v="4"/>
    <x v="0"/>
    <x v="0"/>
    <n v="19"/>
    <x v="5"/>
    <x v="6"/>
  </r>
  <r>
    <n v="1551"/>
    <n v="66"/>
    <x v="0"/>
    <x v="12"/>
    <x v="3"/>
    <n v="26"/>
    <x v="10"/>
    <x v="1"/>
    <s v="Black"/>
    <x v="2"/>
    <n v="2.8"/>
    <x v="1"/>
    <x v="1"/>
    <x v="0"/>
    <x v="0"/>
    <n v="40"/>
    <x v="4"/>
    <x v="3"/>
  </r>
  <r>
    <n v="1552"/>
    <n v="64"/>
    <x v="0"/>
    <x v="8"/>
    <x v="3"/>
    <n v="29"/>
    <x v="46"/>
    <x v="2"/>
    <s v="Olive"/>
    <x v="2"/>
    <n v="3.7"/>
    <x v="1"/>
    <x v="4"/>
    <x v="0"/>
    <x v="0"/>
    <n v="13"/>
    <x v="2"/>
    <x v="5"/>
  </r>
  <r>
    <n v="1553"/>
    <n v="54"/>
    <x v="0"/>
    <x v="0"/>
    <x v="0"/>
    <n v="49"/>
    <x v="35"/>
    <x v="0"/>
    <s v="Purple"/>
    <x v="1"/>
    <n v="3"/>
    <x v="1"/>
    <x v="0"/>
    <x v="0"/>
    <x v="0"/>
    <n v="20"/>
    <x v="2"/>
    <x v="5"/>
  </r>
  <r>
    <n v="1554"/>
    <n v="27"/>
    <x v="0"/>
    <x v="0"/>
    <x v="0"/>
    <n v="45"/>
    <x v="12"/>
    <x v="2"/>
    <s v="Indigo"/>
    <x v="1"/>
    <n v="4.8"/>
    <x v="1"/>
    <x v="1"/>
    <x v="0"/>
    <x v="0"/>
    <n v="21"/>
    <x v="5"/>
    <x v="3"/>
  </r>
  <r>
    <n v="1555"/>
    <n v="64"/>
    <x v="0"/>
    <x v="6"/>
    <x v="0"/>
    <n v="48"/>
    <x v="40"/>
    <x v="1"/>
    <s v="Lavender"/>
    <x v="0"/>
    <n v="2.7"/>
    <x v="1"/>
    <x v="3"/>
    <x v="0"/>
    <x v="0"/>
    <n v="18"/>
    <x v="1"/>
    <x v="4"/>
  </r>
  <r>
    <n v="1556"/>
    <n v="43"/>
    <x v="0"/>
    <x v="6"/>
    <x v="0"/>
    <n v="47"/>
    <x v="31"/>
    <x v="1"/>
    <s v="Cyan"/>
    <x v="0"/>
    <n v="4.5"/>
    <x v="1"/>
    <x v="1"/>
    <x v="0"/>
    <x v="0"/>
    <n v="44"/>
    <x v="1"/>
    <x v="3"/>
  </r>
  <r>
    <n v="1557"/>
    <n v="43"/>
    <x v="0"/>
    <x v="15"/>
    <x v="0"/>
    <n v="57"/>
    <x v="15"/>
    <x v="2"/>
    <s v="Gold"/>
    <x v="3"/>
    <n v="2.7"/>
    <x v="1"/>
    <x v="3"/>
    <x v="0"/>
    <x v="0"/>
    <n v="26"/>
    <x v="2"/>
    <x v="3"/>
  </r>
  <r>
    <n v="1558"/>
    <n v="27"/>
    <x v="0"/>
    <x v="21"/>
    <x v="3"/>
    <n v="34"/>
    <x v="45"/>
    <x v="0"/>
    <s v="Magenta"/>
    <x v="3"/>
    <n v="3.5"/>
    <x v="1"/>
    <x v="2"/>
    <x v="0"/>
    <x v="0"/>
    <n v="34"/>
    <x v="3"/>
    <x v="3"/>
  </r>
  <r>
    <n v="1559"/>
    <n v="35"/>
    <x v="0"/>
    <x v="12"/>
    <x v="3"/>
    <n v="75"/>
    <x v="35"/>
    <x v="3"/>
    <s v="Teal"/>
    <x v="3"/>
    <n v="3.5"/>
    <x v="1"/>
    <x v="0"/>
    <x v="0"/>
    <x v="0"/>
    <n v="24"/>
    <x v="2"/>
    <x v="6"/>
  </r>
  <r>
    <n v="1560"/>
    <n v="43"/>
    <x v="0"/>
    <x v="18"/>
    <x v="3"/>
    <n v="94"/>
    <x v="4"/>
    <x v="0"/>
    <s v="Beige"/>
    <x v="3"/>
    <n v="4.5"/>
    <x v="1"/>
    <x v="5"/>
    <x v="0"/>
    <x v="0"/>
    <n v="23"/>
    <x v="3"/>
    <x v="0"/>
  </r>
  <r>
    <n v="1561"/>
    <n v="57"/>
    <x v="0"/>
    <x v="19"/>
    <x v="3"/>
    <n v="84"/>
    <x v="4"/>
    <x v="2"/>
    <s v="Teal"/>
    <x v="0"/>
    <n v="3.8"/>
    <x v="1"/>
    <x v="1"/>
    <x v="0"/>
    <x v="0"/>
    <n v="3"/>
    <x v="5"/>
    <x v="1"/>
  </r>
  <r>
    <n v="1562"/>
    <n v="50"/>
    <x v="0"/>
    <x v="18"/>
    <x v="3"/>
    <n v="38"/>
    <x v="16"/>
    <x v="2"/>
    <s v="Indigo"/>
    <x v="2"/>
    <n v="3.8"/>
    <x v="1"/>
    <x v="3"/>
    <x v="0"/>
    <x v="0"/>
    <n v="2"/>
    <x v="4"/>
    <x v="3"/>
  </r>
  <r>
    <n v="1563"/>
    <n v="37"/>
    <x v="0"/>
    <x v="18"/>
    <x v="3"/>
    <n v="75"/>
    <x v="15"/>
    <x v="2"/>
    <s v="Purple"/>
    <x v="0"/>
    <n v="3.2"/>
    <x v="1"/>
    <x v="2"/>
    <x v="0"/>
    <x v="0"/>
    <n v="23"/>
    <x v="0"/>
    <x v="4"/>
  </r>
  <r>
    <n v="1564"/>
    <n v="68"/>
    <x v="0"/>
    <x v="13"/>
    <x v="0"/>
    <n v="44"/>
    <x v="23"/>
    <x v="2"/>
    <s v="Teal"/>
    <x v="3"/>
    <n v="4.3"/>
    <x v="1"/>
    <x v="2"/>
    <x v="0"/>
    <x v="0"/>
    <n v="8"/>
    <x v="1"/>
    <x v="1"/>
  </r>
  <r>
    <n v="1565"/>
    <n v="22"/>
    <x v="0"/>
    <x v="21"/>
    <x v="3"/>
    <n v="33"/>
    <x v="18"/>
    <x v="3"/>
    <s v="Turquoise"/>
    <x v="2"/>
    <n v="4.5"/>
    <x v="1"/>
    <x v="2"/>
    <x v="0"/>
    <x v="0"/>
    <n v="30"/>
    <x v="5"/>
    <x v="6"/>
  </r>
  <r>
    <n v="1566"/>
    <n v="58"/>
    <x v="0"/>
    <x v="12"/>
    <x v="3"/>
    <n v="93"/>
    <x v="37"/>
    <x v="0"/>
    <s v="Peach"/>
    <x v="3"/>
    <n v="4.2"/>
    <x v="1"/>
    <x v="1"/>
    <x v="0"/>
    <x v="0"/>
    <n v="48"/>
    <x v="3"/>
    <x v="2"/>
  </r>
  <r>
    <n v="1567"/>
    <n v="48"/>
    <x v="0"/>
    <x v="4"/>
    <x v="1"/>
    <n v="99"/>
    <x v="5"/>
    <x v="1"/>
    <s v="Green"/>
    <x v="0"/>
    <n v="3"/>
    <x v="1"/>
    <x v="1"/>
    <x v="0"/>
    <x v="0"/>
    <n v="21"/>
    <x v="1"/>
    <x v="4"/>
  </r>
  <r>
    <n v="1568"/>
    <n v="30"/>
    <x v="0"/>
    <x v="21"/>
    <x v="3"/>
    <n v="33"/>
    <x v="46"/>
    <x v="2"/>
    <s v="Turquoise"/>
    <x v="1"/>
    <n v="4.0999999999999996"/>
    <x v="1"/>
    <x v="3"/>
    <x v="0"/>
    <x v="0"/>
    <n v="9"/>
    <x v="1"/>
    <x v="5"/>
  </r>
  <r>
    <n v="1569"/>
    <n v="51"/>
    <x v="0"/>
    <x v="4"/>
    <x v="1"/>
    <n v="76"/>
    <x v="47"/>
    <x v="0"/>
    <s v="Yellow"/>
    <x v="1"/>
    <n v="4.5999999999999996"/>
    <x v="1"/>
    <x v="5"/>
    <x v="0"/>
    <x v="0"/>
    <n v="8"/>
    <x v="5"/>
    <x v="5"/>
  </r>
  <r>
    <n v="1570"/>
    <n v="20"/>
    <x v="0"/>
    <x v="11"/>
    <x v="0"/>
    <n v="63"/>
    <x v="11"/>
    <x v="2"/>
    <s v="Orange"/>
    <x v="2"/>
    <n v="2.9"/>
    <x v="1"/>
    <x v="3"/>
    <x v="0"/>
    <x v="0"/>
    <n v="29"/>
    <x v="5"/>
    <x v="1"/>
  </r>
  <r>
    <n v="1571"/>
    <n v="30"/>
    <x v="0"/>
    <x v="13"/>
    <x v="0"/>
    <n v="41"/>
    <x v="9"/>
    <x v="0"/>
    <s v="Brown"/>
    <x v="0"/>
    <n v="4.8"/>
    <x v="1"/>
    <x v="2"/>
    <x v="0"/>
    <x v="0"/>
    <n v="3"/>
    <x v="4"/>
    <x v="6"/>
  </r>
  <r>
    <n v="1572"/>
    <n v="28"/>
    <x v="0"/>
    <x v="16"/>
    <x v="3"/>
    <n v="88"/>
    <x v="24"/>
    <x v="0"/>
    <s v="Silver"/>
    <x v="0"/>
    <n v="4.5"/>
    <x v="1"/>
    <x v="2"/>
    <x v="0"/>
    <x v="0"/>
    <n v="11"/>
    <x v="4"/>
    <x v="0"/>
  </r>
  <r>
    <n v="1573"/>
    <n v="37"/>
    <x v="0"/>
    <x v="11"/>
    <x v="0"/>
    <n v="92"/>
    <x v="47"/>
    <x v="0"/>
    <s v="White"/>
    <x v="2"/>
    <n v="3.4"/>
    <x v="1"/>
    <x v="4"/>
    <x v="0"/>
    <x v="0"/>
    <n v="16"/>
    <x v="5"/>
    <x v="5"/>
  </r>
  <r>
    <n v="1574"/>
    <n v="36"/>
    <x v="0"/>
    <x v="17"/>
    <x v="0"/>
    <n v="31"/>
    <x v="25"/>
    <x v="0"/>
    <s v="Indigo"/>
    <x v="2"/>
    <n v="4.3"/>
    <x v="1"/>
    <x v="4"/>
    <x v="0"/>
    <x v="0"/>
    <n v="25"/>
    <x v="5"/>
    <x v="1"/>
  </r>
  <r>
    <n v="1575"/>
    <n v="18"/>
    <x v="0"/>
    <x v="11"/>
    <x v="0"/>
    <n v="25"/>
    <x v="46"/>
    <x v="1"/>
    <s v="Magenta"/>
    <x v="1"/>
    <n v="4.2"/>
    <x v="1"/>
    <x v="1"/>
    <x v="0"/>
    <x v="0"/>
    <n v="32"/>
    <x v="3"/>
    <x v="4"/>
  </r>
  <r>
    <n v="1576"/>
    <n v="52"/>
    <x v="0"/>
    <x v="5"/>
    <x v="0"/>
    <n v="28"/>
    <x v="18"/>
    <x v="2"/>
    <s v="Turquoise"/>
    <x v="1"/>
    <n v="3.6"/>
    <x v="1"/>
    <x v="2"/>
    <x v="0"/>
    <x v="0"/>
    <n v="28"/>
    <x v="1"/>
    <x v="0"/>
  </r>
  <r>
    <n v="1577"/>
    <n v="56"/>
    <x v="0"/>
    <x v="10"/>
    <x v="0"/>
    <n v="75"/>
    <x v="49"/>
    <x v="2"/>
    <s v="White"/>
    <x v="1"/>
    <n v="3.7"/>
    <x v="1"/>
    <x v="4"/>
    <x v="0"/>
    <x v="0"/>
    <n v="36"/>
    <x v="3"/>
    <x v="5"/>
  </r>
  <r>
    <n v="1578"/>
    <n v="68"/>
    <x v="0"/>
    <x v="23"/>
    <x v="1"/>
    <n v="34"/>
    <x v="12"/>
    <x v="1"/>
    <s v="Olive"/>
    <x v="1"/>
    <n v="4"/>
    <x v="1"/>
    <x v="3"/>
    <x v="0"/>
    <x v="0"/>
    <n v="7"/>
    <x v="0"/>
    <x v="0"/>
  </r>
  <r>
    <n v="1579"/>
    <n v="62"/>
    <x v="0"/>
    <x v="13"/>
    <x v="0"/>
    <n v="97"/>
    <x v="18"/>
    <x v="1"/>
    <s v="Maroon"/>
    <x v="0"/>
    <n v="4.9000000000000004"/>
    <x v="1"/>
    <x v="4"/>
    <x v="0"/>
    <x v="0"/>
    <n v="2"/>
    <x v="3"/>
    <x v="3"/>
  </r>
  <r>
    <n v="1580"/>
    <n v="35"/>
    <x v="0"/>
    <x v="14"/>
    <x v="2"/>
    <n v="80"/>
    <x v="19"/>
    <x v="2"/>
    <s v="Violet"/>
    <x v="2"/>
    <n v="3.1"/>
    <x v="1"/>
    <x v="1"/>
    <x v="0"/>
    <x v="0"/>
    <n v="6"/>
    <x v="4"/>
    <x v="5"/>
  </r>
  <r>
    <n v="1581"/>
    <n v="65"/>
    <x v="0"/>
    <x v="4"/>
    <x v="1"/>
    <n v="71"/>
    <x v="25"/>
    <x v="0"/>
    <s v="Cyan"/>
    <x v="2"/>
    <n v="3.7"/>
    <x v="1"/>
    <x v="3"/>
    <x v="0"/>
    <x v="0"/>
    <n v="30"/>
    <x v="1"/>
    <x v="2"/>
  </r>
  <r>
    <n v="1582"/>
    <n v="69"/>
    <x v="0"/>
    <x v="16"/>
    <x v="3"/>
    <n v="77"/>
    <x v="31"/>
    <x v="0"/>
    <s v="Teal"/>
    <x v="3"/>
    <n v="4.2"/>
    <x v="1"/>
    <x v="1"/>
    <x v="0"/>
    <x v="0"/>
    <n v="46"/>
    <x v="1"/>
    <x v="3"/>
  </r>
  <r>
    <n v="1583"/>
    <n v="28"/>
    <x v="0"/>
    <x v="22"/>
    <x v="3"/>
    <n v="41"/>
    <x v="11"/>
    <x v="0"/>
    <s v="Red"/>
    <x v="1"/>
    <n v="2.5"/>
    <x v="1"/>
    <x v="2"/>
    <x v="0"/>
    <x v="0"/>
    <n v="39"/>
    <x v="1"/>
    <x v="5"/>
  </r>
  <r>
    <n v="1584"/>
    <n v="37"/>
    <x v="0"/>
    <x v="18"/>
    <x v="3"/>
    <n v="92"/>
    <x v="33"/>
    <x v="3"/>
    <s v="Yellow"/>
    <x v="2"/>
    <n v="4.3"/>
    <x v="1"/>
    <x v="2"/>
    <x v="0"/>
    <x v="0"/>
    <n v="8"/>
    <x v="0"/>
    <x v="2"/>
  </r>
  <r>
    <n v="1585"/>
    <n v="41"/>
    <x v="0"/>
    <x v="0"/>
    <x v="0"/>
    <n v="95"/>
    <x v="11"/>
    <x v="1"/>
    <s v="Silver"/>
    <x v="1"/>
    <n v="3.1"/>
    <x v="1"/>
    <x v="5"/>
    <x v="0"/>
    <x v="0"/>
    <n v="46"/>
    <x v="2"/>
    <x v="3"/>
  </r>
  <r>
    <n v="1586"/>
    <n v="37"/>
    <x v="0"/>
    <x v="1"/>
    <x v="0"/>
    <n v="25"/>
    <x v="15"/>
    <x v="2"/>
    <s v="Charcoal"/>
    <x v="3"/>
    <n v="3"/>
    <x v="1"/>
    <x v="2"/>
    <x v="0"/>
    <x v="0"/>
    <n v="40"/>
    <x v="5"/>
    <x v="0"/>
  </r>
  <r>
    <n v="1587"/>
    <n v="25"/>
    <x v="0"/>
    <x v="23"/>
    <x v="1"/>
    <n v="77"/>
    <x v="19"/>
    <x v="2"/>
    <s v="Purple"/>
    <x v="3"/>
    <n v="4"/>
    <x v="1"/>
    <x v="0"/>
    <x v="0"/>
    <x v="0"/>
    <n v="21"/>
    <x v="4"/>
    <x v="1"/>
  </r>
  <r>
    <n v="1588"/>
    <n v="41"/>
    <x v="0"/>
    <x v="20"/>
    <x v="0"/>
    <n v="99"/>
    <x v="15"/>
    <x v="2"/>
    <s v="Beige"/>
    <x v="2"/>
    <n v="3.5"/>
    <x v="1"/>
    <x v="1"/>
    <x v="0"/>
    <x v="0"/>
    <n v="33"/>
    <x v="2"/>
    <x v="0"/>
  </r>
  <r>
    <n v="1589"/>
    <n v="48"/>
    <x v="0"/>
    <x v="22"/>
    <x v="3"/>
    <n v="24"/>
    <x v="34"/>
    <x v="0"/>
    <s v="Cyan"/>
    <x v="0"/>
    <n v="3.2"/>
    <x v="1"/>
    <x v="2"/>
    <x v="0"/>
    <x v="0"/>
    <n v="3"/>
    <x v="0"/>
    <x v="5"/>
  </r>
  <r>
    <n v="1590"/>
    <n v="42"/>
    <x v="0"/>
    <x v="4"/>
    <x v="1"/>
    <n v="72"/>
    <x v="31"/>
    <x v="2"/>
    <s v="Silver"/>
    <x v="2"/>
    <n v="2.7"/>
    <x v="1"/>
    <x v="5"/>
    <x v="0"/>
    <x v="0"/>
    <n v="48"/>
    <x v="1"/>
    <x v="1"/>
  </r>
  <r>
    <n v="1591"/>
    <n v="54"/>
    <x v="0"/>
    <x v="2"/>
    <x v="0"/>
    <n v="80"/>
    <x v="48"/>
    <x v="1"/>
    <s v="Pink"/>
    <x v="0"/>
    <n v="3"/>
    <x v="1"/>
    <x v="1"/>
    <x v="0"/>
    <x v="0"/>
    <n v="8"/>
    <x v="3"/>
    <x v="2"/>
  </r>
  <r>
    <n v="1592"/>
    <n v="18"/>
    <x v="0"/>
    <x v="11"/>
    <x v="0"/>
    <n v="100"/>
    <x v="45"/>
    <x v="0"/>
    <s v="Gold"/>
    <x v="0"/>
    <n v="2.9"/>
    <x v="1"/>
    <x v="2"/>
    <x v="0"/>
    <x v="0"/>
    <n v="24"/>
    <x v="3"/>
    <x v="2"/>
  </r>
  <r>
    <n v="1593"/>
    <n v="56"/>
    <x v="0"/>
    <x v="9"/>
    <x v="1"/>
    <n v="83"/>
    <x v="44"/>
    <x v="2"/>
    <s v="Cyan"/>
    <x v="2"/>
    <n v="3.3"/>
    <x v="1"/>
    <x v="1"/>
    <x v="0"/>
    <x v="0"/>
    <n v="10"/>
    <x v="4"/>
    <x v="6"/>
  </r>
  <r>
    <n v="1594"/>
    <n v="61"/>
    <x v="0"/>
    <x v="10"/>
    <x v="0"/>
    <n v="95"/>
    <x v="33"/>
    <x v="2"/>
    <s v="Black"/>
    <x v="1"/>
    <n v="4.9000000000000004"/>
    <x v="1"/>
    <x v="4"/>
    <x v="0"/>
    <x v="0"/>
    <n v="25"/>
    <x v="4"/>
    <x v="5"/>
  </r>
  <r>
    <n v="1595"/>
    <n v="40"/>
    <x v="0"/>
    <x v="8"/>
    <x v="3"/>
    <n v="41"/>
    <x v="24"/>
    <x v="3"/>
    <s v="Charcoal"/>
    <x v="2"/>
    <n v="3.7"/>
    <x v="1"/>
    <x v="5"/>
    <x v="0"/>
    <x v="0"/>
    <n v="3"/>
    <x v="1"/>
    <x v="0"/>
  </r>
  <r>
    <n v="1596"/>
    <n v="34"/>
    <x v="0"/>
    <x v="21"/>
    <x v="3"/>
    <n v="35"/>
    <x v="48"/>
    <x v="1"/>
    <s v="Magenta"/>
    <x v="1"/>
    <n v="3.5"/>
    <x v="1"/>
    <x v="3"/>
    <x v="0"/>
    <x v="0"/>
    <n v="45"/>
    <x v="5"/>
    <x v="0"/>
  </r>
  <r>
    <n v="1597"/>
    <n v="42"/>
    <x v="0"/>
    <x v="16"/>
    <x v="3"/>
    <n v="30"/>
    <x v="16"/>
    <x v="1"/>
    <s v="Pink"/>
    <x v="3"/>
    <n v="4.7"/>
    <x v="1"/>
    <x v="5"/>
    <x v="0"/>
    <x v="0"/>
    <n v="15"/>
    <x v="5"/>
    <x v="5"/>
  </r>
  <r>
    <n v="1598"/>
    <n v="43"/>
    <x v="0"/>
    <x v="19"/>
    <x v="3"/>
    <n v="21"/>
    <x v="16"/>
    <x v="3"/>
    <s v="Maroon"/>
    <x v="0"/>
    <n v="2.6"/>
    <x v="1"/>
    <x v="5"/>
    <x v="0"/>
    <x v="0"/>
    <n v="34"/>
    <x v="4"/>
    <x v="3"/>
  </r>
  <r>
    <n v="1599"/>
    <n v="47"/>
    <x v="0"/>
    <x v="16"/>
    <x v="3"/>
    <n v="85"/>
    <x v="18"/>
    <x v="2"/>
    <s v="Teal"/>
    <x v="3"/>
    <n v="4.0999999999999996"/>
    <x v="1"/>
    <x v="0"/>
    <x v="0"/>
    <x v="0"/>
    <n v="21"/>
    <x v="0"/>
    <x v="4"/>
  </r>
  <r>
    <n v="1600"/>
    <n v="48"/>
    <x v="0"/>
    <x v="5"/>
    <x v="0"/>
    <n v="54"/>
    <x v="12"/>
    <x v="2"/>
    <s v="Orange"/>
    <x v="0"/>
    <n v="2.8"/>
    <x v="1"/>
    <x v="4"/>
    <x v="0"/>
    <x v="0"/>
    <n v="22"/>
    <x v="5"/>
    <x v="4"/>
  </r>
  <r>
    <n v="1601"/>
    <n v="20"/>
    <x v="0"/>
    <x v="23"/>
    <x v="1"/>
    <n v="26"/>
    <x v="6"/>
    <x v="1"/>
    <s v="Yellow"/>
    <x v="1"/>
    <n v="4.7"/>
    <x v="1"/>
    <x v="2"/>
    <x v="0"/>
    <x v="0"/>
    <n v="24"/>
    <x v="3"/>
    <x v="1"/>
  </r>
  <r>
    <n v="1602"/>
    <n v="65"/>
    <x v="0"/>
    <x v="5"/>
    <x v="0"/>
    <n v="59"/>
    <x v="27"/>
    <x v="3"/>
    <s v="Red"/>
    <x v="1"/>
    <n v="2.9"/>
    <x v="1"/>
    <x v="5"/>
    <x v="0"/>
    <x v="0"/>
    <n v="33"/>
    <x v="2"/>
    <x v="5"/>
  </r>
  <r>
    <n v="1603"/>
    <n v="54"/>
    <x v="0"/>
    <x v="12"/>
    <x v="3"/>
    <n v="48"/>
    <x v="8"/>
    <x v="1"/>
    <s v="Charcoal"/>
    <x v="0"/>
    <n v="2.8"/>
    <x v="1"/>
    <x v="1"/>
    <x v="0"/>
    <x v="0"/>
    <n v="13"/>
    <x v="0"/>
    <x v="0"/>
  </r>
  <r>
    <n v="1604"/>
    <n v="23"/>
    <x v="0"/>
    <x v="6"/>
    <x v="0"/>
    <n v="98"/>
    <x v="44"/>
    <x v="0"/>
    <s v="Black"/>
    <x v="2"/>
    <n v="4.3"/>
    <x v="1"/>
    <x v="2"/>
    <x v="0"/>
    <x v="0"/>
    <n v="17"/>
    <x v="5"/>
    <x v="4"/>
  </r>
  <r>
    <n v="1605"/>
    <n v="18"/>
    <x v="0"/>
    <x v="1"/>
    <x v="0"/>
    <n v="92"/>
    <x v="1"/>
    <x v="2"/>
    <s v="White"/>
    <x v="2"/>
    <n v="4.8"/>
    <x v="1"/>
    <x v="4"/>
    <x v="0"/>
    <x v="0"/>
    <n v="25"/>
    <x v="2"/>
    <x v="6"/>
  </r>
  <r>
    <n v="1606"/>
    <n v="70"/>
    <x v="0"/>
    <x v="22"/>
    <x v="3"/>
    <n v="46"/>
    <x v="39"/>
    <x v="2"/>
    <s v="Lavender"/>
    <x v="0"/>
    <n v="3.4"/>
    <x v="1"/>
    <x v="2"/>
    <x v="0"/>
    <x v="0"/>
    <n v="15"/>
    <x v="2"/>
    <x v="4"/>
  </r>
  <r>
    <n v="1607"/>
    <n v="55"/>
    <x v="0"/>
    <x v="17"/>
    <x v="0"/>
    <n v="21"/>
    <x v="23"/>
    <x v="1"/>
    <s v="White"/>
    <x v="1"/>
    <n v="4.3"/>
    <x v="1"/>
    <x v="3"/>
    <x v="0"/>
    <x v="0"/>
    <n v="4"/>
    <x v="3"/>
    <x v="0"/>
  </r>
  <r>
    <n v="1608"/>
    <n v="49"/>
    <x v="0"/>
    <x v="6"/>
    <x v="0"/>
    <n v="72"/>
    <x v="34"/>
    <x v="1"/>
    <s v="Gray"/>
    <x v="3"/>
    <n v="2.7"/>
    <x v="1"/>
    <x v="1"/>
    <x v="0"/>
    <x v="0"/>
    <n v="43"/>
    <x v="5"/>
    <x v="3"/>
  </r>
  <r>
    <n v="1609"/>
    <n v="26"/>
    <x v="0"/>
    <x v="3"/>
    <x v="1"/>
    <n v="58"/>
    <x v="43"/>
    <x v="3"/>
    <s v="Cyan"/>
    <x v="3"/>
    <n v="4.5999999999999996"/>
    <x v="1"/>
    <x v="2"/>
    <x v="0"/>
    <x v="0"/>
    <n v="12"/>
    <x v="4"/>
    <x v="4"/>
  </r>
  <r>
    <n v="1610"/>
    <n v="33"/>
    <x v="0"/>
    <x v="5"/>
    <x v="0"/>
    <n v="93"/>
    <x v="22"/>
    <x v="1"/>
    <s v="Brown"/>
    <x v="3"/>
    <n v="4.0999999999999996"/>
    <x v="1"/>
    <x v="3"/>
    <x v="0"/>
    <x v="0"/>
    <n v="3"/>
    <x v="0"/>
    <x v="5"/>
  </r>
  <r>
    <n v="1611"/>
    <n v="20"/>
    <x v="0"/>
    <x v="20"/>
    <x v="0"/>
    <n v="31"/>
    <x v="30"/>
    <x v="0"/>
    <s v="Purple"/>
    <x v="1"/>
    <n v="3.4"/>
    <x v="1"/>
    <x v="4"/>
    <x v="0"/>
    <x v="0"/>
    <n v="1"/>
    <x v="3"/>
    <x v="2"/>
  </r>
  <r>
    <n v="1612"/>
    <n v="41"/>
    <x v="0"/>
    <x v="13"/>
    <x v="0"/>
    <n v="26"/>
    <x v="10"/>
    <x v="0"/>
    <s v="Yellow"/>
    <x v="0"/>
    <n v="4.5"/>
    <x v="1"/>
    <x v="2"/>
    <x v="0"/>
    <x v="0"/>
    <n v="6"/>
    <x v="5"/>
    <x v="5"/>
  </r>
  <r>
    <n v="1613"/>
    <n v="18"/>
    <x v="0"/>
    <x v="11"/>
    <x v="0"/>
    <n v="68"/>
    <x v="48"/>
    <x v="2"/>
    <s v="Indigo"/>
    <x v="2"/>
    <n v="4.4000000000000004"/>
    <x v="1"/>
    <x v="3"/>
    <x v="0"/>
    <x v="0"/>
    <n v="26"/>
    <x v="0"/>
    <x v="5"/>
  </r>
  <r>
    <n v="1614"/>
    <n v="26"/>
    <x v="0"/>
    <x v="16"/>
    <x v="3"/>
    <n v="31"/>
    <x v="26"/>
    <x v="1"/>
    <s v="Black"/>
    <x v="2"/>
    <n v="4"/>
    <x v="1"/>
    <x v="2"/>
    <x v="0"/>
    <x v="0"/>
    <n v="6"/>
    <x v="2"/>
    <x v="0"/>
  </r>
  <r>
    <n v="1615"/>
    <n v="30"/>
    <x v="0"/>
    <x v="17"/>
    <x v="0"/>
    <n v="41"/>
    <x v="23"/>
    <x v="1"/>
    <s v="Gray"/>
    <x v="2"/>
    <n v="3.4"/>
    <x v="1"/>
    <x v="1"/>
    <x v="0"/>
    <x v="0"/>
    <n v="22"/>
    <x v="1"/>
    <x v="4"/>
  </r>
  <r>
    <n v="1616"/>
    <n v="64"/>
    <x v="0"/>
    <x v="16"/>
    <x v="3"/>
    <n v="62"/>
    <x v="14"/>
    <x v="2"/>
    <s v="Indigo"/>
    <x v="3"/>
    <n v="3.2"/>
    <x v="1"/>
    <x v="3"/>
    <x v="0"/>
    <x v="0"/>
    <n v="45"/>
    <x v="1"/>
    <x v="4"/>
  </r>
  <r>
    <n v="1617"/>
    <n v="26"/>
    <x v="0"/>
    <x v="19"/>
    <x v="3"/>
    <n v="41"/>
    <x v="24"/>
    <x v="2"/>
    <s v="Green"/>
    <x v="1"/>
    <n v="3.4"/>
    <x v="1"/>
    <x v="3"/>
    <x v="0"/>
    <x v="0"/>
    <n v="50"/>
    <x v="1"/>
    <x v="3"/>
  </r>
  <r>
    <n v="1618"/>
    <n v="43"/>
    <x v="0"/>
    <x v="0"/>
    <x v="0"/>
    <n v="64"/>
    <x v="48"/>
    <x v="2"/>
    <s v="Peach"/>
    <x v="0"/>
    <n v="4.3"/>
    <x v="1"/>
    <x v="3"/>
    <x v="0"/>
    <x v="0"/>
    <n v="50"/>
    <x v="2"/>
    <x v="0"/>
  </r>
  <r>
    <n v="1619"/>
    <n v="63"/>
    <x v="0"/>
    <x v="3"/>
    <x v="1"/>
    <n v="72"/>
    <x v="49"/>
    <x v="0"/>
    <s v="Purple"/>
    <x v="2"/>
    <n v="5"/>
    <x v="1"/>
    <x v="3"/>
    <x v="0"/>
    <x v="0"/>
    <n v="39"/>
    <x v="5"/>
    <x v="3"/>
  </r>
  <r>
    <n v="1620"/>
    <n v="57"/>
    <x v="0"/>
    <x v="8"/>
    <x v="3"/>
    <n v="78"/>
    <x v="11"/>
    <x v="0"/>
    <s v="Beige"/>
    <x v="0"/>
    <n v="3.5"/>
    <x v="1"/>
    <x v="5"/>
    <x v="0"/>
    <x v="0"/>
    <n v="50"/>
    <x v="0"/>
    <x v="4"/>
  </r>
  <r>
    <n v="1621"/>
    <n v="25"/>
    <x v="0"/>
    <x v="19"/>
    <x v="3"/>
    <n v="47"/>
    <x v="41"/>
    <x v="2"/>
    <s v="Charcoal"/>
    <x v="0"/>
    <n v="3.1"/>
    <x v="1"/>
    <x v="4"/>
    <x v="0"/>
    <x v="0"/>
    <n v="27"/>
    <x v="3"/>
    <x v="6"/>
  </r>
  <r>
    <n v="1622"/>
    <n v="68"/>
    <x v="0"/>
    <x v="18"/>
    <x v="3"/>
    <n v="46"/>
    <x v="31"/>
    <x v="0"/>
    <s v="Gray"/>
    <x v="2"/>
    <n v="3.9"/>
    <x v="1"/>
    <x v="4"/>
    <x v="0"/>
    <x v="0"/>
    <n v="38"/>
    <x v="5"/>
    <x v="0"/>
  </r>
  <r>
    <n v="1623"/>
    <n v="31"/>
    <x v="0"/>
    <x v="6"/>
    <x v="0"/>
    <n v="43"/>
    <x v="9"/>
    <x v="1"/>
    <s v="Brown"/>
    <x v="0"/>
    <n v="4"/>
    <x v="1"/>
    <x v="5"/>
    <x v="0"/>
    <x v="0"/>
    <n v="37"/>
    <x v="4"/>
    <x v="6"/>
  </r>
  <r>
    <n v="1624"/>
    <n v="64"/>
    <x v="0"/>
    <x v="21"/>
    <x v="3"/>
    <n v="58"/>
    <x v="27"/>
    <x v="2"/>
    <s v="Cyan"/>
    <x v="2"/>
    <n v="3.5"/>
    <x v="1"/>
    <x v="2"/>
    <x v="0"/>
    <x v="0"/>
    <n v="50"/>
    <x v="5"/>
    <x v="2"/>
  </r>
  <r>
    <n v="1625"/>
    <n v="38"/>
    <x v="0"/>
    <x v="1"/>
    <x v="0"/>
    <n v="32"/>
    <x v="20"/>
    <x v="2"/>
    <s v="White"/>
    <x v="0"/>
    <n v="3.6"/>
    <x v="1"/>
    <x v="1"/>
    <x v="0"/>
    <x v="0"/>
    <n v="40"/>
    <x v="3"/>
    <x v="6"/>
  </r>
  <r>
    <n v="1626"/>
    <n v="34"/>
    <x v="0"/>
    <x v="11"/>
    <x v="0"/>
    <n v="45"/>
    <x v="46"/>
    <x v="0"/>
    <s v="Beige"/>
    <x v="0"/>
    <n v="3"/>
    <x v="1"/>
    <x v="2"/>
    <x v="0"/>
    <x v="0"/>
    <n v="3"/>
    <x v="3"/>
    <x v="4"/>
  </r>
  <r>
    <n v="1627"/>
    <n v="32"/>
    <x v="0"/>
    <x v="4"/>
    <x v="1"/>
    <n v="35"/>
    <x v="22"/>
    <x v="0"/>
    <s v="Orange"/>
    <x v="2"/>
    <n v="2.6"/>
    <x v="1"/>
    <x v="2"/>
    <x v="0"/>
    <x v="0"/>
    <n v="45"/>
    <x v="2"/>
    <x v="4"/>
  </r>
  <r>
    <n v="1628"/>
    <n v="69"/>
    <x v="0"/>
    <x v="12"/>
    <x v="3"/>
    <n v="21"/>
    <x v="1"/>
    <x v="2"/>
    <s v="Olive"/>
    <x v="0"/>
    <n v="2.9"/>
    <x v="1"/>
    <x v="2"/>
    <x v="0"/>
    <x v="0"/>
    <n v="8"/>
    <x v="2"/>
    <x v="2"/>
  </r>
  <r>
    <n v="1629"/>
    <n v="45"/>
    <x v="0"/>
    <x v="10"/>
    <x v="0"/>
    <n v="64"/>
    <x v="2"/>
    <x v="1"/>
    <s v="Teal"/>
    <x v="0"/>
    <n v="3.1"/>
    <x v="1"/>
    <x v="2"/>
    <x v="0"/>
    <x v="0"/>
    <n v="7"/>
    <x v="1"/>
    <x v="5"/>
  </r>
  <r>
    <n v="1630"/>
    <n v="35"/>
    <x v="0"/>
    <x v="0"/>
    <x v="0"/>
    <n v="88"/>
    <x v="25"/>
    <x v="1"/>
    <s v="Silver"/>
    <x v="1"/>
    <n v="3.3"/>
    <x v="1"/>
    <x v="2"/>
    <x v="0"/>
    <x v="0"/>
    <n v="13"/>
    <x v="0"/>
    <x v="3"/>
  </r>
  <r>
    <n v="1631"/>
    <n v="63"/>
    <x v="0"/>
    <x v="9"/>
    <x v="1"/>
    <n v="48"/>
    <x v="32"/>
    <x v="2"/>
    <s v="Gold"/>
    <x v="2"/>
    <n v="2.9"/>
    <x v="1"/>
    <x v="5"/>
    <x v="0"/>
    <x v="0"/>
    <n v="29"/>
    <x v="0"/>
    <x v="6"/>
  </r>
  <r>
    <n v="1632"/>
    <n v="65"/>
    <x v="0"/>
    <x v="1"/>
    <x v="0"/>
    <n v="36"/>
    <x v="27"/>
    <x v="0"/>
    <s v="Violet"/>
    <x v="2"/>
    <n v="3.9"/>
    <x v="1"/>
    <x v="4"/>
    <x v="0"/>
    <x v="0"/>
    <n v="7"/>
    <x v="4"/>
    <x v="0"/>
  </r>
  <r>
    <n v="1633"/>
    <n v="35"/>
    <x v="0"/>
    <x v="24"/>
    <x v="3"/>
    <n v="28"/>
    <x v="4"/>
    <x v="1"/>
    <s v="White"/>
    <x v="2"/>
    <n v="4.7"/>
    <x v="1"/>
    <x v="4"/>
    <x v="0"/>
    <x v="0"/>
    <n v="50"/>
    <x v="5"/>
    <x v="6"/>
  </r>
  <r>
    <n v="1634"/>
    <n v="54"/>
    <x v="0"/>
    <x v="20"/>
    <x v="0"/>
    <n v="80"/>
    <x v="25"/>
    <x v="2"/>
    <s v="Peach"/>
    <x v="1"/>
    <n v="4.4000000000000004"/>
    <x v="1"/>
    <x v="4"/>
    <x v="0"/>
    <x v="0"/>
    <n v="33"/>
    <x v="5"/>
    <x v="4"/>
  </r>
  <r>
    <n v="1635"/>
    <n v="28"/>
    <x v="0"/>
    <x v="7"/>
    <x v="2"/>
    <n v="23"/>
    <x v="36"/>
    <x v="1"/>
    <s v="Orange"/>
    <x v="2"/>
    <n v="3.6"/>
    <x v="1"/>
    <x v="5"/>
    <x v="0"/>
    <x v="0"/>
    <n v="30"/>
    <x v="1"/>
    <x v="6"/>
  </r>
  <r>
    <n v="1636"/>
    <n v="68"/>
    <x v="0"/>
    <x v="12"/>
    <x v="3"/>
    <n v="24"/>
    <x v="17"/>
    <x v="0"/>
    <s v="Violet"/>
    <x v="2"/>
    <n v="3.2"/>
    <x v="1"/>
    <x v="3"/>
    <x v="0"/>
    <x v="0"/>
    <n v="40"/>
    <x v="1"/>
    <x v="2"/>
  </r>
  <r>
    <n v="1637"/>
    <n v="58"/>
    <x v="0"/>
    <x v="23"/>
    <x v="1"/>
    <n v="22"/>
    <x v="25"/>
    <x v="0"/>
    <s v="Green"/>
    <x v="3"/>
    <n v="4"/>
    <x v="1"/>
    <x v="1"/>
    <x v="0"/>
    <x v="0"/>
    <n v="49"/>
    <x v="1"/>
    <x v="0"/>
  </r>
  <r>
    <n v="1638"/>
    <n v="35"/>
    <x v="0"/>
    <x v="10"/>
    <x v="0"/>
    <n v="21"/>
    <x v="2"/>
    <x v="2"/>
    <s v="Peach"/>
    <x v="1"/>
    <n v="3.5"/>
    <x v="1"/>
    <x v="2"/>
    <x v="0"/>
    <x v="0"/>
    <n v="32"/>
    <x v="0"/>
    <x v="0"/>
  </r>
  <r>
    <n v="1639"/>
    <n v="68"/>
    <x v="0"/>
    <x v="14"/>
    <x v="2"/>
    <n v="51"/>
    <x v="30"/>
    <x v="2"/>
    <s v="Black"/>
    <x v="1"/>
    <n v="4.5999999999999996"/>
    <x v="1"/>
    <x v="1"/>
    <x v="0"/>
    <x v="0"/>
    <n v="18"/>
    <x v="0"/>
    <x v="1"/>
  </r>
  <r>
    <n v="1640"/>
    <n v="41"/>
    <x v="0"/>
    <x v="24"/>
    <x v="3"/>
    <n v="65"/>
    <x v="9"/>
    <x v="0"/>
    <s v="Blue"/>
    <x v="2"/>
    <n v="3.3"/>
    <x v="1"/>
    <x v="1"/>
    <x v="0"/>
    <x v="0"/>
    <n v="50"/>
    <x v="3"/>
    <x v="2"/>
  </r>
  <r>
    <n v="1641"/>
    <n v="65"/>
    <x v="0"/>
    <x v="18"/>
    <x v="3"/>
    <n v="51"/>
    <x v="30"/>
    <x v="1"/>
    <s v="Magenta"/>
    <x v="1"/>
    <n v="4"/>
    <x v="1"/>
    <x v="4"/>
    <x v="0"/>
    <x v="0"/>
    <n v="13"/>
    <x v="3"/>
    <x v="1"/>
  </r>
  <r>
    <n v="1642"/>
    <n v="50"/>
    <x v="0"/>
    <x v="15"/>
    <x v="0"/>
    <n v="32"/>
    <x v="24"/>
    <x v="0"/>
    <s v="Violet"/>
    <x v="2"/>
    <n v="3.4"/>
    <x v="1"/>
    <x v="1"/>
    <x v="0"/>
    <x v="0"/>
    <n v="1"/>
    <x v="4"/>
    <x v="6"/>
  </r>
  <r>
    <n v="1643"/>
    <n v="18"/>
    <x v="0"/>
    <x v="7"/>
    <x v="2"/>
    <n v="70"/>
    <x v="16"/>
    <x v="2"/>
    <s v="Beige"/>
    <x v="1"/>
    <n v="4.2"/>
    <x v="1"/>
    <x v="5"/>
    <x v="0"/>
    <x v="0"/>
    <n v="16"/>
    <x v="3"/>
    <x v="0"/>
  </r>
  <r>
    <n v="1644"/>
    <n v="38"/>
    <x v="0"/>
    <x v="18"/>
    <x v="3"/>
    <n v="77"/>
    <x v="31"/>
    <x v="0"/>
    <s v="Pink"/>
    <x v="2"/>
    <n v="3.9"/>
    <x v="1"/>
    <x v="4"/>
    <x v="0"/>
    <x v="0"/>
    <n v="6"/>
    <x v="3"/>
    <x v="5"/>
  </r>
  <r>
    <n v="1645"/>
    <n v="68"/>
    <x v="0"/>
    <x v="7"/>
    <x v="2"/>
    <n v="90"/>
    <x v="17"/>
    <x v="1"/>
    <s v="Beige"/>
    <x v="2"/>
    <n v="3.9"/>
    <x v="1"/>
    <x v="2"/>
    <x v="0"/>
    <x v="0"/>
    <n v="21"/>
    <x v="5"/>
    <x v="5"/>
  </r>
  <r>
    <n v="1646"/>
    <n v="53"/>
    <x v="0"/>
    <x v="18"/>
    <x v="3"/>
    <n v="36"/>
    <x v="31"/>
    <x v="0"/>
    <s v="Green"/>
    <x v="2"/>
    <n v="2.8"/>
    <x v="1"/>
    <x v="3"/>
    <x v="0"/>
    <x v="0"/>
    <n v="36"/>
    <x v="0"/>
    <x v="6"/>
  </r>
  <r>
    <n v="1647"/>
    <n v="58"/>
    <x v="0"/>
    <x v="8"/>
    <x v="3"/>
    <n v="77"/>
    <x v="43"/>
    <x v="1"/>
    <s v="Silver"/>
    <x v="2"/>
    <n v="3.7"/>
    <x v="1"/>
    <x v="3"/>
    <x v="0"/>
    <x v="0"/>
    <n v="20"/>
    <x v="4"/>
    <x v="6"/>
  </r>
  <r>
    <n v="1648"/>
    <n v="34"/>
    <x v="0"/>
    <x v="23"/>
    <x v="1"/>
    <n v="78"/>
    <x v="11"/>
    <x v="2"/>
    <s v="Purple"/>
    <x v="2"/>
    <n v="4.9000000000000004"/>
    <x v="1"/>
    <x v="5"/>
    <x v="0"/>
    <x v="0"/>
    <n v="8"/>
    <x v="5"/>
    <x v="3"/>
  </r>
  <r>
    <n v="1649"/>
    <n v="36"/>
    <x v="0"/>
    <x v="13"/>
    <x v="0"/>
    <n v="69"/>
    <x v="19"/>
    <x v="2"/>
    <s v="Gray"/>
    <x v="2"/>
    <n v="2.6"/>
    <x v="1"/>
    <x v="0"/>
    <x v="0"/>
    <x v="0"/>
    <n v="22"/>
    <x v="2"/>
    <x v="5"/>
  </r>
  <r>
    <n v="1650"/>
    <n v="58"/>
    <x v="0"/>
    <x v="17"/>
    <x v="0"/>
    <n v="63"/>
    <x v="48"/>
    <x v="2"/>
    <s v="White"/>
    <x v="2"/>
    <n v="4.9000000000000004"/>
    <x v="1"/>
    <x v="1"/>
    <x v="0"/>
    <x v="0"/>
    <n v="3"/>
    <x v="2"/>
    <x v="3"/>
  </r>
  <r>
    <n v="1651"/>
    <n v="60"/>
    <x v="0"/>
    <x v="18"/>
    <x v="3"/>
    <n v="36"/>
    <x v="10"/>
    <x v="2"/>
    <s v="Silver"/>
    <x v="0"/>
    <n v="3.4"/>
    <x v="1"/>
    <x v="2"/>
    <x v="0"/>
    <x v="0"/>
    <n v="46"/>
    <x v="2"/>
    <x v="0"/>
  </r>
  <r>
    <n v="1652"/>
    <n v="59"/>
    <x v="0"/>
    <x v="7"/>
    <x v="2"/>
    <n v="80"/>
    <x v="21"/>
    <x v="2"/>
    <s v="Blue"/>
    <x v="0"/>
    <n v="3.9"/>
    <x v="1"/>
    <x v="3"/>
    <x v="0"/>
    <x v="0"/>
    <n v="42"/>
    <x v="5"/>
    <x v="5"/>
  </r>
  <r>
    <n v="1653"/>
    <n v="65"/>
    <x v="0"/>
    <x v="1"/>
    <x v="0"/>
    <n v="35"/>
    <x v="35"/>
    <x v="2"/>
    <s v="Orange"/>
    <x v="2"/>
    <n v="4"/>
    <x v="1"/>
    <x v="2"/>
    <x v="0"/>
    <x v="0"/>
    <n v="1"/>
    <x v="4"/>
    <x v="0"/>
  </r>
  <r>
    <n v="1654"/>
    <n v="31"/>
    <x v="0"/>
    <x v="22"/>
    <x v="3"/>
    <n v="93"/>
    <x v="24"/>
    <x v="0"/>
    <s v="Silver"/>
    <x v="0"/>
    <n v="3"/>
    <x v="1"/>
    <x v="4"/>
    <x v="0"/>
    <x v="0"/>
    <n v="29"/>
    <x v="5"/>
    <x v="4"/>
  </r>
  <r>
    <n v="1655"/>
    <n v="43"/>
    <x v="0"/>
    <x v="22"/>
    <x v="3"/>
    <n v="25"/>
    <x v="27"/>
    <x v="0"/>
    <s v="Gray"/>
    <x v="1"/>
    <n v="2.6"/>
    <x v="1"/>
    <x v="5"/>
    <x v="0"/>
    <x v="0"/>
    <n v="14"/>
    <x v="2"/>
    <x v="3"/>
  </r>
  <r>
    <n v="1656"/>
    <n v="37"/>
    <x v="0"/>
    <x v="1"/>
    <x v="0"/>
    <n v="81"/>
    <x v="28"/>
    <x v="0"/>
    <s v="Gold"/>
    <x v="1"/>
    <n v="3.2"/>
    <x v="1"/>
    <x v="2"/>
    <x v="0"/>
    <x v="0"/>
    <n v="4"/>
    <x v="3"/>
    <x v="5"/>
  </r>
  <r>
    <n v="1657"/>
    <n v="21"/>
    <x v="0"/>
    <x v="0"/>
    <x v="0"/>
    <n v="42"/>
    <x v="27"/>
    <x v="0"/>
    <s v="Brown"/>
    <x v="1"/>
    <n v="2.6"/>
    <x v="1"/>
    <x v="4"/>
    <x v="0"/>
    <x v="0"/>
    <n v="41"/>
    <x v="3"/>
    <x v="6"/>
  </r>
  <r>
    <n v="1658"/>
    <n v="69"/>
    <x v="0"/>
    <x v="11"/>
    <x v="0"/>
    <n v="36"/>
    <x v="27"/>
    <x v="0"/>
    <s v="Turquoise"/>
    <x v="1"/>
    <n v="3.2"/>
    <x v="1"/>
    <x v="5"/>
    <x v="0"/>
    <x v="0"/>
    <n v="4"/>
    <x v="5"/>
    <x v="4"/>
  </r>
  <r>
    <n v="1659"/>
    <n v="32"/>
    <x v="0"/>
    <x v="16"/>
    <x v="3"/>
    <n v="66"/>
    <x v="29"/>
    <x v="1"/>
    <s v="Pink"/>
    <x v="1"/>
    <n v="4.0999999999999996"/>
    <x v="1"/>
    <x v="5"/>
    <x v="0"/>
    <x v="0"/>
    <n v="47"/>
    <x v="1"/>
    <x v="1"/>
  </r>
  <r>
    <n v="1660"/>
    <n v="53"/>
    <x v="0"/>
    <x v="24"/>
    <x v="3"/>
    <n v="37"/>
    <x v="40"/>
    <x v="2"/>
    <s v="Black"/>
    <x v="3"/>
    <n v="3.9"/>
    <x v="1"/>
    <x v="2"/>
    <x v="0"/>
    <x v="0"/>
    <n v="44"/>
    <x v="0"/>
    <x v="2"/>
  </r>
  <r>
    <n v="1661"/>
    <n v="59"/>
    <x v="0"/>
    <x v="17"/>
    <x v="0"/>
    <n v="45"/>
    <x v="7"/>
    <x v="0"/>
    <s v="Yellow"/>
    <x v="0"/>
    <n v="4.0999999999999996"/>
    <x v="1"/>
    <x v="3"/>
    <x v="0"/>
    <x v="0"/>
    <n v="37"/>
    <x v="0"/>
    <x v="5"/>
  </r>
  <r>
    <n v="1662"/>
    <n v="64"/>
    <x v="0"/>
    <x v="24"/>
    <x v="3"/>
    <n v="86"/>
    <x v="44"/>
    <x v="1"/>
    <s v="Beige"/>
    <x v="2"/>
    <n v="2.7"/>
    <x v="1"/>
    <x v="4"/>
    <x v="0"/>
    <x v="0"/>
    <n v="21"/>
    <x v="5"/>
    <x v="3"/>
  </r>
  <r>
    <n v="1663"/>
    <n v="63"/>
    <x v="0"/>
    <x v="12"/>
    <x v="3"/>
    <n v="24"/>
    <x v="35"/>
    <x v="2"/>
    <s v="Olive"/>
    <x v="0"/>
    <n v="4.5999999999999996"/>
    <x v="1"/>
    <x v="1"/>
    <x v="0"/>
    <x v="0"/>
    <n v="46"/>
    <x v="5"/>
    <x v="0"/>
  </r>
  <r>
    <n v="1664"/>
    <n v="43"/>
    <x v="0"/>
    <x v="5"/>
    <x v="0"/>
    <n v="22"/>
    <x v="1"/>
    <x v="3"/>
    <s v="Gold"/>
    <x v="2"/>
    <n v="3.5"/>
    <x v="1"/>
    <x v="3"/>
    <x v="0"/>
    <x v="0"/>
    <n v="1"/>
    <x v="1"/>
    <x v="4"/>
  </r>
  <r>
    <n v="1665"/>
    <n v="19"/>
    <x v="0"/>
    <x v="8"/>
    <x v="3"/>
    <n v="53"/>
    <x v="46"/>
    <x v="2"/>
    <s v="Purple"/>
    <x v="1"/>
    <n v="5"/>
    <x v="1"/>
    <x v="2"/>
    <x v="0"/>
    <x v="0"/>
    <n v="35"/>
    <x v="3"/>
    <x v="1"/>
  </r>
  <r>
    <n v="1666"/>
    <n v="40"/>
    <x v="0"/>
    <x v="14"/>
    <x v="2"/>
    <n v="41"/>
    <x v="35"/>
    <x v="0"/>
    <s v="Pink"/>
    <x v="3"/>
    <n v="3.4"/>
    <x v="1"/>
    <x v="2"/>
    <x v="0"/>
    <x v="0"/>
    <n v="49"/>
    <x v="0"/>
    <x v="5"/>
  </r>
  <r>
    <n v="1667"/>
    <n v="51"/>
    <x v="0"/>
    <x v="11"/>
    <x v="0"/>
    <n v="64"/>
    <x v="10"/>
    <x v="2"/>
    <s v="Blue"/>
    <x v="2"/>
    <n v="3.1"/>
    <x v="1"/>
    <x v="5"/>
    <x v="0"/>
    <x v="0"/>
    <n v="47"/>
    <x v="3"/>
    <x v="2"/>
  </r>
  <r>
    <n v="1668"/>
    <n v="51"/>
    <x v="0"/>
    <x v="8"/>
    <x v="3"/>
    <n v="40"/>
    <x v="19"/>
    <x v="0"/>
    <s v="Brown"/>
    <x v="0"/>
    <n v="3.4"/>
    <x v="1"/>
    <x v="4"/>
    <x v="0"/>
    <x v="0"/>
    <n v="24"/>
    <x v="4"/>
    <x v="6"/>
  </r>
  <r>
    <n v="1669"/>
    <n v="66"/>
    <x v="0"/>
    <x v="0"/>
    <x v="0"/>
    <n v="33"/>
    <x v="40"/>
    <x v="0"/>
    <s v="Charcoal"/>
    <x v="2"/>
    <n v="4"/>
    <x v="1"/>
    <x v="3"/>
    <x v="0"/>
    <x v="0"/>
    <n v="28"/>
    <x v="5"/>
    <x v="0"/>
  </r>
  <r>
    <n v="1670"/>
    <n v="42"/>
    <x v="0"/>
    <x v="17"/>
    <x v="0"/>
    <n v="59"/>
    <x v="48"/>
    <x v="0"/>
    <s v="Maroon"/>
    <x v="0"/>
    <n v="2.7"/>
    <x v="1"/>
    <x v="5"/>
    <x v="0"/>
    <x v="0"/>
    <n v="22"/>
    <x v="4"/>
    <x v="3"/>
  </r>
  <r>
    <n v="1671"/>
    <n v="22"/>
    <x v="0"/>
    <x v="13"/>
    <x v="0"/>
    <n v="73"/>
    <x v="40"/>
    <x v="0"/>
    <s v="Cyan"/>
    <x v="3"/>
    <n v="3.6"/>
    <x v="1"/>
    <x v="1"/>
    <x v="0"/>
    <x v="0"/>
    <n v="20"/>
    <x v="1"/>
    <x v="1"/>
  </r>
  <r>
    <n v="1672"/>
    <n v="31"/>
    <x v="0"/>
    <x v="15"/>
    <x v="0"/>
    <n v="22"/>
    <x v="40"/>
    <x v="2"/>
    <s v="Olive"/>
    <x v="0"/>
    <n v="4"/>
    <x v="1"/>
    <x v="1"/>
    <x v="0"/>
    <x v="0"/>
    <n v="25"/>
    <x v="4"/>
    <x v="1"/>
  </r>
  <r>
    <n v="1673"/>
    <n v="18"/>
    <x v="0"/>
    <x v="23"/>
    <x v="1"/>
    <n v="73"/>
    <x v="36"/>
    <x v="0"/>
    <s v="Gold"/>
    <x v="3"/>
    <n v="3.8"/>
    <x v="1"/>
    <x v="1"/>
    <x v="0"/>
    <x v="0"/>
    <n v="15"/>
    <x v="0"/>
    <x v="3"/>
  </r>
  <r>
    <n v="1674"/>
    <n v="21"/>
    <x v="0"/>
    <x v="0"/>
    <x v="0"/>
    <n v="62"/>
    <x v="11"/>
    <x v="2"/>
    <s v="Violet"/>
    <x v="3"/>
    <n v="3.4"/>
    <x v="1"/>
    <x v="2"/>
    <x v="0"/>
    <x v="0"/>
    <n v="49"/>
    <x v="0"/>
    <x v="4"/>
  </r>
  <r>
    <n v="1675"/>
    <n v="35"/>
    <x v="0"/>
    <x v="7"/>
    <x v="2"/>
    <n v="56"/>
    <x v="29"/>
    <x v="2"/>
    <s v="Peach"/>
    <x v="0"/>
    <n v="3.2"/>
    <x v="1"/>
    <x v="1"/>
    <x v="0"/>
    <x v="0"/>
    <n v="10"/>
    <x v="5"/>
    <x v="0"/>
  </r>
  <r>
    <n v="1676"/>
    <n v="35"/>
    <x v="0"/>
    <x v="13"/>
    <x v="0"/>
    <n v="90"/>
    <x v="24"/>
    <x v="2"/>
    <s v="Beige"/>
    <x v="1"/>
    <n v="4.7"/>
    <x v="1"/>
    <x v="2"/>
    <x v="0"/>
    <x v="0"/>
    <n v="21"/>
    <x v="2"/>
    <x v="2"/>
  </r>
  <r>
    <n v="1677"/>
    <n v="27"/>
    <x v="0"/>
    <x v="12"/>
    <x v="3"/>
    <n v="44"/>
    <x v="8"/>
    <x v="2"/>
    <s v="Cyan"/>
    <x v="0"/>
    <n v="3.1"/>
    <x v="1"/>
    <x v="2"/>
    <x v="0"/>
    <x v="0"/>
    <n v="34"/>
    <x v="4"/>
    <x v="1"/>
  </r>
  <r>
    <n v="1678"/>
    <n v="65"/>
    <x v="0"/>
    <x v="2"/>
    <x v="0"/>
    <n v="35"/>
    <x v="4"/>
    <x v="0"/>
    <s v="Silver"/>
    <x v="2"/>
    <n v="3.3"/>
    <x v="1"/>
    <x v="2"/>
    <x v="1"/>
    <x v="1"/>
    <n v="41"/>
    <x v="5"/>
    <x v="1"/>
  </r>
  <r>
    <n v="1679"/>
    <n v="41"/>
    <x v="0"/>
    <x v="13"/>
    <x v="0"/>
    <n v="71"/>
    <x v="31"/>
    <x v="1"/>
    <s v="Magenta"/>
    <x v="2"/>
    <n v="4.8"/>
    <x v="1"/>
    <x v="4"/>
    <x v="1"/>
    <x v="1"/>
    <n v="30"/>
    <x v="0"/>
    <x v="0"/>
  </r>
  <r>
    <n v="1680"/>
    <n v="60"/>
    <x v="0"/>
    <x v="10"/>
    <x v="0"/>
    <n v="52"/>
    <x v="2"/>
    <x v="1"/>
    <s v="Black"/>
    <x v="3"/>
    <n v="4.5"/>
    <x v="1"/>
    <x v="2"/>
    <x v="1"/>
    <x v="1"/>
    <n v="24"/>
    <x v="5"/>
    <x v="4"/>
  </r>
  <r>
    <n v="1681"/>
    <n v="61"/>
    <x v="0"/>
    <x v="9"/>
    <x v="1"/>
    <n v="37"/>
    <x v="7"/>
    <x v="2"/>
    <s v="Olive"/>
    <x v="2"/>
    <n v="3.4"/>
    <x v="1"/>
    <x v="5"/>
    <x v="1"/>
    <x v="1"/>
    <n v="6"/>
    <x v="2"/>
    <x v="2"/>
  </r>
  <r>
    <n v="1682"/>
    <n v="24"/>
    <x v="0"/>
    <x v="4"/>
    <x v="1"/>
    <n v="95"/>
    <x v="41"/>
    <x v="0"/>
    <s v="Green"/>
    <x v="0"/>
    <n v="3.7"/>
    <x v="1"/>
    <x v="4"/>
    <x v="1"/>
    <x v="1"/>
    <n v="14"/>
    <x v="2"/>
    <x v="4"/>
  </r>
  <r>
    <n v="1683"/>
    <n v="65"/>
    <x v="0"/>
    <x v="20"/>
    <x v="0"/>
    <n v="97"/>
    <x v="14"/>
    <x v="2"/>
    <s v="Yellow"/>
    <x v="3"/>
    <n v="4.9000000000000004"/>
    <x v="1"/>
    <x v="4"/>
    <x v="1"/>
    <x v="1"/>
    <n v="37"/>
    <x v="2"/>
    <x v="4"/>
  </r>
  <r>
    <n v="1684"/>
    <n v="23"/>
    <x v="0"/>
    <x v="7"/>
    <x v="2"/>
    <n v="57"/>
    <x v="10"/>
    <x v="1"/>
    <s v="Lavender"/>
    <x v="1"/>
    <n v="3.5"/>
    <x v="1"/>
    <x v="2"/>
    <x v="1"/>
    <x v="1"/>
    <n v="37"/>
    <x v="0"/>
    <x v="3"/>
  </r>
  <r>
    <n v="1685"/>
    <n v="30"/>
    <x v="0"/>
    <x v="5"/>
    <x v="0"/>
    <n v="93"/>
    <x v="35"/>
    <x v="2"/>
    <s v="Indigo"/>
    <x v="1"/>
    <n v="4.5999999999999996"/>
    <x v="1"/>
    <x v="3"/>
    <x v="1"/>
    <x v="1"/>
    <n v="28"/>
    <x v="3"/>
    <x v="1"/>
  </r>
  <r>
    <n v="1686"/>
    <n v="33"/>
    <x v="0"/>
    <x v="0"/>
    <x v="0"/>
    <n v="48"/>
    <x v="46"/>
    <x v="2"/>
    <s v="Pink"/>
    <x v="0"/>
    <n v="4.5999999999999996"/>
    <x v="1"/>
    <x v="3"/>
    <x v="1"/>
    <x v="1"/>
    <n v="43"/>
    <x v="3"/>
    <x v="4"/>
  </r>
  <r>
    <n v="1687"/>
    <n v="22"/>
    <x v="0"/>
    <x v="24"/>
    <x v="3"/>
    <n v="75"/>
    <x v="26"/>
    <x v="0"/>
    <s v="Red"/>
    <x v="3"/>
    <n v="4.2"/>
    <x v="1"/>
    <x v="5"/>
    <x v="1"/>
    <x v="1"/>
    <n v="25"/>
    <x v="1"/>
    <x v="2"/>
  </r>
  <r>
    <n v="1688"/>
    <n v="67"/>
    <x v="0"/>
    <x v="11"/>
    <x v="0"/>
    <n v="70"/>
    <x v="42"/>
    <x v="1"/>
    <s v="Magenta"/>
    <x v="0"/>
    <n v="3.7"/>
    <x v="1"/>
    <x v="1"/>
    <x v="1"/>
    <x v="1"/>
    <n v="4"/>
    <x v="3"/>
    <x v="2"/>
  </r>
  <r>
    <n v="1689"/>
    <n v="28"/>
    <x v="0"/>
    <x v="8"/>
    <x v="3"/>
    <n v="26"/>
    <x v="16"/>
    <x v="1"/>
    <s v="Peach"/>
    <x v="0"/>
    <n v="3"/>
    <x v="1"/>
    <x v="2"/>
    <x v="1"/>
    <x v="1"/>
    <n v="13"/>
    <x v="0"/>
    <x v="0"/>
  </r>
  <r>
    <n v="1690"/>
    <n v="32"/>
    <x v="0"/>
    <x v="5"/>
    <x v="0"/>
    <n v="73"/>
    <x v="17"/>
    <x v="0"/>
    <s v="Turquoise"/>
    <x v="0"/>
    <n v="4.5999999999999996"/>
    <x v="1"/>
    <x v="5"/>
    <x v="1"/>
    <x v="1"/>
    <n v="32"/>
    <x v="4"/>
    <x v="5"/>
  </r>
  <r>
    <n v="1691"/>
    <n v="40"/>
    <x v="0"/>
    <x v="7"/>
    <x v="2"/>
    <n v="30"/>
    <x v="22"/>
    <x v="2"/>
    <s v="Black"/>
    <x v="2"/>
    <n v="3.2"/>
    <x v="1"/>
    <x v="1"/>
    <x v="1"/>
    <x v="1"/>
    <n v="1"/>
    <x v="1"/>
    <x v="2"/>
  </r>
  <r>
    <n v="1692"/>
    <n v="64"/>
    <x v="0"/>
    <x v="9"/>
    <x v="1"/>
    <n v="61"/>
    <x v="39"/>
    <x v="0"/>
    <s v="Blue"/>
    <x v="2"/>
    <n v="3.5"/>
    <x v="1"/>
    <x v="2"/>
    <x v="1"/>
    <x v="1"/>
    <n v="4"/>
    <x v="1"/>
    <x v="2"/>
  </r>
  <r>
    <n v="1693"/>
    <n v="56"/>
    <x v="0"/>
    <x v="8"/>
    <x v="3"/>
    <n v="75"/>
    <x v="40"/>
    <x v="2"/>
    <s v="Beige"/>
    <x v="0"/>
    <n v="2.6"/>
    <x v="1"/>
    <x v="3"/>
    <x v="1"/>
    <x v="1"/>
    <n v="33"/>
    <x v="1"/>
    <x v="4"/>
  </r>
  <r>
    <n v="1694"/>
    <n v="63"/>
    <x v="0"/>
    <x v="14"/>
    <x v="2"/>
    <n v="88"/>
    <x v="30"/>
    <x v="3"/>
    <s v="Olive"/>
    <x v="3"/>
    <n v="4.9000000000000004"/>
    <x v="1"/>
    <x v="3"/>
    <x v="1"/>
    <x v="1"/>
    <n v="45"/>
    <x v="4"/>
    <x v="0"/>
  </r>
  <r>
    <n v="1695"/>
    <n v="20"/>
    <x v="0"/>
    <x v="5"/>
    <x v="0"/>
    <n v="67"/>
    <x v="16"/>
    <x v="2"/>
    <s v="Turquoise"/>
    <x v="2"/>
    <n v="2.7"/>
    <x v="1"/>
    <x v="0"/>
    <x v="1"/>
    <x v="1"/>
    <n v="20"/>
    <x v="5"/>
    <x v="0"/>
  </r>
  <r>
    <n v="1696"/>
    <n v="54"/>
    <x v="0"/>
    <x v="19"/>
    <x v="3"/>
    <n v="95"/>
    <x v="43"/>
    <x v="1"/>
    <s v="Yellow"/>
    <x v="3"/>
    <n v="4.7"/>
    <x v="1"/>
    <x v="4"/>
    <x v="1"/>
    <x v="1"/>
    <n v="1"/>
    <x v="3"/>
    <x v="0"/>
  </r>
  <r>
    <n v="1697"/>
    <n v="31"/>
    <x v="0"/>
    <x v="12"/>
    <x v="3"/>
    <n v="69"/>
    <x v="8"/>
    <x v="1"/>
    <s v="Turquoise"/>
    <x v="1"/>
    <n v="4"/>
    <x v="1"/>
    <x v="1"/>
    <x v="1"/>
    <x v="1"/>
    <n v="7"/>
    <x v="2"/>
    <x v="4"/>
  </r>
  <r>
    <n v="1698"/>
    <n v="36"/>
    <x v="0"/>
    <x v="5"/>
    <x v="0"/>
    <n v="87"/>
    <x v="36"/>
    <x v="0"/>
    <s v="Lavender"/>
    <x v="3"/>
    <n v="3.5"/>
    <x v="1"/>
    <x v="2"/>
    <x v="1"/>
    <x v="1"/>
    <n v="48"/>
    <x v="2"/>
    <x v="6"/>
  </r>
  <r>
    <n v="1699"/>
    <n v="25"/>
    <x v="0"/>
    <x v="22"/>
    <x v="3"/>
    <n v="41"/>
    <x v="44"/>
    <x v="3"/>
    <s v="Turquoise"/>
    <x v="0"/>
    <n v="4.8"/>
    <x v="1"/>
    <x v="3"/>
    <x v="1"/>
    <x v="1"/>
    <n v="46"/>
    <x v="4"/>
    <x v="3"/>
  </r>
  <r>
    <n v="1700"/>
    <n v="20"/>
    <x v="0"/>
    <x v="1"/>
    <x v="0"/>
    <n v="67"/>
    <x v="25"/>
    <x v="0"/>
    <s v="Teal"/>
    <x v="1"/>
    <n v="4"/>
    <x v="1"/>
    <x v="1"/>
    <x v="1"/>
    <x v="1"/>
    <n v="34"/>
    <x v="5"/>
    <x v="2"/>
  </r>
  <r>
    <n v="1701"/>
    <n v="62"/>
    <x v="0"/>
    <x v="15"/>
    <x v="0"/>
    <n v="70"/>
    <x v="8"/>
    <x v="0"/>
    <s v="Black"/>
    <x v="3"/>
    <n v="4.0999999999999996"/>
    <x v="1"/>
    <x v="0"/>
    <x v="1"/>
    <x v="1"/>
    <n v="36"/>
    <x v="4"/>
    <x v="5"/>
  </r>
  <r>
    <n v="1702"/>
    <n v="69"/>
    <x v="0"/>
    <x v="8"/>
    <x v="3"/>
    <n v="41"/>
    <x v="16"/>
    <x v="3"/>
    <s v="Blue"/>
    <x v="0"/>
    <n v="3.8"/>
    <x v="1"/>
    <x v="2"/>
    <x v="1"/>
    <x v="1"/>
    <n v="44"/>
    <x v="5"/>
    <x v="6"/>
  </r>
  <r>
    <n v="1703"/>
    <n v="54"/>
    <x v="0"/>
    <x v="2"/>
    <x v="0"/>
    <n v="83"/>
    <x v="15"/>
    <x v="3"/>
    <s v="Yellow"/>
    <x v="2"/>
    <n v="5"/>
    <x v="1"/>
    <x v="0"/>
    <x v="1"/>
    <x v="1"/>
    <n v="48"/>
    <x v="4"/>
    <x v="1"/>
  </r>
  <r>
    <n v="1704"/>
    <n v="39"/>
    <x v="0"/>
    <x v="21"/>
    <x v="3"/>
    <n v="22"/>
    <x v="18"/>
    <x v="2"/>
    <s v="Black"/>
    <x v="1"/>
    <n v="4"/>
    <x v="1"/>
    <x v="2"/>
    <x v="1"/>
    <x v="1"/>
    <n v="12"/>
    <x v="4"/>
    <x v="2"/>
  </r>
  <r>
    <n v="1705"/>
    <n v="56"/>
    <x v="0"/>
    <x v="4"/>
    <x v="1"/>
    <n v="20"/>
    <x v="37"/>
    <x v="2"/>
    <s v="Lavender"/>
    <x v="2"/>
    <n v="3.9"/>
    <x v="1"/>
    <x v="5"/>
    <x v="1"/>
    <x v="1"/>
    <n v="19"/>
    <x v="1"/>
    <x v="6"/>
  </r>
  <r>
    <n v="1706"/>
    <n v="39"/>
    <x v="0"/>
    <x v="16"/>
    <x v="3"/>
    <n v="29"/>
    <x v="45"/>
    <x v="0"/>
    <s v="Cyan"/>
    <x v="2"/>
    <n v="3.4"/>
    <x v="1"/>
    <x v="4"/>
    <x v="1"/>
    <x v="1"/>
    <n v="49"/>
    <x v="0"/>
    <x v="4"/>
  </r>
  <r>
    <n v="1707"/>
    <n v="37"/>
    <x v="0"/>
    <x v="12"/>
    <x v="3"/>
    <n v="87"/>
    <x v="25"/>
    <x v="2"/>
    <s v="Brown"/>
    <x v="1"/>
    <n v="3"/>
    <x v="1"/>
    <x v="3"/>
    <x v="1"/>
    <x v="1"/>
    <n v="25"/>
    <x v="0"/>
    <x v="0"/>
  </r>
  <r>
    <n v="1708"/>
    <n v="25"/>
    <x v="0"/>
    <x v="6"/>
    <x v="0"/>
    <n v="81"/>
    <x v="22"/>
    <x v="0"/>
    <s v="Maroon"/>
    <x v="3"/>
    <n v="4.9000000000000004"/>
    <x v="1"/>
    <x v="4"/>
    <x v="1"/>
    <x v="1"/>
    <n v="25"/>
    <x v="1"/>
    <x v="4"/>
  </r>
  <r>
    <n v="1709"/>
    <n v="35"/>
    <x v="0"/>
    <x v="23"/>
    <x v="1"/>
    <n v="58"/>
    <x v="20"/>
    <x v="0"/>
    <s v="Cyan"/>
    <x v="1"/>
    <n v="3.2"/>
    <x v="1"/>
    <x v="0"/>
    <x v="1"/>
    <x v="1"/>
    <n v="1"/>
    <x v="2"/>
    <x v="3"/>
  </r>
  <r>
    <n v="1710"/>
    <n v="45"/>
    <x v="0"/>
    <x v="11"/>
    <x v="0"/>
    <n v="83"/>
    <x v="27"/>
    <x v="2"/>
    <s v="Pink"/>
    <x v="0"/>
    <n v="3.8"/>
    <x v="1"/>
    <x v="3"/>
    <x v="1"/>
    <x v="1"/>
    <n v="19"/>
    <x v="4"/>
    <x v="2"/>
  </r>
  <r>
    <n v="1711"/>
    <n v="19"/>
    <x v="0"/>
    <x v="13"/>
    <x v="0"/>
    <n v="59"/>
    <x v="10"/>
    <x v="3"/>
    <s v="Orange"/>
    <x v="3"/>
    <n v="3.8"/>
    <x v="1"/>
    <x v="5"/>
    <x v="1"/>
    <x v="1"/>
    <n v="7"/>
    <x v="2"/>
    <x v="3"/>
  </r>
  <r>
    <n v="1712"/>
    <n v="21"/>
    <x v="0"/>
    <x v="17"/>
    <x v="0"/>
    <n v="93"/>
    <x v="17"/>
    <x v="2"/>
    <s v="Lavender"/>
    <x v="1"/>
    <n v="4.7"/>
    <x v="1"/>
    <x v="0"/>
    <x v="1"/>
    <x v="1"/>
    <n v="19"/>
    <x v="2"/>
    <x v="5"/>
  </r>
  <r>
    <n v="1713"/>
    <n v="65"/>
    <x v="0"/>
    <x v="17"/>
    <x v="0"/>
    <n v="87"/>
    <x v="26"/>
    <x v="1"/>
    <s v="Beige"/>
    <x v="3"/>
    <n v="3.8"/>
    <x v="1"/>
    <x v="4"/>
    <x v="1"/>
    <x v="1"/>
    <n v="9"/>
    <x v="1"/>
    <x v="0"/>
  </r>
  <r>
    <n v="1714"/>
    <n v="49"/>
    <x v="0"/>
    <x v="14"/>
    <x v="2"/>
    <n v="22"/>
    <x v="9"/>
    <x v="2"/>
    <s v="Pink"/>
    <x v="0"/>
    <n v="4.5999999999999996"/>
    <x v="1"/>
    <x v="1"/>
    <x v="1"/>
    <x v="1"/>
    <n v="37"/>
    <x v="3"/>
    <x v="3"/>
  </r>
  <r>
    <n v="1715"/>
    <n v="30"/>
    <x v="0"/>
    <x v="2"/>
    <x v="0"/>
    <n v="71"/>
    <x v="45"/>
    <x v="1"/>
    <s v="Charcoal"/>
    <x v="2"/>
    <n v="4.4000000000000004"/>
    <x v="1"/>
    <x v="3"/>
    <x v="1"/>
    <x v="1"/>
    <n v="15"/>
    <x v="1"/>
    <x v="5"/>
  </r>
  <r>
    <n v="1716"/>
    <n v="23"/>
    <x v="0"/>
    <x v="10"/>
    <x v="0"/>
    <n v="69"/>
    <x v="37"/>
    <x v="3"/>
    <s v="Gray"/>
    <x v="1"/>
    <n v="3.4"/>
    <x v="1"/>
    <x v="4"/>
    <x v="1"/>
    <x v="1"/>
    <n v="30"/>
    <x v="3"/>
    <x v="4"/>
  </r>
  <r>
    <n v="1717"/>
    <n v="69"/>
    <x v="0"/>
    <x v="0"/>
    <x v="0"/>
    <n v="47"/>
    <x v="39"/>
    <x v="2"/>
    <s v="Cyan"/>
    <x v="0"/>
    <n v="4.7"/>
    <x v="1"/>
    <x v="3"/>
    <x v="1"/>
    <x v="1"/>
    <n v="30"/>
    <x v="1"/>
    <x v="6"/>
  </r>
  <r>
    <n v="1718"/>
    <n v="29"/>
    <x v="0"/>
    <x v="15"/>
    <x v="0"/>
    <n v="50"/>
    <x v="11"/>
    <x v="0"/>
    <s v="Orange"/>
    <x v="2"/>
    <n v="2.9"/>
    <x v="1"/>
    <x v="0"/>
    <x v="1"/>
    <x v="1"/>
    <n v="16"/>
    <x v="5"/>
    <x v="4"/>
  </r>
  <r>
    <n v="1719"/>
    <n v="54"/>
    <x v="0"/>
    <x v="17"/>
    <x v="0"/>
    <n v="96"/>
    <x v="33"/>
    <x v="0"/>
    <s v="Pink"/>
    <x v="0"/>
    <n v="3.4"/>
    <x v="1"/>
    <x v="4"/>
    <x v="1"/>
    <x v="1"/>
    <n v="14"/>
    <x v="3"/>
    <x v="6"/>
  </r>
  <r>
    <n v="1720"/>
    <n v="45"/>
    <x v="0"/>
    <x v="1"/>
    <x v="0"/>
    <n v="39"/>
    <x v="33"/>
    <x v="2"/>
    <s v="White"/>
    <x v="0"/>
    <n v="3.2"/>
    <x v="1"/>
    <x v="1"/>
    <x v="1"/>
    <x v="1"/>
    <n v="8"/>
    <x v="0"/>
    <x v="3"/>
  </r>
  <r>
    <n v="1721"/>
    <n v="25"/>
    <x v="0"/>
    <x v="6"/>
    <x v="0"/>
    <n v="84"/>
    <x v="2"/>
    <x v="1"/>
    <s v="Beige"/>
    <x v="0"/>
    <n v="2.8"/>
    <x v="1"/>
    <x v="0"/>
    <x v="1"/>
    <x v="1"/>
    <n v="40"/>
    <x v="5"/>
    <x v="4"/>
  </r>
  <r>
    <n v="1722"/>
    <n v="34"/>
    <x v="0"/>
    <x v="16"/>
    <x v="3"/>
    <n v="28"/>
    <x v="12"/>
    <x v="1"/>
    <s v="Magenta"/>
    <x v="1"/>
    <n v="4.3"/>
    <x v="1"/>
    <x v="1"/>
    <x v="1"/>
    <x v="1"/>
    <n v="24"/>
    <x v="2"/>
    <x v="5"/>
  </r>
  <r>
    <n v="1723"/>
    <n v="46"/>
    <x v="0"/>
    <x v="17"/>
    <x v="0"/>
    <n v="51"/>
    <x v="2"/>
    <x v="0"/>
    <s v="Violet"/>
    <x v="2"/>
    <n v="3.3"/>
    <x v="1"/>
    <x v="3"/>
    <x v="1"/>
    <x v="1"/>
    <n v="14"/>
    <x v="1"/>
    <x v="0"/>
  </r>
  <r>
    <n v="1724"/>
    <n v="70"/>
    <x v="0"/>
    <x v="18"/>
    <x v="3"/>
    <n v="20"/>
    <x v="14"/>
    <x v="3"/>
    <s v="Gold"/>
    <x v="1"/>
    <n v="3.3"/>
    <x v="1"/>
    <x v="3"/>
    <x v="1"/>
    <x v="1"/>
    <n v="39"/>
    <x v="3"/>
    <x v="2"/>
  </r>
  <r>
    <n v="1725"/>
    <n v="42"/>
    <x v="0"/>
    <x v="9"/>
    <x v="1"/>
    <n v="72"/>
    <x v="12"/>
    <x v="1"/>
    <s v="Teal"/>
    <x v="0"/>
    <n v="3.3"/>
    <x v="1"/>
    <x v="1"/>
    <x v="1"/>
    <x v="1"/>
    <n v="21"/>
    <x v="3"/>
    <x v="1"/>
  </r>
  <r>
    <n v="1726"/>
    <n v="45"/>
    <x v="0"/>
    <x v="12"/>
    <x v="3"/>
    <n v="33"/>
    <x v="2"/>
    <x v="2"/>
    <s v="Indigo"/>
    <x v="1"/>
    <n v="3"/>
    <x v="1"/>
    <x v="2"/>
    <x v="1"/>
    <x v="1"/>
    <n v="32"/>
    <x v="0"/>
    <x v="3"/>
  </r>
  <r>
    <n v="1727"/>
    <n v="57"/>
    <x v="0"/>
    <x v="7"/>
    <x v="2"/>
    <n v="28"/>
    <x v="27"/>
    <x v="1"/>
    <s v="Olive"/>
    <x v="2"/>
    <n v="2.8"/>
    <x v="1"/>
    <x v="0"/>
    <x v="1"/>
    <x v="1"/>
    <n v="45"/>
    <x v="5"/>
    <x v="1"/>
  </r>
  <r>
    <n v="1728"/>
    <n v="49"/>
    <x v="0"/>
    <x v="0"/>
    <x v="0"/>
    <n v="53"/>
    <x v="41"/>
    <x v="1"/>
    <s v="Violet"/>
    <x v="1"/>
    <n v="4"/>
    <x v="1"/>
    <x v="0"/>
    <x v="1"/>
    <x v="1"/>
    <n v="19"/>
    <x v="3"/>
    <x v="5"/>
  </r>
  <r>
    <n v="1729"/>
    <n v="23"/>
    <x v="0"/>
    <x v="2"/>
    <x v="0"/>
    <n v="48"/>
    <x v="5"/>
    <x v="0"/>
    <s v="Black"/>
    <x v="3"/>
    <n v="4.3"/>
    <x v="1"/>
    <x v="0"/>
    <x v="1"/>
    <x v="1"/>
    <n v="1"/>
    <x v="5"/>
    <x v="6"/>
  </r>
  <r>
    <n v="1730"/>
    <n v="47"/>
    <x v="0"/>
    <x v="6"/>
    <x v="0"/>
    <n v="21"/>
    <x v="26"/>
    <x v="2"/>
    <s v="Brown"/>
    <x v="0"/>
    <n v="3.8"/>
    <x v="1"/>
    <x v="5"/>
    <x v="1"/>
    <x v="1"/>
    <n v="12"/>
    <x v="0"/>
    <x v="0"/>
  </r>
  <r>
    <n v="1731"/>
    <n v="23"/>
    <x v="0"/>
    <x v="5"/>
    <x v="0"/>
    <n v="22"/>
    <x v="15"/>
    <x v="1"/>
    <s v="Silver"/>
    <x v="3"/>
    <n v="4.2"/>
    <x v="1"/>
    <x v="1"/>
    <x v="1"/>
    <x v="1"/>
    <n v="26"/>
    <x v="2"/>
    <x v="1"/>
  </r>
  <r>
    <n v="1732"/>
    <n v="21"/>
    <x v="0"/>
    <x v="21"/>
    <x v="3"/>
    <n v="87"/>
    <x v="37"/>
    <x v="2"/>
    <s v="Gray"/>
    <x v="3"/>
    <n v="3.1"/>
    <x v="1"/>
    <x v="2"/>
    <x v="1"/>
    <x v="1"/>
    <n v="12"/>
    <x v="1"/>
    <x v="5"/>
  </r>
  <r>
    <n v="1733"/>
    <n v="45"/>
    <x v="0"/>
    <x v="22"/>
    <x v="3"/>
    <n v="50"/>
    <x v="3"/>
    <x v="1"/>
    <s v="Charcoal"/>
    <x v="0"/>
    <n v="2.6"/>
    <x v="1"/>
    <x v="1"/>
    <x v="1"/>
    <x v="1"/>
    <n v="36"/>
    <x v="1"/>
    <x v="6"/>
  </r>
  <r>
    <n v="1734"/>
    <n v="67"/>
    <x v="0"/>
    <x v="0"/>
    <x v="0"/>
    <n v="85"/>
    <x v="14"/>
    <x v="0"/>
    <s v="Black"/>
    <x v="2"/>
    <n v="3.4"/>
    <x v="1"/>
    <x v="0"/>
    <x v="1"/>
    <x v="1"/>
    <n v="22"/>
    <x v="2"/>
    <x v="2"/>
  </r>
  <r>
    <n v="1735"/>
    <n v="31"/>
    <x v="0"/>
    <x v="2"/>
    <x v="0"/>
    <n v="98"/>
    <x v="9"/>
    <x v="0"/>
    <s v="Brown"/>
    <x v="1"/>
    <n v="3.1"/>
    <x v="1"/>
    <x v="2"/>
    <x v="1"/>
    <x v="1"/>
    <n v="16"/>
    <x v="3"/>
    <x v="3"/>
  </r>
  <r>
    <n v="1736"/>
    <n v="58"/>
    <x v="0"/>
    <x v="10"/>
    <x v="0"/>
    <n v="34"/>
    <x v="21"/>
    <x v="2"/>
    <s v="Purple"/>
    <x v="0"/>
    <n v="3.6"/>
    <x v="1"/>
    <x v="0"/>
    <x v="1"/>
    <x v="1"/>
    <n v="31"/>
    <x v="0"/>
    <x v="2"/>
  </r>
  <r>
    <n v="1737"/>
    <n v="57"/>
    <x v="0"/>
    <x v="6"/>
    <x v="0"/>
    <n v="61"/>
    <x v="30"/>
    <x v="2"/>
    <s v="Purple"/>
    <x v="2"/>
    <n v="2.6"/>
    <x v="1"/>
    <x v="4"/>
    <x v="1"/>
    <x v="1"/>
    <n v="43"/>
    <x v="1"/>
    <x v="3"/>
  </r>
  <r>
    <n v="1738"/>
    <n v="42"/>
    <x v="0"/>
    <x v="16"/>
    <x v="3"/>
    <n v="98"/>
    <x v="31"/>
    <x v="0"/>
    <s v="Gray"/>
    <x v="2"/>
    <n v="4.2"/>
    <x v="1"/>
    <x v="5"/>
    <x v="1"/>
    <x v="1"/>
    <n v="50"/>
    <x v="0"/>
    <x v="4"/>
  </r>
  <r>
    <n v="1739"/>
    <n v="60"/>
    <x v="0"/>
    <x v="8"/>
    <x v="3"/>
    <n v="61"/>
    <x v="30"/>
    <x v="2"/>
    <s v="Green"/>
    <x v="1"/>
    <n v="2.9"/>
    <x v="1"/>
    <x v="4"/>
    <x v="1"/>
    <x v="1"/>
    <n v="37"/>
    <x v="2"/>
    <x v="1"/>
  </r>
  <r>
    <n v="1740"/>
    <n v="21"/>
    <x v="0"/>
    <x v="16"/>
    <x v="3"/>
    <n v="98"/>
    <x v="46"/>
    <x v="0"/>
    <s v="Silver"/>
    <x v="0"/>
    <n v="4.2"/>
    <x v="1"/>
    <x v="0"/>
    <x v="1"/>
    <x v="1"/>
    <n v="23"/>
    <x v="1"/>
    <x v="1"/>
  </r>
  <r>
    <n v="1741"/>
    <n v="69"/>
    <x v="0"/>
    <x v="13"/>
    <x v="0"/>
    <n v="21"/>
    <x v="48"/>
    <x v="0"/>
    <s v="Charcoal"/>
    <x v="3"/>
    <n v="3.3"/>
    <x v="1"/>
    <x v="2"/>
    <x v="1"/>
    <x v="1"/>
    <n v="10"/>
    <x v="4"/>
    <x v="6"/>
  </r>
  <r>
    <n v="1742"/>
    <n v="41"/>
    <x v="0"/>
    <x v="13"/>
    <x v="0"/>
    <n v="51"/>
    <x v="12"/>
    <x v="3"/>
    <s v="Teal"/>
    <x v="0"/>
    <n v="3.6"/>
    <x v="1"/>
    <x v="2"/>
    <x v="1"/>
    <x v="1"/>
    <n v="20"/>
    <x v="4"/>
    <x v="5"/>
  </r>
  <r>
    <n v="1743"/>
    <n v="51"/>
    <x v="0"/>
    <x v="3"/>
    <x v="1"/>
    <n v="80"/>
    <x v="23"/>
    <x v="3"/>
    <s v="White"/>
    <x v="1"/>
    <n v="4.3"/>
    <x v="1"/>
    <x v="0"/>
    <x v="1"/>
    <x v="1"/>
    <n v="18"/>
    <x v="0"/>
    <x v="6"/>
  </r>
  <r>
    <n v="1744"/>
    <n v="23"/>
    <x v="0"/>
    <x v="11"/>
    <x v="0"/>
    <n v="72"/>
    <x v="9"/>
    <x v="3"/>
    <s v="Brown"/>
    <x v="0"/>
    <n v="3.3"/>
    <x v="1"/>
    <x v="3"/>
    <x v="1"/>
    <x v="1"/>
    <n v="3"/>
    <x v="4"/>
    <x v="1"/>
  </r>
  <r>
    <n v="1745"/>
    <n v="57"/>
    <x v="0"/>
    <x v="12"/>
    <x v="3"/>
    <n v="63"/>
    <x v="49"/>
    <x v="0"/>
    <s v="Teal"/>
    <x v="0"/>
    <n v="3"/>
    <x v="1"/>
    <x v="3"/>
    <x v="1"/>
    <x v="1"/>
    <n v="23"/>
    <x v="3"/>
    <x v="1"/>
  </r>
  <r>
    <n v="1746"/>
    <n v="40"/>
    <x v="0"/>
    <x v="11"/>
    <x v="0"/>
    <n v="27"/>
    <x v="8"/>
    <x v="0"/>
    <s v="Red"/>
    <x v="0"/>
    <n v="3.6"/>
    <x v="1"/>
    <x v="5"/>
    <x v="1"/>
    <x v="1"/>
    <n v="27"/>
    <x v="1"/>
    <x v="1"/>
  </r>
  <r>
    <n v="1747"/>
    <n v="65"/>
    <x v="0"/>
    <x v="8"/>
    <x v="3"/>
    <n v="44"/>
    <x v="15"/>
    <x v="0"/>
    <s v="Brown"/>
    <x v="2"/>
    <n v="3.1"/>
    <x v="1"/>
    <x v="5"/>
    <x v="1"/>
    <x v="1"/>
    <n v="44"/>
    <x v="4"/>
    <x v="0"/>
  </r>
  <r>
    <n v="1748"/>
    <n v="61"/>
    <x v="0"/>
    <x v="7"/>
    <x v="2"/>
    <n v="23"/>
    <x v="13"/>
    <x v="2"/>
    <s v="Yellow"/>
    <x v="0"/>
    <n v="2.9"/>
    <x v="1"/>
    <x v="0"/>
    <x v="1"/>
    <x v="1"/>
    <n v="41"/>
    <x v="0"/>
    <x v="3"/>
  </r>
  <r>
    <n v="1749"/>
    <n v="34"/>
    <x v="0"/>
    <x v="11"/>
    <x v="0"/>
    <n v="93"/>
    <x v="6"/>
    <x v="0"/>
    <s v="Teal"/>
    <x v="0"/>
    <n v="3.9"/>
    <x v="1"/>
    <x v="4"/>
    <x v="1"/>
    <x v="1"/>
    <n v="41"/>
    <x v="4"/>
    <x v="2"/>
  </r>
  <r>
    <n v="1750"/>
    <n v="43"/>
    <x v="0"/>
    <x v="15"/>
    <x v="0"/>
    <n v="70"/>
    <x v="5"/>
    <x v="0"/>
    <s v="Pink"/>
    <x v="3"/>
    <n v="3.2"/>
    <x v="1"/>
    <x v="4"/>
    <x v="1"/>
    <x v="1"/>
    <n v="36"/>
    <x v="5"/>
    <x v="6"/>
  </r>
  <r>
    <n v="1751"/>
    <n v="31"/>
    <x v="0"/>
    <x v="12"/>
    <x v="3"/>
    <n v="85"/>
    <x v="9"/>
    <x v="2"/>
    <s v="White"/>
    <x v="3"/>
    <n v="3.1"/>
    <x v="1"/>
    <x v="0"/>
    <x v="1"/>
    <x v="1"/>
    <n v="38"/>
    <x v="0"/>
    <x v="6"/>
  </r>
  <r>
    <n v="1752"/>
    <n v="57"/>
    <x v="0"/>
    <x v="1"/>
    <x v="0"/>
    <n v="40"/>
    <x v="31"/>
    <x v="2"/>
    <s v="Silver"/>
    <x v="0"/>
    <n v="3.2"/>
    <x v="1"/>
    <x v="4"/>
    <x v="1"/>
    <x v="1"/>
    <n v="34"/>
    <x v="1"/>
    <x v="2"/>
  </r>
  <r>
    <n v="1753"/>
    <n v="34"/>
    <x v="0"/>
    <x v="23"/>
    <x v="1"/>
    <n v="29"/>
    <x v="45"/>
    <x v="0"/>
    <s v="Blue"/>
    <x v="0"/>
    <n v="3.3"/>
    <x v="1"/>
    <x v="5"/>
    <x v="1"/>
    <x v="1"/>
    <n v="14"/>
    <x v="0"/>
    <x v="3"/>
  </r>
  <r>
    <n v="1754"/>
    <n v="25"/>
    <x v="0"/>
    <x v="11"/>
    <x v="0"/>
    <n v="27"/>
    <x v="24"/>
    <x v="0"/>
    <s v="Black"/>
    <x v="3"/>
    <n v="4.8"/>
    <x v="1"/>
    <x v="2"/>
    <x v="1"/>
    <x v="1"/>
    <n v="23"/>
    <x v="2"/>
    <x v="0"/>
  </r>
  <r>
    <n v="1755"/>
    <n v="66"/>
    <x v="0"/>
    <x v="10"/>
    <x v="0"/>
    <n v="93"/>
    <x v="2"/>
    <x v="1"/>
    <s v="Beige"/>
    <x v="3"/>
    <n v="3.8"/>
    <x v="1"/>
    <x v="4"/>
    <x v="1"/>
    <x v="1"/>
    <n v="18"/>
    <x v="2"/>
    <x v="0"/>
  </r>
  <r>
    <n v="1756"/>
    <n v="56"/>
    <x v="0"/>
    <x v="22"/>
    <x v="3"/>
    <n v="20"/>
    <x v="12"/>
    <x v="3"/>
    <s v="Charcoal"/>
    <x v="1"/>
    <n v="4.5999999999999996"/>
    <x v="1"/>
    <x v="2"/>
    <x v="1"/>
    <x v="1"/>
    <n v="45"/>
    <x v="1"/>
    <x v="5"/>
  </r>
  <r>
    <n v="1757"/>
    <n v="49"/>
    <x v="0"/>
    <x v="16"/>
    <x v="3"/>
    <n v="55"/>
    <x v="13"/>
    <x v="1"/>
    <s v="Cyan"/>
    <x v="3"/>
    <n v="2.8"/>
    <x v="1"/>
    <x v="1"/>
    <x v="1"/>
    <x v="1"/>
    <n v="14"/>
    <x v="4"/>
    <x v="1"/>
  </r>
  <r>
    <n v="1758"/>
    <n v="19"/>
    <x v="0"/>
    <x v="10"/>
    <x v="0"/>
    <n v="94"/>
    <x v="49"/>
    <x v="0"/>
    <s v="Yellow"/>
    <x v="3"/>
    <n v="3.6"/>
    <x v="1"/>
    <x v="3"/>
    <x v="1"/>
    <x v="1"/>
    <n v="48"/>
    <x v="5"/>
    <x v="2"/>
  </r>
  <r>
    <n v="1759"/>
    <n v="27"/>
    <x v="0"/>
    <x v="19"/>
    <x v="3"/>
    <n v="56"/>
    <x v="38"/>
    <x v="2"/>
    <s v="Silver"/>
    <x v="0"/>
    <n v="4.3"/>
    <x v="1"/>
    <x v="1"/>
    <x v="1"/>
    <x v="1"/>
    <n v="17"/>
    <x v="0"/>
    <x v="4"/>
  </r>
  <r>
    <n v="1760"/>
    <n v="68"/>
    <x v="0"/>
    <x v="1"/>
    <x v="0"/>
    <n v="58"/>
    <x v="7"/>
    <x v="0"/>
    <s v="Green"/>
    <x v="1"/>
    <n v="4"/>
    <x v="1"/>
    <x v="2"/>
    <x v="1"/>
    <x v="1"/>
    <n v="1"/>
    <x v="3"/>
    <x v="1"/>
  </r>
  <r>
    <n v="1761"/>
    <n v="20"/>
    <x v="0"/>
    <x v="11"/>
    <x v="0"/>
    <n v="44"/>
    <x v="46"/>
    <x v="3"/>
    <s v="Peach"/>
    <x v="1"/>
    <n v="3.5"/>
    <x v="1"/>
    <x v="3"/>
    <x v="1"/>
    <x v="1"/>
    <n v="39"/>
    <x v="3"/>
    <x v="1"/>
  </r>
  <r>
    <n v="1762"/>
    <n v="21"/>
    <x v="0"/>
    <x v="15"/>
    <x v="0"/>
    <n v="95"/>
    <x v="11"/>
    <x v="1"/>
    <s v="Green"/>
    <x v="3"/>
    <n v="4.9000000000000004"/>
    <x v="1"/>
    <x v="4"/>
    <x v="1"/>
    <x v="1"/>
    <n v="24"/>
    <x v="1"/>
    <x v="1"/>
  </r>
  <r>
    <n v="1763"/>
    <n v="36"/>
    <x v="0"/>
    <x v="3"/>
    <x v="1"/>
    <n v="42"/>
    <x v="37"/>
    <x v="2"/>
    <s v="Brown"/>
    <x v="2"/>
    <n v="3.1"/>
    <x v="1"/>
    <x v="0"/>
    <x v="1"/>
    <x v="1"/>
    <n v="41"/>
    <x v="4"/>
    <x v="0"/>
  </r>
  <r>
    <n v="1764"/>
    <n v="37"/>
    <x v="0"/>
    <x v="16"/>
    <x v="3"/>
    <n v="93"/>
    <x v="34"/>
    <x v="2"/>
    <s v="Lavender"/>
    <x v="0"/>
    <n v="3.9"/>
    <x v="1"/>
    <x v="5"/>
    <x v="1"/>
    <x v="1"/>
    <n v="28"/>
    <x v="3"/>
    <x v="2"/>
  </r>
  <r>
    <n v="1765"/>
    <n v="61"/>
    <x v="0"/>
    <x v="10"/>
    <x v="0"/>
    <n v="56"/>
    <x v="12"/>
    <x v="2"/>
    <s v="Charcoal"/>
    <x v="2"/>
    <n v="3"/>
    <x v="1"/>
    <x v="5"/>
    <x v="1"/>
    <x v="1"/>
    <n v="34"/>
    <x v="0"/>
    <x v="3"/>
  </r>
  <r>
    <n v="1766"/>
    <n v="68"/>
    <x v="0"/>
    <x v="15"/>
    <x v="0"/>
    <n v="88"/>
    <x v="35"/>
    <x v="2"/>
    <s v="Orange"/>
    <x v="1"/>
    <n v="4.0999999999999996"/>
    <x v="1"/>
    <x v="4"/>
    <x v="1"/>
    <x v="1"/>
    <n v="41"/>
    <x v="0"/>
    <x v="3"/>
  </r>
  <r>
    <n v="1767"/>
    <n v="60"/>
    <x v="0"/>
    <x v="1"/>
    <x v="0"/>
    <n v="54"/>
    <x v="29"/>
    <x v="1"/>
    <s v="Cyan"/>
    <x v="0"/>
    <n v="4.3"/>
    <x v="1"/>
    <x v="4"/>
    <x v="1"/>
    <x v="1"/>
    <n v="27"/>
    <x v="1"/>
    <x v="4"/>
  </r>
  <r>
    <n v="1768"/>
    <n v="69"/>
    <x v="0"/>
    <x v="16"/>
    <x v="3"/>
    <n v="89"/>
    <x v="46"/>
    <x v="0"/>
    <s v="Lavender"/>
    <x v="3"/>
    <n v="3.8"/>
    <x v="1"/>
    <x v="4"/>
    <x v="1"/>
    <x v="1"/>
    <n v="46"/>
    <x v="5"/>
    <x v="0"/>
  </r>
  <r>
    <n v="1769"/>
    <n v="25"/>
    <x v="0"/>
    <x v="3"/>
    <x v="1"/>
    <n v="45"/>
    <x v="43"/>
    <x v="2"/>
    <s v="Indigo"/>
    <x v="2"/>
    <n v="3.9"/>
    <x v="1"/>
    <x v="4"/>
    <x v="1"/>
    <x v="1"/>
    <n v="2"/>
    <x v="3"/>
    <x v="6"/>
  </r>
  <r>
    <n v="1770"/>
    <n v="32"/>
    <x v="0"/>
    <x v="20"/>
    <x v="0"/>
    <n v="75"/>
    <x v="29"/>
    <x v="0"/>
    <s v="Brown"/>
    <x v="0"/>
    <n v="4.3"/>
    <x v="1"/>
    <x v="1"/>
    <x v="1"/>
    <x v="1"/>
    <n v="45"/>
    <x v="1"/>
    <x v="5"/>
  </r>
  <r>
    <n v="1771"/>
    <n v="53"/>
    <x v="0"/>
    <x v="21"/>
    <x v="3"/>
    <n v="22"/>
    <x v="49"/>
    <x v="2"/>
    <s v="Pink"/>
    <x v="3"/>
    <n v="4.3"/>
    <x v="1"/>
    <x v="0"/>
    <x v="1"/>
    <x v="1"/>
    <n v="34"/>
    <x v="4"/>
    <x v="1"/>
  </r>
  <r>
    <n v="1772"/>
    <n v="46"/>
    <x v="0"/>
    <x v="5"/>
    <x v="0"/>
    <n v="82"/>
    <x v="27"/>
    <x v="3"/>
    <s v="Turquoise"/>
    <x v="3"/>
    <n v="4.7"/>
    <x v="1"/>
    <x v="5"/>
    <x v="1"/>
    <x v="1"/>
    <n v="9"/>
    <x v="2"/>
    <x v="2"/>
  </r>
  <r>
    <n v="1773"/>
    <n v="58"/>
    <x v="0"/>
    <x v="9"/>
    <x v="1"/>
    <n v="34"/>
    <x v="11"/>
    <x v="2"/>
    <s v="Gold"/>
    <x v="2"/>
    <n v="3.1"/>
    <x v="1"/>
    <x v="4"/>
    <x v="1"/>
    <x v="1"/>
    <n v="1"/>
    <x v="4"/>
    <x v="2"/>
  </r>
  <r>
    <n v="1774"/>
    <n v="21"/>
    <x v="0"/>
    <x v="7"/>
    <x v="2"/>
    <n v="92"/>
    <x v="8"/>
    <x v="2"/>
    <s v="Blue"/>
    <x v="2"/>
    <n v="2.7"/>
    <x v="1"/>
    <x v="1"/>
    <x v="1"/>
    <x v="1"/>
    <n v="17"/>
    <x v="3"/>
    <x v="2"/>
  </r>
  <r>
    <n v="1775"/>
    <n v="46"/>
    <x v="0"/>
    <x v="1"/>
    <x v="0"/>
    <n v="78"/>
    <x v="14"/>
    <x v="2"/>
    <s v="Lavender"/>
    <x v="1"/>
    <n v="3.7"/>
    <x v="1"/>
    <x v="0"/>
    <x v="1"/>
    <x v="1"/>
    <n v="6"/>
    <x v="3"/>
    <x v="1"/>
  </r>
  <r>
    <n v="1776"/>
    <n v="18"/>
    <x v="0"/>
    <x v="14"/>
    <x v="2"/>
    <n v="47"/>
    <x v="44"/>
    <x v="2"/>
    <s v="Violet"/>
    <x v="1"/>
    <n v="3.3"/>
    <x v="1"/>
    <x v="4"/>
    <x v="1"/>
    <x v="1"/>
    <n v="12"/>
    <x v="1"/>
    <x v="4"/>
  </r>
  <r>
    <n v="1777"/>
    <n v="56"/>
    <x v="0"/>
    <x v="14"/>
    <x v="2"/>
    <n v="64"/>
    <x v="28"/>
    <x v="0"/>
    <s v="Cyan"/>
    <x v="2"/>
    <n v="3.4"/>
    <x v="1"/>
    <x v="1"/>
    <x v="1"/>
    <x v="1"/>
    <n v="10"/>
    <x v="0"/>
    <x v="6"/>
  </r>
  <r>
    <n v="1778"/>
    <n v="18"/>
    <x v="0"/>
    <x v="4"/>
    <x v="1"/>
    <n v="44"/>
    <x v="46"/>
    <x v="0"/>
    <s v="Purple"/>
    <x v="0"/>
    <n v="4.7"/>
    <x v="1"/>
    <x v="1"/>
    <x v="1"/>
    <x v="1"/>
    <n v="4"/>
    <x v="1"/>
    <x v="0"/>
  </r>
  <r>
    <n v="1779"/>
    <n v="49"/>
    <x v="0"/>
    <x v="22"/>
    <x v="3"/>
    <n v="94"/>
    <x v="21"/>
    <x v="2"/>
    <s v="Red"/>
    <x v="0"/>
    <n v="4.9000000000000004"/>
    <x v="1"/>
    <x v="5"/>
    <x v="1"/>
    <x v="1"/>
    <n v="8"/>
    <x v="5"/>
    <x v="4"/>
  </r>
  <r>
    <n v="1780"/>
    <n v="29"/>
    <x v="0"/>
    <x v="18"/>
    <x v="3"/>
    <n v="62"/>
    <x v="41"/>
    <x v="2"/>
    <s v="Charcoal"/>
    <x v="0"/>
    <n v="4.3"/>
    <x v="1"/>
    <x v="1"/>
    <x v="1"/>
    <x v="1"/>
    <n v="41"/>
    <x v="0"/>
    <x v="1"/>
  </r>
  <r>
    <n v="1781"/>
    <n v="67"/>
    <x v="0"/>
    <x v="16"/>
    <x v="3"/>
    <n v="81"/>
    <x v="25"/>
    <x v="1"/>
    <s v="Gray"/>
    <x v="2"/>
    <n v="4.2"/>
    <x v="1"/>
    <x v="2"/>
    <x v="1"/>
    <x v="1"/>
    <n v="49"/>
    <x v="2"/>
    <x v="1"/>
  </r>
  <r>
    <n v="1782"/>
    <n v="31"/>
    <x v="0"/>
    <x v="17"/>
    <x v="0"/>
    <n v="33"/>
    <x v="44"/>
    <x v="2"/>
    <s v="Pink"/>
    <x v="3"/>
    <n v="3.7"/>
    <x v="1"/>
    <x v="0"/>
    <x v="1"/>
    <x v="1"/>
    <n v="49"/>
    <x v="4"/>
    <x v="3"/>
  </r>
  <r>
    <n v="1783"/>
    <n v="52"/>
    <x v="0"/>
    <x v="13"/>
    <x v="0"/>
    <n v="88"/>
    <x v="40"/>
    <x v="2"/>
    <s v="Lavender"/>
    <x v="3"/>
    <n v="2.7"/>
    <x v="1"/>
    <x v="2"/>
    <x v="1"/>
    <x v="1"/>
    <n v="40"/>
    <x v="4"/>
    <x v="0"/>
  </r>
  <r>
    <n v="1784"/>
    <n v="42"/>
    <x v="0"/>
    <x v="8"/>
    <x v="3"/>
    <n v="49"/>
    <x v="31"/>
    <x v="0"/>
    <s v="Lavender"/>
    <x v="0"/>
    <n v="3.3"/>
    <x v="1"/>
    <x v="1"/>
    <x v="1"/>
    <x v="1"/>
    <n v="30"/>
    <x v="2"/>
    <x v="5"/>
  </r>
  <r>
    <n v="1785"/>
    <n v="32"/>
    <x v="0"/>
    <x v="21"/>
    <x v="3"/>
    <n v="31"/>
    <x v="7"/>
    <x v="0"/>
    <s v="Yellow"/>
    <x v="2"/>
    <n v="4.8"/>
    <x v="1"/>
    <x v="3"/>
    <x v="1"/>
    <x v="1"/>
    <n v="4"/>
    <x v="5"/>
    <x v="3"/>
  </r>
  <r>
    <n v="1786"/>
    <n v="47"/>
    <x v="0"/>
    <x v="24"/>
    <x v="3"/>
    <n v="29"/>
    <x v="44"/>
    <x v="1"/>
    <s v="Peach"/>
    <x v="3"/>
    <n v="4.0999999999999996"/>
    <x v="1"/>
    <x v="2"/>
    <x v="1"/>
    <x v="1"/>
    <n v="22"/>
    <x v="0"/>
    <x v="5"/>
  </r>
  <r>
    <n v="1787"/>
    <n v="45"/>
    <x v="0"/>
    <x v="14"/>
    <x v="2"/>
    <n v="34"/>
    <x v="33"/>
    <x v="2"/>
    <s v="Brown"/>
    <x v="1"/>
    <n v="4.5999999999999996"/>
    <x v="1"/>
    <x v="4"/>
    <x v="1"/>
    <x v="1"/>
    <n v="22"/>
    <x v="0"/>
    <x v="5"/>
  </r>
  <r>
    <n v="1788"/>
    <n v="20"/>
    <x v="0"/>
    <x v="1"/>
    <x v="0"/>
    <n v="38"/>
    <x v="6"/>
    <x v="0"/>
    <s v="Gold"/>
    <x v="3"/>
    <n v="4.9000000000000004"/>
    <x v="1"/>
    <x v="4"/>
    <x v="1"/>
    <x v="1"/>
    <n v="10"/>
    <x v="4"/>
    <x v="3"/>
  </r>
  <r>
    <n v="1789"/>
    <n v="66"/>
    <x v="0"/>
    <x v="0"/>
    <x v="0"/>
    <n v="41"/>
    <x v="26"/>
    <x v="0"/>
    <s v="Pink"/>
    <x v="2"/>
    <n v="3.1"/>
    <x v="1"/>
    <x v="5"/>
    <x v="1"/>
    <x v="1"/>
    <n v="23"/>
    <x v="1"/>
    <x v="4"/>
  </r>
  <r>
    <n v="1790"/>
    <n v="52"/>
    <x v="0"/>
    <x v="0"/>
    <x v="0"/>
    <n v="34"/>
    <x v="28"/>
    <x v="0"/>
    <s v="Peach"/>
    <x v="1"/>
    <n v="3"/>
    <x v="1"/>
    <x v="4"/>
    <x v="1"/>
    <x v="1"/>
    <n v="43"/>
    <x v="5"/>
    <x v="3"/>
  </r>
  <r>
    <n v="1791"/>
    <n v="50"/>
    <x v="0"/>
    <x v="24"/>
    <x v="3"/>
    <n v="26"/>
    <x v="17"/>
    <x v="1"/>
    <s v="Violet"/>
    <x v="2"/>
    <n v="3.7"/>
    <x v="1"/>
    <x v="5"/>
    <x v="1"/>
    <x v="1"/>
    <n v="31"/>
    <x v="3"/>
    <x v="4"/>
  </r>
  <r>
    <n v="1792"/>
    <n v="62"/>
    <x v="0"/>
    <x v="2"/>
    <x v="0"/>
    <n v="98"/>
    <x v="6"/>
    <x v="1"/>
    <s v="Purple"/>
    <x v="0"/>
    <n v="4"/>
    <x v="1"/>
    <x v="5"/>
    <x v="1"/>
    <x v="1"/>
    <n v="38"/>
    <x v="1"/>
    <x v="2"/>
  </r>
  <r>
    <n v="1793"/>
    <n v="38"/>
    <x v="0"/>
    <x v="4"/>
    <x v="1"/>
    <n v="59"/>
    <x v="44"/>
    <x v="2"/>
    <s v="Peach"/>
    <x v="3"/>
    <n v="3"/>
    <x v="1"/>
    <x v="0"/>
    <x v="1"/>
    <x v="1"/>
    <n v="22"/>
    <x v="5"/>
    <x v="6"/>
  </r>
  <r>
    <n v="1794"/>
    <n v="65"/>
    <x v="0"/>
    <x v="19"/>
    <x v="3"/>
    <n v="92"/>
    <x v="44"/>
    <x v="1"/>
    <s v="White"/>
    <x v="3"/>
    <n v="3.8"/>
    <x v="1"/>
    <x v="5"/>
    <x v="1"/>
    <x v="1"/>
    <n v="45"/>
    <x v="1"/>
    <x v="6"/>
  </r>
  <r>
    <n v="1795"/>
    <n v="60"/>
    <x v="0"/>
    <x v="21"/>
    <x v="3"/>
    <n v="40"/>
    <x v="31"/>
    <x v="0"/>
    <s v="Indigo"/>
    <x v="1"/>
    <n v="3.7"/>
    <x v="1"/>
    <x v="0"/>
    <x v="1"/>
    <x v="1"/>
    <n v="21"/>
    <x v="5"/>
    <x v="0"/>
  </r>
  <r>
    <n v="1796"/>
    <n v="68"/>
    <x v="0"/>
    <x v="2"/>
    <x v="0"/>
    <n v="20"/>
    <x v="48"/>
    <x v="1"/>
    <s v="Violet"/>
    <x v="3"/>
    <n v="4"/>
    <x v="1"/>
    <x v="4"/>
    <x v="1"/>
    <x v="1"/>
    <n v="9"/>
    <x v="5"/>
    <x v="0"/>
  </r>
  <r>
    <n v="1797"/>
    <n v="62"/>
    <x v="0"/>
    <x v="11"/>
    <x v="0"/>
    <n v="35"/>
    <x v="36"/>
    <x v="1"/>
    <s v="Brown"/>
    <x v="1"/>
    <n v="3.1"/>
    <x v="1"/>
    <x v="5"/>
    <x v="1"/>
    <x v="1"/>
    <n v="34"/>
    <x v="0"/>
    <x v="1"/>
  </r>
  <r>
    <n v="1798"/>
    <n v="62"/>
    <x v="0"/>
    <x v="22"/>
    <x v="3"/>
    <n v="35"/>
    <x v="4"/>
    <x v="0"/>
    <s v="Maroon"/>
    <x v="1"/>
    <n v="3.9"/>
    <x v="1"/>
    <x v="4"/>
    <x v="1"/>
    <x v="1"/>
    <n v="26"/>
    <x v="0"/>
    <x v="1"/>
  </r>
  <r>
    <n v="1799"/>
    <n v="40"/>
    <x v="0"/>
    <x v="10"/>
    <x v="0"/>
    <n v="82"/>
    <x v="25"/>
    <x v="0"/>
    <s v="Magenta"/>
    <x v="0"/>
    <n v="3.7"/>
    <x v="1"/>
    <x v="0"/>
    <x v="1"/>
    <x v="1"/>
    <n v="1"/>
    <x v="1"/>
    <x v="1"/>
  </r>
  <r>
    <n v="1800"/>
    <n v="32"/>
    <x v="0"/>
    <x v="15"/>
    <x v="0"/>
    <n v="48"/>
    <x v="18"/>
    <x v="2"/>
    <s v="Charcoal"/>
    <x v="3"/>
    <n v="3.9"/>
    <x v="1"/>
    <x v="0"/>
    <x v="1"/>
    <x v="1"/>
    <n v="47"/>
    <x v="0"/>
    <x v="1"/>
  </r>
  <r>
    <n v="1801"/>
    <n v="22"/>
    <x v="0"/>
    <x v="7"/>
    <x v="2"/>
    <n v="58"/>
    <x v="16"/>
    <x v="3"/>
    <s v="Indigo"/>
    <x v="0"/>
    <n v="2.7"/>
    <x v="1"/>
    <x v="0"/>
    <x v="1"/>
    <x v="1"/>
    <n v="30"/>
    <x v="2"/>
    <x v="1"/>
  </r>
  <r>
    <n v="1802"/>
    <n v="33"/>
    <x v="0"/>
    <x v="1"/>
    <x v="0"/>
    <n v="57"/>
    <x v="32"/>
    <x v="2"/>
    <s v="Turquoise"/>
    <x v="1"/>
    <n v="3.9"/>
    <x v="1"/>
    <x v="0"/>
    <x v="1"/>
    <x v="1"/>
    <n v="48"/>
    <x v="5"/>
    <x v="0"/>
  </r>
  <r>
    <n v="1803"/>
    <n v="57"/>
    <x v="0"/>
    <x v="6"/>
    <x v="0"/>
    <n v="96"/>
    <x v="3"/>
    <x v="0"/>
    <s v="Turquoise"/>
    <x v="0"/>
    <n v="2.6"/>
    <x v="1"/>
    <x v="5"/>
    <x v="1"/>
    <x v="1"/>
    <n v="31"/>
    <x v="0"/>
    <x v="4"/>
  </r>
  <r>
    <n v="1804"/>
    <n v="60"/>
    <x v="0"/>
    <x v="4"/>
    <x v="1"/>
    <n v="97"/>
    <x v="13"/>
    <x v="1"/>
    <s v="Gray"/>
    <x v="2"/>
    <n v="3.5"/>
    <x v="1"/>
    <x v="1"/>
    <x v="1"/>
    <x v="1"/>
    <n v="33"/>
    <x v="0"/>
    <x v="0"/>
  </r>
  <r>
    <n v="1805"/>
    <n v="30"/>
    <x v="0"/>
    <x v="1"/>
    <x v="0"/>
    <n v="42"/>
    <x v="7"/>
    <x v="0"/>
    <s v="Peach"/>
    <x v="0"/>
    <n v="4.4000000000000004"/>
    <x v="1"/>
    <x v="2"/>
    <x v="1"/>
    <x v="1"/>
    <n v="39"/>
    <x v="2"/>
    <x v="1"/>
  </r>
  <r>
    <n v="1806"/>
    <n v="41"/>
    <x v="0"/>
    <x v="17"/>
    <x v="0"/>
    <n v="62"/>
    <x v="28"/>
    <x v="0"/>
    <s v="Gold"/>
    <x v="1"/>
    <n v="4.9000000000000004"/>
    <x v="1"/>
    <x v="5"/>
    <x v="1"/>
    <x v="1"/>
    <n v="46"/>
    <x v="5"/>
    <x v="1"/>
  </r>
  <r>
    <n v="1807"/>
    <n v="58"/>
    <x v="0"/>
    <x v="8"/>
    <x v="3"/>
    <n v="67"/>
    <x v="3"/>
    <x v="2"/>
    <s v="Green"/>
    <x v="3"/>
    <n v="3.9"/>
    <x v="1"/>
    <x v="3"/>
    <x v="1"/>
    <x v="1"/>
    <n v="24"/>
    <x v="0"/>
    <x v="2"/>
  </r>
  <r>
    <n v="1808"/>
    <n v="34"/>
    <x v="0"/>
    <x v="4"/>
    <x v="1"/>
    <n v="46"/>
    <x v="34"/>
    <x v="0"/>
    <s v="Gold"/>
    <x v="2"/>
    <n v="3.5"/>
    <x v="1"/>
    <x v="3"/>
    <x v="1"/>
    <x v="1"/>
    <n v="37"/>
    <x v="0"/>
    <x v="0"/>
  </r>
  <r>
    <n v="1809"/>
    <n v="67"/>
    <x v="0"/>
    <x v="14"/>
    <x v="2"/>
    <n v="71"/>
    <x v="30"/>
    <x v="2"/>
    <s v="Lavender"/>
    <x v="1"/>
    <n v="4.3"/>
    <x v="1"/>
    <x v="2"/>
    <x v="1"/>
    <x v="1"/>
    <n v="7"/>
    <x v="5"/>
    <x v="5"/>
  </r>
  <r>
    <n v="1810"/>
    <n v="58"/>
    <x v="0"/>
    <x v="21"/>
    <x v="3"/>
    <n v="99"/>
    <x v="29"/>
    <x v="1"/>
    <s v="Blue"/>
    <x v="3"/>
    <n v="3.4"/>
    <x v="1"/>
    <x v="1"/>
    <x v="1"/>
    <x v="1"/>
    <n v="6"/>
    <x v="5"/>
    <x v="0"/>
  </r>
  <r>
    <n v="1811"/>
    <n v="41"/>
    <x v="0"/>
    <x v="2"/>
    <x v="0"/>
    <n v="28"/>
    <x v="33"/>
    <x v="2"/>
    <s v="Magenta"/>
    <x v="3"/>
    <n v="2.7"/>
    <x v="1"/>
    <x v="3"/>
    <x v="1"/>
    <x v="1"/>
    <n v="16"/>
    <x v="1"/>
    <x v="4"/>
  </r>
  <r>
    <n v="1812"/>
    <n v="42"/>
    <x v="0"/>
    <x v="22"/>
    <x v="3"/>
    <n v="77"/>
    <x v="48"/>
    <x v="0"/>
    <s v="Blue"/>
    <x v="2"/>
    <n v="3.6"/>
    <x v="1"/>
    <x v="3"/>
    <x v="1"/>
    <x v="1"/>
    <n v="33"/>
    <x v="4"/>
    <x v="2"/>
  </r>
  <r>
    <n v="1813"/>
    <n v="50"/>
    <x v="0"/>
    <x v="23"/>
    <x v="1"/>
    <n v="63"/>
    <x v="22"/>
    <x v="1"/>
    <s v="Blue"/>
    <x v="2"/>
    <n v="4.9000000000000004"/>
    <x v="1"/>
    <x v="0"/>
    <x v="1"/>
    <x v="1"/>
    <n v="18"/>
    <x v="3"/>
    <x v="4"/>
  </r>
  <r>
    <n v="1814"/>
    <n v="40"/>
    <x v="0"/>
    <x v="6"/>
    <x v="0"/>
    <n v="62"/>
    <x v="26"/>
    <x v="2"/>
    <s v="Olive"/>
    <x v="1"/>
    <n v="3.5"/>
    <x v="1"/>
    <x v="1"/>
    <x v="1"/>
    <x v="1"/>
    <n v="24"/>
    <x v="3"/>
    <x v="1"/>
  </r>
  <r>
    <n v="1815"/>
    <n v="32"/>
    <x v="0"/>
    <x v="2"/>
    <x v="0"/>
    <n v="92"/>
    <x v="6"/>
    <x v="2"/>
    <s v="White"/>
    <x v="2"/>
    <n v="3.8"/>
    <x v="1"/>
    <x v="1"/>
    <x v="1"/>
    <x v="1"/>
    <n v="24"/>
    <x v="1"/>
    <x v="3"/>
  </r>
  <r>
    <n v="1816"/>
    <n v="51"/>
    <x v="0"/>
    <x v="9"/>
    <x v="1"/>
    <n v="72"/>
    <x v="35"/>
    <x v="0"/>
    <s v="White"/>
    <x v="0"/>
    <n v="4.5"/>
    <x v="1"/>
    <x v="4"/>
    <x v="1"/>
    <x v="1"/>
    <n v="48"/>
    <x v="2"/>
    <x v="6"/>
  </r>
  <r>
    <n v="1817"/>
    <n v="26"/>
    <x v="0"/>
    <x v="19"/>
    <x v="3"/>
    <n v="79"/>
    <x v="41"/>
    <x v="2"/>
    <s v="Purple"/>
    <x v="2"/>
    <n v="4"/>
    <x v="1"/>
    <x v="0"/>
    <x v="1"/>
    <x v="1"/>
    <n v="4"/>
    <x v="1"/>
    <x v="1"/>
  </r>
  <r>
    <n v="1818"/>
    <n v="32"/>
    <x v="0"/>
    <x v="17"/>
    <x v="0"/>
    <n v="27"/>
    <x v="12"/>
    <x v="2"/>
    <s v="White"/>
    <x v="2"/>
    <n v="4.7"/>
    <x v="1"/>
    <x v="1"/>
    <x v="1"/>
    <x v="1"/>
    <n v="20"/>
    <x v="1"/>
    <x v="1"/>
  </r>
  <r>
    <n v="1819"/>
    <n v="58"/>
    <x v="0"/>
    <x v="12"/>
    <x v="3"/>
    <n v="39"/>
    <x v="17"/>
    <x v="2"/>
    <s v="White"/>
    <x v="3"/>
    <n v="3.8"/>
    <x v="1"/>
    <x v="0"/>
    <x v="1"/>
    <x v="1"/>
    <n v="47"/>
    <x v="5"/>
    <x v="6"/>
  </r>
  <r>
    <n v="1820"/>
    <n v="51"/>
    <x v="0"/>
    <x v="20"/>
    <x v="0"/>
    <n v="86"/>
    <x v="22"/>
    <x v="1"/>
    <s v="Peach"/>
    <x v="1"/>
    <n v="4.5"/>
    <x v="1"/>
    <x v="2"/>
    <x v="1"/>
    <x v="1"/>
    <n v="50"/>
    <x v="1"/>
    <x v="3"/>
  </r>
  <r>
    <n v="1821"/>
    <n v="19"/>
    <x v="0"/>
    <x v="5"/>
    <x v="0"/>
    <n v="94"/>
    <x v="47"/>
    <x v="3"/>
    <s v="Gold"/>
    <x v="3"/>
    <n v="5"/>
    <x v="1"/>
    <x v="0"/>
    <x v="1"/>
    <x v="1"/>
    <n v="31"/>
    <x v="3"/>
    <x v="5"/>
  </r>
  <r>
    <n v="1822"/>
    <n v="57"/>
    <x v="0"/>
    <x v="6"/>
    <x v="0"/>
    <n v="53"/>
    <x v="1"/>
    <x v="2"/>
    <s v="Teal"/>
    <x v="1"/>
    <n v="2.8"/>
    <x v="1"/>
    <x v="0"/>
    <x v="1"/>
    <x v="1"/>
    <n v="29"/>
    <x v="3"/>
    <x v="3"/>
  </r>
  <r>
    <n v="1823"/>
    <n v="66"/>
    <x v="0"/>
    <x v="5"/>
    <x v="0"/>
    <n v="85"/>
    <x v="39"/>
    <x v="1"/>
    <s v="Cyan"/>
    <x v="2"/>
    <n v="4.4000000000000004"/>
    <x v="1"/>
    <x v="3"/>
    <x v="1"/>
    <x v="1"/>
    <n v="4"/>
    <x v="1"/>
    <x v="2"/>
  </r>
  <r>
    <n v="1824"/>
    <n v="62"/>
    <x v="0"/>
    <x v="20"/>
    <x v="0"/>
    <n v="50"/>
    <x v="7"/>
    <x v="0"/>
    <s v="Pink"/>
    <x v="3"/>
    <n v="4.7"/>
    <x v="1"/>
    <x v="1"/>
    <x v="1"/>
    <x v="1"/>
    <n v="40"/>
    <x v="4"/>
    <x v="4"/>
  </r>
  <r>
    <n v="1825"/>
    <n v="58"/>
    <x v="0"/>
    <x v="13"/>
    <x v="0"/>
    <n v="47"/>
    <x v="26"/>
    <x v="3"/>
    <s v="Magenta"/>
    <x v="0"/>
    <n v="3.8"/>
    <x v="1"/>
    <x v="0"/>
    <x v="1"/>
    <x v="1"/>
    <n v="31"/>
    <x v="1"/>
    <x v="5"/>
  </r>
  <r>
    <n v="1826"/>
    <n v="23"/>
    <x v="0"/>
    <x v="23"/>
    <x v="1"/>
    <n v="75"/>
    <x v="45"/>
    <x v="2"/>
    <s v="Pink"/>
    <x v="0"/>
    <n v="4.9000000000000004"/>
    <x v="1"/>
    <x v="2"/>
    <x v="1"/>
    <x v="1"/>
    <n v="41"/>
    <x v="2"/>
    <x v="1"/>
  </r>
  <r>
    <n v="1827"/>
    <n v="45"/>
    <x v="0"/>
    <x v="17"/>
    <x v="0"/>
    <n v="60"/>
    <x v="27"/>
    <x v="2"/>
    <s v="Turquoise"/>
    <x v="0"/>
    <n v="4.2"/>
    <x v="1"/>
    <x v="0"/>
    <x v="1"/>
    <x v="1"/>
    <n v="44"/>
    <x v="5"/>
    <x v="2"/>
  </r>
  <r>
    <n v="1828"/>
    <n v="20"/>
    <x v="0"/>
    <x v="17"/>
    <x v="0"/>
    <n v="36"/>
    <x v="34"/>
    <x v="1"/>
    <s v="Pink"/>
    <x v="1"/>
    <n v="4.9000000000000004"/>
    <x v="1"/>
    <x v="4"/>
    <x v="1"/>
    <x v="1"/>
    <n v="31"/>
    <x v="4"/>
    <x v="1"/>
  </r>
  <r>
    <n v="1829"/>
    <n v="33"/>
    <x v="0"/>
    <x v="7"/>
    <x v="2"/>
    <n v="80"/>
    <x v="13"/>
    <x v="0"/>
    <s v="Gray"/>
    <x v="1"/>
    <n v="3.9"/>
    <x v="1"/>
    <x v="0"/>
    <x v="1"/>
    <x v="1"/>
    <n v="45"/>
    <x v="1"/>
    <x v="6"/>
  </r>
  <r>
    <n v="1830"/>
    <n v="30"/>
    <x v="0"/>
    <x v="19"/>
    <x v="3"/>
    <n v="96"/>
    <x v="4"/>
    <x v="2"/>
    <s v="White"/>
    <x v="1"/>
    <n v="4.9000000000000004"/>
    <x v="1"/>
    <x v="4"/>
    <x v="1"/>
    <x v="1"/>
    <n v="50"/>
    <x v="2"/>
    <x v="3"/>
  </r>
  <r>
    <n v="1831"/>
    <n v="50"/>
    <x v="0"/>
    <x v="12"/>
    <x v="3"/>
    <n v="80"/>
    <x v="23"/>
    <x v="2"/>
    <s v="Blue"/>
    <x v="0"/>
    <n v="4.8"/>
    <x v="1"/>
    <x v="0"/>
    <x v="1"/>
    <x v="1"/>
    <n v="7"/>
    <x v="0"/>
    <x v="2"/>
  </r>
  <r>
    <n v="1832"/>
    <n v="62"/>
    <x v="0"/>
    <x v="0"/>
    <x v="0"/>
    <n v="71"/>
    <x v="1"/>
    <x v="2"/>
    <s v="Cyan"/>
    <x v="2"/>
    <n v="3.3"/>
    <x v="1"/>
    <x v="1"/>
    <x v="1"/>
    <x v="1"/>
    <n v="5"/>
    <x v="4"/>
    <x v="6"/>
  </r>
  <r>
    <n v="1833"/>
    <n v="69"/>
    <x v="0"/>
    <x v="16"/>
    <x v="3"/>
    <n v="29"/>
    <x v="7"/>
    <x v="2"/>
    <s v="Blue"/>
    <x v="3"/>
    <n v="4.5999999999999996"/>
    <x v="1"/>
    <x v="1"/>
    <x v="1"/>
    <x v="1"/>
    <n v="48"/>
    <x v="1"/>
    <x v="5"/>
  </r>
  <r>
    <n v="1834"/>
    <n v="34"/>
    <x v="0"/>
    <x v="16"/>
    <x v="3"/>
    <n v="53"/>
    <x v="7"/>
    <x v="2"/>
    <s v="Yellow"/>
    <x v="1"/>
    <n v="4.5"/>
    <x v="1"/>
    <x v="4"/>
    <x v="1"/>
    <x v="1"/>
    <n v="19"/>
    <x v="3"/>
    <x v="0"/>
  </r>
  <r>
    <n v="1835"/>
    <n v="49"/>
    <x v="0"/>
    <x v="11"/>
    <x v="0"/>
    <n v="35"/>
    <x v="27"/>
    <x v="2"/>
    <s v="Charcoal"/>
    <x v="2"/>
    <n v="4.0999999999999996"/>
    <x v="1"/>
    <x v="4"/>
    <x v="1"/>
    <x v="1"/>
    <n v="39"/>
    <x v="0"/>
    <x v="0"/>
  </r>
  <r>
    <n v="1836"/>
    <n v="65"/>
    <x v="0"/>
    <x v="18"/>
    <x v="3"/>
    <n v="75"/>
    <x v="0"/>
    <x v="2"/>
    <s v="Lavender"/>
    <x v="3"/>
    <n v="3.2"/>
    <x v="1"/>
    <x v="4"/>
    <x v="1"/>
    <x v="1"/>
    <n v="45"/>
    <x v="2"/>
    <x v="3"/>
  </r>
  <r>
    <n v="1837"/>
    <n v="66"/>
    <x v="0"/>
    <x v="13"/>
    <x v="0"/>
    <n v="52"/>
    <x v="36"/>
    <x v="2"/>
    <s v="Teal"/>
    <x v="3"/>
    <n v="4.2"/>
    <x v="1"/>
    <x v="4"/>
    <x v="1"/>
    <x v="1"/>
    <n v="35"/>
    <x v="2"/>
    <x v="5"/>
  </r>
  <r>
    <n v="1838"/>
    <n v="41"/>
    <x v="0"/>
    <x v="19"/>
    <x v="3"/>
    <n v="77"/>
    <x v="6"/>
    <x v="2"/>
    <s v="Beige"/>
    <x v="0"/>
    <n v="4.8"/>
    <x v="1"/>
    <x v="1"/>
    <x v="1"/>
    <x v="1"/>
    <n v="8"/>
    <x v="0"/>
    <x v="5"/>
  </r>
  <r>
    <n v="1839"/>
    <n v="37"/>
    <x v="0"/>
    <x v="24"/>
    <x v="3"/>
    <n v="24"/>
    <x v="34"/>
    <x v="0"/>
    <s v="Blue"/>
    <x v="3"/>
    <n v="4.0999999999999996"/>
    <x v="1"/>
    <x v="2"/>
    <x v="1"/>
    <x v="1"/>
    <n v="11"/>
    <x v="2"/>
    <x v="3"/>
  </r>
  <r>
    <n v="1840"/>
    <n v="32"/>
    <x v="0"/>
    <x v="5"/>
    <x v="0"/>
    <n v="78"/>
    <x v="16"/>
    <x v="3"/>
    <s v="Purple"/>
    <x v="0"/>
    <n v="3.7"/>
    <x v="1"/>
    <x v="5"/>
    <x v="1"/>
    <x v="1"/>
    <n v="32"/>
    <x v="1"/>
    <x v="2"/>
  </r>
  <r>
    <n v="1841"/>
    <n v="42"/>
    <x v="0"/>
    <x v="3"/>
    <x v="1"/>
    <n v="98"/>
    <x v="5"/>
    <x v="2"/>
    <s v="Gold"/>
    <x v="0"/>
    <n v="2.6"/>
    <x v="1"/>
    <x v="5"/>
    <x v="1"/>
    <x v="1"/>
    <n v="46"/>
    <x v="4"/>
    <x v="6"/>
  </r>
  <r>
    <n v="1842"/>
    <n v="31"/>
    <x v="0"/>
    <x v="20"/>
    <x v="0"/>
    <n v="57"/>
    <x v="34"/>
    <x v="0"/>
    <s v="Blue"/>
    <x v="0"/>
    <n v="3"/>
    <x v="1"/>
    <x v="3"/>
    <x v="1"/>
    <x v="1"/>
    <n v="7"/>
    <x v="3"/>
    <x v="6"/>
  </r>
  <r>
    <n v="1843"/>
    <n v="61"/>
    <x v="0"/>
    <x v="8"/>
    <x v="3"/>
    <n v="78"/>
    <x v="15"/>
    <x v="2"/>
    <s v="Black"/>
    <x v="2"/>
    <n v="4.4000000000000004"/>
    <x v="1"/>
    <x v="0"/>
    <x v="1"/>
    <x v="1"/>
    <n v="1"/>
    <x v="5"/>
    <x v="2"/>
  </r>
  <r>
    <n v="1844"/>
    <n v="36"/>
    <x v="0"/>
    <x v="14"/>
    <x v="2"/>
    <n v="76"/>
    <x v="0"/>
    <x v="2"/>
    <s v="Charcoal"/>
    <x v="3"/>
    <n v="4.7"/>
    <x v="1"/>
    <x v="2"/>
    <x v="1"/>
    <x v="1"/>
    <n v="32"/>
    <x v="2"/>
    <x v="5"/>
  </r>
  <r>
    <n v="1845"/>
    <n v="60"/>
    <x v="0"/>
    <x v="6"/>
    <x v="0"/>
    <n v="26"/>
    <x v="45"/>
    <x v="2"/>
    <s v="Purple"/>
    <x v="1"/>
    <n v="2.7"/>
    <x v="1"/>
    <x v="4"/>
    <x v="1"/>
    <x v="1"/>
    <n v="31"/>
    <x v="2"/>
    <x v="2"/>
  </r>
  <r>
    <n v="1846"/>
    <n v="51"/>
    <x v="0"/>
    <x v="3"/>
    <x v="1"/>
    <n v="78"/>
    <x v="12"/>
    <x v="2"/>
    <s v="Orange"/>
    <x v="0"/>
    <n v="2.8"/>
    <x v="1"/>
    <x v="4"/>
    <x v="1"/>
    <x v="1"/>
    <n v="39"/>
    <x v="4"/>
    <x v="3"/>
  </r>
  <r>
    <n v="1847"/>
    <n v="68"/>
    <x v="0"/>
    <x v="18"/>
    <x v="3"/>
    <n v="53"/>
    <x v="48"/>
    <x v="2"/>
    <s v="Yellow"/>
    <x v="2"/>
    <n v="2.9"/>
    <x v="1"/>
    <x v="3"/>
    <x v="1"/>
    <x v="1"/>
    <n v="9"/>
    <x v="0"/>
    <x v="3"/>
  </r>
  <r>
    <n v="1848"/>
    <n v="46"/>
    <x v="0"/>
    <x v="3"/>
    <x v="1"/>
    <n v="100"/>
    <x v="28"/>
    <x v="3"/>
    <s v="Cyan"/>
    <x v="2"/>
    <n v="4.4000000000000004"/>
    <x v="1"/>
    <x v="1"/>
    <x v="1"/>
    <x v="1"/>
    <n v="49"/>
    <x v="2"/>
    <x v="1"/>
  </r>
  <r>
    <n v="1849"/>
    <n v="19"/>
    <x v="0"/>
    <x v="2"/>
    <x v="0"/>
    <n v="73"/>
    <x v="1"/>
    <x v="3"/>
    <s v="Yellow"/>
    <x v="0"/>
    <n v="2.7"/>
    <x v="1"/>
    <x v="0"/>
    <x v="1"/>
    <x v="1"/>
    <n v="34"/>
    <x v="1"/>
    <x v="6"/>
  </r>
  <r>
    <n v="1850"/>
    <n v="30"/>
    <x v="0"/>
    <x v="11"/>
    <x v="0"/>
    <n v="40"/>
    <x v="35"/>
    <x v="2"/>
    <s v="Maroon"/>
    <x v="0"/>
    <n v="4.5"/>
    <x v="1"/>
    <x v="5"/>
    <x v="1"/>
    <x v="1"/>
    <n v="35"/>
    <x v="4"/>
    <x v="5"/>
  </r>
  <r>
    <n v="1851"/>
    <n v="51"/>
    <x v="0"/>
    <x v="24"/>
    <x v="3"/>
    <n v="76"/>
    <x v="5"/>
    <x v="1"/>
    <s v="Black"/>
    <x v="0"/>
    <n v="2.8"/>
    <x v="1"/>
    <x v="5"/>
    <x v="1"/>
    <x v="1"/>
    <n v="50"/>
    <x v="5"/>
    <x v="1"/>
  </r>
  <r>
    <n v="1852"/>
    <n v="28"/>
    <x v="0"/>
    <x v="11"/>
    <x v="0"/>
    <n v="80"/>
    <x v="12"/>
    <x v="1"/>
    <s v="Lavender"/>
    <x v="3"/>
    <n v="3.1"/>
    <x v="1"/>
    <x v="1"/>
    <x v="1"/>
    <x v="1"/>
    <n v="4"/>
    <x v="4"/>
    <x v="0"/>
  </r>
  <r>
    <n v="1853"/>
    <n v="41"/>
    <x v="0"/>
    <x v="1"/>
    <x v="0"/>
    <n v="80"/>
    <x v="38"/>
    <x v="3"/>
    <s v="Violet"/>
    <x v="0"/>
    <n v="3.8"/>
    <x v="1"/>
    <x v="5"/>
    <x v="1"/>
    <x v="1"/>
    <n v="32"/>
    <x v="1"/>
    <x v="1"/>
  </r>
  <r>
    <n v="1854"/>
    <n v="29"/>
    <x v="0"/>
    <x v="0"/>
    <x v="0"/>
    <n v="67"/>
    <x v="25"/>
    <x v="3"/>
    <s v="Olive"/>
    <x v="1"/>
    <n v="2.9"/>
    <x v="1"/>
    <x v="0"/>
    <x v="1"/>
    <x v="1"/>
    <n v="11"/>
    <x v="3"/>
    <x v="0"/>
  </r>
  <r>
    <n v="1855"/>
    <n v="25"/>
    <x v="0"/>
    <x v="1"/>
    <x v="0"/>
    <n v="61"/>
    <x v="0"/>
    <x v="2"/>
    <s v="Teal"/>
    <x v="1"/>
    <n v="3.8"/>
    <x v="1"/>
    <x v="0"/>
    <x v="1"/>
    <x v="1"/>
    <n v="49"/>
    <x v="2"/>
    <x v="2"/>
  </r>
  <r>
    <n v="1856"/>
    <n v="60"/>
    <x v="0"/>
    <x v="5"/>
    <x v="0"/>
    <n v="76"/>
    <x v="3"/>
    <x v="3"/>
    <s v="Teal"/>
    <x v="1"/>
    <n v="4.7"/>
    <x v="1"/>
    <x v="3"/>
    <x v="1"/>
    <x v="1"/>
    <n v="9"/>
    <x v="1"/>
    <x v="2"/>
  </r>
  <r>
    <n v="1857"/>
    <n v="63"/>
    <x v="0"/>
    <x v="16"/>
    <x v="3"/>
    <n v="55"/>
    <x v="28"/>
    <x v="3"/>
    <s v="Beige"/>
    <x v="2"/>
    <n v="3.2"/>
    <x v="1"/>
    <x v="1"/>
    <x v="1"/>
    <x v="1"/>
    <n v="30"/>
    <x v="3"/>
    <x v="4"/>
  </r>
  <r>
    <n v="1858"/>
    <n v="51"/>
    <x v="0"/>
    <x v="17"/>
    <x v="0"/>
    <n v="85"/>
    <x v="24"/>
    <x v="0"/>
    <s v="Maroon"/>
    <x v="2"/>
    <n v="4"/>
    <x v="1"/>
    <x v="2"/>
    <x v="1"/>
    <x v="1"/>
    <n v="33"/>
    <x v="1"/>
    <x v="5"/>
  </r>
  <r>
    <n v="1859"/>
    <n v="22"/>
    <x v="0"/>
    <x v="18"/>
    <x v="3"/>
    <n v="69"/>
    <x v="1"/>
    <x v="1"/>
    <s v="Peach"/>
    <x v="1"/>
    <n v="4.9000000000000004"/>
    <x v="1"/>
    <x v="4"/>
    <x v="1"/>
    <x v="1"/>
    <n v="8"/>
    <x v="5"/>
    <x v="2"/>
  </r>
  <r>
    <n v="1860"/>
    <n v="54"/>
    <x v="0"/>
    <x v="22"/>
    <x v="3"/>
    <n v="26"/>
    <x v="32"/>
    <x v="0"/>
    <s v="Beige"/>
    <x v="2"/>
    <n v="3.7"/>
    <x v="1"/>
    <x v="5"/>
    <x v="1"/>
    <x v="1"/>
    <n v="29"/>
    <x v="5"/>
    <x v="0"/>
  </r>
  <r>
    <n v="1861"/>
    <n v="18"/>
    <x v="0"/>
    <x v="17"/>
    <x v="0"/>
    <n v="64"/>
    <x v="23"/>
    <x v="2"/>
    <s v="Silver"/>
    <x v="2"/>
    <n v="4.8"/>
    <x v="1"/>
    <x v="2"/>
    <x v="1"/>
    <x v="1"/>
    <n v="4"/>
    <x v="2"/>
    <x v="5"/>
  </r>
  <r>
    <n v="1862"/>
    <n v="29"/>
    <x v="0"/>
    <x v="4"/>
    <x v="1"/>
    <n v="60"/>
    <x v="45"/>
    <x v="1"/>
    <s v="Peach"/>
    <x v="3"/>
    <n v="3.6"/>
    <x v="1"/>
    <x v="3"/>
    <x v="1"/>
    <x v="1"/>
    <n v="19"/>
    <x v="5"/>
    <x v="5"/>
  </r>
  <r>
    <n v="1863"/>
    <n v="59"/>
    <x v="0"/>
    <x v="24"/>
    <x v="3"/>
    <n v="36"/>
    <x v="13"/>
    <x v="2"/>
    <s v="Turquoise"/>
    <x v="0"/>
    <n v="4.5999999999999996"/>
    <x v="1"/>
    <x v="0"/>
    <x v="1"/>
    <x v="1"/>
    <n v="10"/>
    <x v="3"/>
    <x v="0"/>
  </r>
  <r>
    <n v="1864"/>
    <n v="25"/>
    <x v="0"/>
    <x v="3"/>
    <x v="1"/>
    <n v="21"/>
    <x v="39"/>
    <x v="0"/>
    <s v="Orange"/>
    <x v="1"/>
    <n v="4.3"/>
    <x v="1"/>
    <x v="4"/>
    <x v="1"/>
    <x v="1"/>
    <n v="39"/>
    <x v="5"/>
    <x v="5"/>
  </r>
  <r>
    <n v="1865"/>
    <n v="19"/>
    <x v="0"/>
    <x v="21"/>
    <x v="3"/>
    <n v="72"/>
    <x v="5"/>
    <x v="1"/>
    <s v="Cyan"/>
    <x v="3"/>
    <n v="3.2"/>
    <x v="1"/>
    <x v="4"/>
    <x v="1"/>
    <x v="1"/>
    <n v="21"/>
    <x v="0"/>
    <x v="3"/>
  </r>
  <r>
    <n v="1866"/>
    <n v="56"/>
    <x v="0"/>
    <x v="13"/>
    <x v="0"/>
    <n v="62"/>
    <x v="9"/>
    <x v="1"/>
    <s v="Silver"/>
    <x v="2"/>
    <n v="3.8"/>
    <x v="1"/>
    <x v="5"/>
    <x v="1"/>
    <x v="1"/>
    <n v="12"/>
    <x v="4"/>
    <x v="5"/>
  </r>
  <r>
    <n v="1867"/>
    <n v="31"/>
    <x v="0"/>
    <x v="17"/>
    <x v="0"/>
    <n v="44"/>
    <x v="29"/>
    <x v="3"/>
    <s v="Gold"/>
    <x v="0"/>
    <n v="4.2"/>
    <x v="1"/>
    <x v="3"/>
    <x v="1"/>
    <x v="1"/>
    <n v="9"/>
    <x v="2"/>
    <x v="0"/>
  </r>
  <r>
    <n v="1868"/>
    <n v="45"/>
    <x v="0"/>
    <x v="11"/>
    <x v="0"/>
    <n v="52"/>
    <x v="12"/>
    <x v="2"/>
    <s v="Brown"/>
    <x v="3"/>
    <n v="3.4"/>
    <x v="1"/>
    <x v="4"/>
    <x v="1"/>
    <x v="1"/>
    <n v="20"/>
    <x v="0"/>
    <x v="3"/>
  </r>
  <r>
    <n v="1869"/>
    <n v="23"/>
    <x v="0"/>
    <x v="24"/>
    <x v="3"/>
    <n v="58"/>
    <x v="27"/>
    <x v="2"/>
    <s v="Silver"/>
    <x v="1"/>
    <n v="4.7"/>
    <x v="1"/>
    <x v="2"/>
    <x v="1"/>
    <x v="1"/>
    <n v="44"/>
    <x v="1"/>
    <x v="0"/>
  </r>
  <r>
    <n v="1870"/>
    <n v="18"/>
    <x v="0"/>
    <x v="0"/>
    <x v="0"/>
    <n v="77"/>
    <x v="8"/>
    <x v="1"/>
    <s v="Beige"/>
    <x v="1"/>
    <n v="3.9"/>
    <x v="1"/>
    <x v="4"/>
    <x v="1"/>
    <x v="1"/>
    <n v="16"/>
    <x v="5"/>
    <x v="6"/>
  </r>
  <r>
    <n v="1871"/>
    <n v="43"/>
    <x v="0"/>
    <x v="0"/>
    <x v="0"/>
    <n v="99"/>
    <x v="5"/>
    <x v="0"/>
    <s v="Violet"/>
    <x v="1"/>
    <n v="4.3"/>
    <x v="1"/>
    <x v="5"/>
    <x v="1"/>
    <x v="1"/>
    <n v="27"/>
    <x v="5"/>
    <x v="0"/>
  </r>
  <r>
    <n v="1872"/>
    <n v="56"/>
    <x v="0"/>
    <x v="2"/>
    <x v="0"/>
    <n v="96"/>
    <x v="26"/>
    <x v="3"/>
    <s v="Violet"/>
    <x v="3"/>
    <n v="2.7"/>
    <x v="1"/>
    <x v="3"/>
    <x v="1"/>
    <x v="1"/>
    <n v="14"/>
    <x v="1"/>
    <x v="6"/>
  </r>
  <r>
    <n v="1873"/>
    <n v="43"/>
    <x v="0"/>
    <x v="17"/>
    <x v="0"/>
    <n v="64"/>
    <x v="29"/>
    <x v="2"/>
    <s v="Lavender"/>
    <x v="2"/>
    <n v="4.5999999999999996"/>
    <x v="1"/>
    <x v="3"/>
    <x v="1"/>
    <x v="1"/>
    <n v="24"/>
    <x v="2"/>
    <x v="5"/>
  </r>
  <r>
    <n v="1874"/>
    <n v="64"/>
    <x v="0"/>
    <x v="1"/>
    <x v="0"/>
    <n v="44"/>
    <x v="48"/>
    <x v="3"/>
    <s v="Red"/>
    <x v="3"/>
    <n v="2.9"/>
    <x v="1"/>
    <x v="0"/>
    <x v="1"/>
    <x v="1"/>
    <n v="49"/>
    <x v="4"/>
    <x v="1"/>
  </r>
  <r>
    <n v="1875"/>
    <n v="67"/>
    <x v="0"/>
    <x v="13"/>
    <x v="0"/>
    <n v="33"/>
    <x v="27"/>
    <x v="0"/>
    <s v="Purple"/>
    <x v="3"/>
    <n v="3.6"/>
    <x v="1"/>
    <x v="1"/>
    <x v="1"/>
    <x v="1"/>
    <n v="14"/>
    <x v="1"/>
    <x v="1"/>
  </r>
  <r>
    <n v="1876"/>
    <n v="63"/>
    <x v="0"/>
    <x v="23"/>
    <x v="1"/>
    <n v="71"/>
    <x v="30"/>
    <x v="2"/>
    <s v="Brown"/>
    <x v="0"/>
    <n v="3.9"/>
    <x v="1"/>
    <x v="2"/>
    <x v="1"/>
    <x v="1"/>
    <n v="6"/>
    <x v="2"/>
    <x v="3"/>
  </r>
  <r>
    <n v="1877"/>
    <n v="54"/>
    <x v="0"/>
    <x v="11"/>
    <x v="0"/>
    <n v="36"/>
    <x v="26"/>
    <x v="2"/>
    <s v="Gray"/>
    <x v="3"/>
    <n v="2.6"/>
    <x v="1"/>
    <x v="3"/>
    <x v="1"/>
    <x v="1"/>
    <n v="20"/>
    <x v="0"/>
    <x v="3"/>
  </r>
  <r>
    <n v="1878"/>
    <n v="69"/>
    <x v="0"/>
    <x v="24"/>
    <x v="3"/>
    <n v="62"/>
    <x v="38"/>
    <x v="0"/>
    <s v="Pink"/>
    <x v="3"/>
    <n v="3.6"/>
    <x v="1"/>
    <x v="0"/>
    <x v="1"/>
    <x v="1"/>
    <n v="3"/>
    <x v="2"/>
    <x v="2"/>
  </r>
  <r>
    <n v="1879"/>
    <n v="34"/>
    <x v="0"/>
    <x v="20"/>
    <x v="0"/>
    <n v="29"/>
    <x v="19"/>
    <x v="0"/>
    <s v="Magenta"/>
    <x v="2"/>
    <n v="3.4"/>
    <x v="1"/>
    <x v="5"/>
    <x v="1"/>
    <x v="1"/>
    <n v="5"/>
    <x v="2"/>
    <x v="5"/>
  </r>
  <r>
    <n v="1880"/>
    <n v="56"/>
    <x v="0"/>
    <x v="17"/>
    <x v="0"/>
    <n v="33"/>
    <x v="30"/>
    <x v="0"/>
    <s v="Charcoal"/>
    <x v="1"/>
    <n v="3.5"/>
    <x v="1"/>
    <x v="0"/>
    <x v="1"/>
    <x v="1"/>
    <n v="46"/>
    <x v="1"/>
    <x v="4"/>
  </r>
  <r>
    <n v="1881"/>
    <n v="34"/>
    <x v="0"/>
    <x v="0"/>
    <x v="0"/>
    <n v="33"/>
    <x v="32"/>
    <x v="0"/>
    <s v="Yellow"/>
    <x v="3"/>
    <n v="3.1"/>
    <x v="1"/>
    <x v="4"/>
    <x v="1"/>
    <x v="1"/>
    <n v="8"/>
    <x v="5"/>
    <x v="5"/>
  </r>
  <r>
    <n v="1882"/>
    <n v="58"/>
    <x v="0"/>
    <x v="0"/>
    <x v="0"/>
    <n v="41"/>
    <x v="32"/>
    <x v="2"/>
    <s v="Red"/>
    <x v="0"/>
    <n v="4.3"/>
    <x v="1"/>
    <x v="3"/>
    <x v="1"/>
    <x v="1"/>
    <n v="13"/>
    <x v="1"/>
    <x v="4"/>
  </r>
  <r>
    <n v="1883"/>
    <n v="44"/>
    <x v="0"/>
    <x v="18"/>
    <x v="3"/>
    <n v="54"/>
    <x v="30"/>
    <x v="0"/>
    <s v="Blue"/>
    <x v="0"/>
    <n v="5"/>
    <x v="1"/>
    <x v="5"/>
    <x v="1"/>
    <x v="1"/>
    <n v="25"/>
    <x v="4"/>
    <x v="3"/>
  </r>
  <r>
    <n v="1884"/>
    <n v="25"/>
    <x v="0"/>
    <x v="21"/>
    <x v="3"/>
    <n v="58"/>
    <x v="42"/>
    <x v="2"/>
    <s v="Cyan"/>
    <x v="1"/>
    <n v="4.9000000000000004"/>
    <x v="1"/>
    <x v="5"/>
    <x v="1"/>
    <x v="1"/>
    <n v="39"/>
    <x v="5"/>
    <x v="0"/>
  </r>
  <r>
    <n v="1885"/>
    <n v="27"/>
    <x v="0"/>
    <x v="6"/>
    <x v="0"/>
    <n v="30"/>
    <x v="28"/>
    <x v="1"/>
    <s v="Pink"/>
    <x v="2"/>
    <n v="4.3"/>
    <x v="1"/>
    <x v="2"/>
    <x v="1"/>
    <x v="1"/>
    <n v="15"/>
    <x v="4"/>
    <x v="4"/>
  </r>
  <r>
    <n v="1886"/>
    <n v="26"/>
    <x v="0"/>
    <x v="16"/>
    <x v="3"/>
    <n v="53"/>
    <x v="22"/>
    <x v="1"/>
    <s v="Maroon"/>
    <x v="0"/>
    <n v="4.4000000000000004"/>
    <x v="1"/>
    <x v="3"/>
    <x v="1"/>
    <x v="1"/>
    <n v="35"/>
    <x v="1"/>
    <x v="5"/>
  </r>
  <r>
    <n v="1887"/>
    <n v="18"/>
    <x v="0"/>
    <x v="24"/>
    <x v="3"/>
    <n v="91"/>
    <x v="10"/>
    <x v="0"/>
    <s v="Beige"/>
    <x v="1"/>
    <n v="4.4000000000000004"/>
    <x v="1"/>
    <x v="2"/>
    <x v="1"/>
    <x v="1"/>
    <n v="46"/>
    <x v="1"/>
    <x v="4"/>
  </r>
  <r>
    <n v="1888"/>
    <n v="64"/>
    <x v="0"/>
    <x v="15"/>
    <x v="0"/>
    <n v="44"/>
    <x v="25"/>
    <x v="3"/>
    <s v="Gold"/>
    <x v="3"/>
    <n v="3.5"/>
    <x v="1"/>
    <x v="0"/>
    <x v="1"/>
    <x v="1"/>
    <n v="3"/>
    <x v="3"/>
    <x v="5"/>
  </r>
  <r>
    <n v="1889"/>
    <n v="62"/>
    <x v="0"/>
    <x v="15"/>
    <x v="0"/>
    <n v="89"/>
    <x v="45"/>
    <x v="3"/>
    <s v="Turquoise"/>
    <x v="0"/>
    <n v="3.4"/>
    <x v="1"/>
    <x v="1"/>
    <x v="1"/>
    <x v="1"/>
    <n v="48"/>
    <x v="2"/>
    <x v="1"/>
  </r>
  <r>
    <n v="1890"/>
    <n v="59"/>
    <x v="0"/>
    <x v="11"/>
    <x v="0"/>
    <n v="57"/>
    <x v="17"/>
    <x v="0"/>
    <s v="Peach"/>
    <x v="1"/>
    <n v="2.5"/>
    <x v="1"/>
    <x v="2"/>
    <x v="1"/>
    <x v="1"/>
    <n v="27"/>
    <x v="4"/>
    <x v="1"/>
  </r>
  <r>
    <n v="1891"/>
    <n v="36"/>
    <x v="0"/>
    <x v="12"/>
    <x v="3"/>
    <n v="57"/>
    <x v="11"/>
    <x v="2"/>
    <s v="Lavender"/>
    <x v="1"/>
    <n v="3.4"/>
    <x v="1"/>
    <x v="5"/>
    <x v="1"/>
    <x v="1"/>
    <n v="5"/>
    <x v="2"/>
    <x v="1"/>
  </r>
  <r>
    <n v="1892"/>
    <n v="69"/>
    <x v="0"/>
    <x v="16"/>
    <x v="3"/>
    <n v="74"/>
    <x v="13"/>
    <x v="2"/>
    <s v="Gray"/>
    <x v="2"/>
    <n v="2.6"/>
    <x v="1"/>
    <x v="2"/>
    <x v="1"/>
    <x v="1"/>
    <n v="48"/>
    <x v="5"/>
    <x v="3"/>
  </r>
  <r>
    <n v="1893"/>
    <n v="39"/>
    <x v="0"/>
    <x v="14"/>
    <x v="2"/>
    <n v="30"/>
    <x v="18"/>
    <x v="2"/>
    <s v="Blue"/>
    <x v="3"/>
    <n v="4.5999999999999996"/>
    <x v="1"/>
    <x v="4"/>
    <x v="1"/>
    <x v="1"/>
    <n v="12"/>
    <x v="0"/>
    <x v="1"/>
  </r>
  <r>
    <n v="1894"/>
    <n v="28"/>
    <x v="0"/>
    <x v="10"/>
    <x v="0"/>
    <n v="20"/>
    <x v="12"/>
    <x v="0"/>
    <s v="Red"/>
    <x v="2"/>
    <n v="3.7"/>
    <x v="1"/>
    <x v="0"/>
    <x v="1"/>
    <x v="1"/>
    <n v="10"/>
    <x v="3"/>
    <x v="0"/>
  </r>
  <r>
    <n v="1895"/>
    <n v="42"/>
    <x v="0"/>
    <x v="15"/>
    <x v="0"/>
    <n v="90"/>
    <x v="28"/>
    <x v="2"/>
    <s v="Purple"/>
    <x v="3"/>
    <n v="2.5"/>
    <x v="1"/>
    <x v="1"/>
    <x v="1"/>
    <x v="1"/>
    <n v="48"/>
    <x v="5"/>
    <x v="4"/>
  </r>
  <r>
    <n v="1896"/>
    <n v="31"/>
    <x v="0"/>
    <x v="2"/>
    <x v="0"/>
    <n v="61"/>
    <x v="47"/>
    <x v="0"/>
    <s v="Indigo"/>
    <x v="3"/>
    <n v="4.5"/>
    <x v="1"/>
    <x v="0"/>
    <x v="1"/>
    <x v="1"/>
    <n v="3"/>
    <x v="5"/>
    <x v="5"/>
  </r>
  <r>
    <n v="1897"/>
    <n v="57"/>
    <x v="0"/>
    <x v="3"/>
    <x v="1"/>
    <n v="51"/>
    <x v="22"/>
    <x v="2"/>
    <s v="Gold"/>
    <x v="3"/>
    <n v="2.9"/>
    <x v="1"/>
    <x v="3"/>
    <x v="1"/>
    <x v="1"/>
    <n v="19"/>
    <x v="0"/>
    <x v="5"/>
  </r>
  <r>
    <n v="1898"/>
    <n v="53"/>
    <x v="0"/>
    <x v="12"/>
    <x v="3"/>
    <n v="97"/>
    <x v="29"/>
    <x v="0"/>
    <s v="Teal"/>
    <x v="0"/>
    <n v="2.9"/>
    <x v="1"/>
    <x v="1"/>
    <x v="1"/>
    <x v="1"/>
    <n v="11"/>
    <x v="5"/>
    <x v="0"/>
  </r>
  <r>
    <n v="1899"/>
    <n v="59"/>
    <x v="0"/>
    <x v="13"/>
    <x v="0"/>
    <n v="97"/>
    <x v="21"/>
    <x v="0"/>
    <s v="Magenta"/>
    <x v="3"/>
    <n v="3.5"/>
    <x v="1"/>
    <x v="2"/>
    <x v="1"/>
    <x v="1"/>
    <n v="25"/>
    <x v="0"/>
    <x v="5"/>
  </r>
  <r>
    <n v="1900"/>
    <n v="32"/>
    <x v="0"/>
    <x v="6"/>
    <x v="0"/>
    <n v="40"/>
    <x v="14"/>
    <x v="0"/>
    <s v="Maroon"/>
    <x v="0"/>
    <n v="4.2"/>
    <x v="1"/>
    <x v="5"/>
    <x v="1"/>
    <x v="1"/>
    <n v="42"/>
    <x v="3"/>
    <x v="1"/>
  </r>
  <r>
    <n v="1901"/>
    <n v="65"/>
    <x v="0"/>
    <x v="16"/>
    <x v="3"/>
    <n v="85"/>
    <x v="44"/>
    <x v="1"/>
    <s v="Blue"/>
    <x v="2"/>
    <n v="3.3"/>
    <x v="1"/>
    <x v="1"/>
    <x v="1"/>
    <x v="1"/>
    <n v="34"/>
    <x v="1"/>
    <x v="3"/>
  </r>
  <r>
    <n v="1902"/>
    <n v="56"/>
    <x v="0"/>
    <x v="20"/>
    <x v="0"/>
    <n v="76"/>
    <x v="28"/>
    <x v="1"/>
    <s v="Beige"/>
    <x v="0"/>
    <n v="3.9"/>
    <x v="1"/>
    <x v="5"/>
    <x v="1"/>
    <x v="1"/>
    <n v="50"/>
    <x v="1"/>
    <x v="3"/>
  </r>
  <r>
    <n v="1903"/>
    <n v="31"/>
    <x v="0"/>
    <x v="3"/>
    <x v="1"/>
    <n v="22"/>
    <x v="35"/>
    <x v="1"/>
    <s v="Olive"/>
    <x v="1"/>
    <n v="5"/>
    <x v="1"/>
    <x v="5"/>
    <x v="1"/>
    <x v="1"/>
    <n v="21"/>
    <x v="0"/>
    <x v="5"/>
  </r>
  <r>
    <n v="1904"/>
    <n v="59"/>
    <x v="0"/>
    <x v="13"/>
    <x v="0"/>
    <n v="63"/>
    <x v="17"/>
    <x v="2"/>
    <s v="Gold"/>
    <x v="2"/>
    <n v="3.3"/>
    <x v="1"/>
    <x v="3"/>
    <x v="1"/>
    <x v="1"/>
    <n v="37"/>
    <x v="4"/>
    <x v="1"/>
  </r>
  <r>
    <n v="1905"/>
    <n v="22"/>
    <x v="0"/>
    <x v="17"/>
    <x v="0"/>
    <n v="71"/>
    <x v="22"/>
    <x v="1"/>
    <s v="Silver"/>
    <x v="1"/>
    <n v="4.2"/>
    <x v="1"/>
    <x v="1"/>
    <x v="1"/>
    <x v="1"/>
    <n v="46"/>
    <x v="1"/>
    <x v="5"/>
  </r>
  <r>
    <n v="1906"/>
    <n v="47"/>
    <x v="0"/>
    <x v="23"/>
    <x v="1"/>
    <n v="35"/>
    <x v="37"/>
    <x v="2"/>
    <s v="Teal"/>
    <x v="2"/>
    <n v="4.9000000000000004"/>
    <x v="1"/>
    <x v="4"/>
    <x v="1"/>
    <x v="1"/>
    <n v="14"/>
    <x v="4"/>
    <x v="0"/>
  </r>
  <r>
    <n v="1907"/>
    <n v="23"/>
    <x v="0"/>
    <x v="21"/>
    <x v="3"/>
    <n v="30"/>
    <x v="34"/>
    <x v="2"/>
    <s v="Green"/>
    <x v="1"/>
    <n v="4.5999999999999996"/>
    <x v="1"/>
    <x v="4"/>
    <x v="1"/>
    <x v="1"/>
    <n v="24"/>
    <x v="3"/>
    <x v="0"/>
  </r>
  <r>
    <n v="1908"/>
    <n v="69"/>
    <x v="0"/>
    <x v="11"/>
    <x v="0"/>
    <n v="74"/>
    <x v="35"/>
    <x v="0"/>
    <s v="Orange"/>
    <x v="3"/>
    <n v="4.8"/>
    <x v="1"/>
    <x v="5"/>
    <x v="1"/>
    <x v="1"/>
    <n v="36"/>
    <x v="2"/>
    <x v="6"/>
  </r>
  <r>
    <n v="1909"/>
    <n v="18"/>
    <x v="0"/>
    <x v="18"/>
    <x v="3"/>
    <n v="71"/>
    <x v="42"/>
    <x v="3"/>
    <s v="Charcoal"/>
    <x v="0"/>
    <n v="2.7"/>
    <x v="1"/>
    <x v="2"/>
    <x v="1"/>
    <x v="1"/>
    <n v="19"/>
    <x v="5"/>
    <x v="4"/>
  </r>
  <r>
    <n v="1910"/>
    <n v="50"/>
    <x v="0"/>
    <x v="1"/>
    <x v="0"/>
    <n v="84"/>
    <x v="0"/>
    <x v="1"/>
    <s v="Black"/>
    <x v="1"/>
    <n v="4.3"/>
    <x v="1"/>
    <x v="5"/>
    <x v="1"/>
    <x v="1"/>
    <n v="12"/>
    <x v="2"/>
    <x v="5"/>
  </r>
  <r>
    <n v="1911"/>
    <n v="29"/>
    <x v="0"/>
    <x v="3"/>
    <x v="1"/>
    <n v="38"/>
    <x v="14"/>
    <x v="1"/>
    <s v="Yellow"/>
    <x v="3"/>
    <n v="3.8"/>
    <x v="1"/>
    <x v="0"/>
    <x v="1"/>
    <x v="1"/>
    <n v="13"/>
    <x v="5"/>
    <x v="3"/>
  </r>
  <r>
    <n v="1912"/>
    <n v="65"/>
    <x v="0"/>
    <x v="16"/>
    <x v="3"/>
    <n v="81"/>
    <x v="28"/>
    <x v="2"/>
    <s v="Gray"/>
    <x v="1"/>
    <n v="4.9000000000000004"/>
    <x v="1"/>
    <x v="0"/>
    <x v="1"/>
    <x v="1"/>
    <n v="32"/>
    <x v="5"/>
    <x v="4"/>
  </r>
  <r>
    <n v="1913"/>
    <n v="29"/>
    <x v="0"/>
    <x v="1"/>
    <x v="0"/>
    <n v="56"/>
    <x v="24"/>
    <x v="1"/>
    <s v="Charcoal"/>
    <x v="0"/>
    <n v="3.4"/>
    <x v="1"/>
    <x v="4"/>
    <x v="1"/>
    <x v="1"/>
    <n v="5"/>
    <x v="2"/>
    <x v="4"/>
  </r>
  <r>
    <n v="1914"/>
    <n v="49"/>
    <x v="0"/>
    <x v="11"/>
    <x v="0"/>
    <n v="48"/>
    <x v="0"/>
    <x v="2"/>
    <s v="Peach"/>
    <x v="0"/>
    <n v="3.6"/>
    <x v="1"/>
    <x v="0"/>
    <x v="1"/>
    <x v="1"/>
    <n v="29"/>
    <x v="1"/>
    <x v="2"/>
  </r>
  <r>
    <n v="1915"/>
    <n v="28"/>
    <x v="0"/>
    <x v="6"/>
    <x v="0"/>
    <n v="97"/>
    <x v="29"/>
    <x v="0"/>
    <s v="Green"/>
    <x v="3"/>
    <n v="3.4"/>
    <x v="1"/>
    <x v="3"/>
    <x v="1"/>
    <x v="1"/>
    <n v="40"/>
    <x v="2"/>
    <x v="0"/>
  </r>
  <r>
    <n v="1916"/>
    <n v="51"/>
    <x v="0"/>
    <x v="21"/>
    <x v="3"/>
    <n v="74"/>
    <x v="15"/>
    <x v="2"/>
    <s v="Magenta"/>
    <x v="3"/>
    <n v="4.7"/>
    <x v="1"/>
    <x v="4"/>
    <x v="1"/>
    <x v="1"/>
    <n v="44"/>
    <x v="1"/>
    <x v="1"/>
  </r>
  <r>
    <n v="1917"/>
    <n v="26"/>
    <x v="0"/>
    <x v="15"/>
    <x v="0"/>
    <n v="50"/>
    <x v="39"/>
    <x v="1"/>
    <s v="Beige"/>
    <x v="0"/>
    <n v="3"/>
    <x v="1"/>
    <x v="2"/>
    <x v="1"/>
    <x v="1"/>
    <n v="3"/>
    <x v="5"/>
    <x v="4"/>
  </r>
  <r>
    <n v="1918"/>
    <n v="38"/>
    <x v="0"/>
    <x v="11"/>
    <x v="0"/>
    <n v="71"/>
    <x v="11"/>
    <x v="0"/>
    <s v="Black"/>
    <x v="0"/>
    <n v="3.4"/>
    <x v="1"/>
    <x v="1"/>
    <x v="1"/>
    <x v="1"/>
    <n v="35"/>
    <x v="3"/>
    <x v="4"/>
  </r>
  <r>
    <n v="1919"/>
    <n v="35"/>
    <x v="0"/>
    <x v="11"/>
    <x v="0"/>
    <n v="33"/>
    <x v="37"/>
    <x v="1"/>
    <s v="Purple"/>
    <x v="2"/>
    <n v="4.5999999999999996"/>
    <x v="1"/>
    <x v="3"/>
    <x v="1"/>
    <x v="1"/>
    <n v="33"/>
    <x v="5"/>
    <x v="5"/>
  </r>
  <r>
    <n v="1920"/>
    <n v="34"/>
    <x v="0"/>
    <x v="21"/>
    <x v="3"/>
    <n v="56"/>
    <x v="41"/>
    <x v="2"/>
    <s v="Olive"/>
    <x v="2"/>
    <n v="3.1"/>
    <x v="1"/>
    <x v="0"/>
    <x v="1"/>
    <x v="1"/>
    <n v="20"/>
    <x v="3"/>
    <x v="4"/>
  </r>
  <r>
    <n v="1921"/>
    <n v="51"/>
    <x v="0"/>
    <x v="0"/>
    <x v="0"/>
    <n v="84"/>
    <x v="39"/>
    <x v="2"/>
    <s v="Purple"/>
    <x v="1"/>
    <n v="2.8"/>
    <x v="1"/>
    <x v="3"/>
    <x v="1"/>
    <x v="1"/>
    <n v="40"/>
    <x v="1"/>
    <x v="6"/>
  </r>
  <r>
    <n v="1922"/>
    <n v="47"/>
    <x v="0"/>
    <x v="5"/>
    <x v="0"/>
    <n v="36"/>
    <x v="49"/>
    <x v="2"/>
    <s v="Green"/>
    <x v="3"/>
    <n v="3.5"/>
    <x v="1"/>
    <x v="5"/>
    <x v="1"/>
    <x v="1"/>
    <n v="13"/>
    <x v="0"/>
    <x v="2"/>
  </r>
  <r>
    <n v="1923"/>
    <n v="18"/>
    <x v="0"/>
    <x v="24"/>
    <x v="3"/>
    <n v="63"/>
    <x v="0"/>
    <x v="1"/>
    <s v="Peach"/>
    <x v="2"/>
    <n v="4.5999999999999996"/>
    <x v="1"/>
    <x v="3"/>
    <x v="1"/>
    <x v="1"/>
    <n v="9"/>
    <x v="3"/>
    <x v="5"/>
  </r>
  <r>
    <n v="1924"/>
    <n v="64"/>
    <x v="0"/>
    <x v="3"/>
    <x v="1"/>
    <n v="36"/>
    <x v="43"/>
    <x v="3"/>
    <s v="Blue"/>
    <x v="2"/>
    <n v="4.3"/>
    <x v="1"/>
    <x v="3"/>
    <x v="1"/>
    <x v="1"/>
    <n v="7"/>
    <x v="1"/>
    <x v="2"/>
  </r>
  <r>
    <n v="1925"/>
    <n v="30"/>
    <x v="0"/>
    <x v="14"/>
    <x v="2"/>
    <n v="63"/>
    <x v="49"/>
    <x v="2"/>
    <s v="Gray"/>
    <x v="3"/>
    <n v="4.8"/>
    <x v="1"/>
    <x v="1"/>
    <x v="1"/>
    <x v="1"/>
    <n v="42"/>
    <x v="3"/>
    <x v="3"/>
  </r>
  <r>
    <n v="1926"/>
    <n v="59"/>
    <x v="0"/>
    <x v="4"/>
    <x v="1"/>
    <n v="32"/>
    <x v="40"/>
    <x v="0"/>
    <s v="Black"/>
    <x v="0"/>
    <n v="2.9"/>
    <x v="1"/>
    <x v="0"/>
    <x v="1"/>
    <x v="1"/>
    <n v="44"/>
    <x v="2"/>
    <x v="0"/>
  </r>
  <r>
    <n v="1927"/>
    <n v="66"/>
    <x v="0"/>
    <x v="21"/>
    <x v="3"/>
    <n v="93"/>
    <x v="35"/>
    <x v="2"/>
    <s v="Silver"/>
    <x v="1"/>
    <n v="3"/>
    <x v="1"/>
    <x v="0"/>
    <x v="1"/>
    <x v="1"/>
    <n v="6"/>
    <x v="3"/>
    <x v="2"/>
  </r>
  <r>
    <n v="1928"/>
    <n v="40"/>
    <x v="0"/>
    <x v="13"/>
    <x v="0"/>
    <n v="29"/>
    <x v="20"/>
    <x v="2"/>
    <s v="Pink"/>
    <x v="2"/>
    <n v="2.9"/>
    <x v="1"/>
    <x v="3"/>
    <x v="1"/>
    <x v="1"/>
    <n v="8"/>
    <x v="1"/>
    <x v="6"/>
  </r>
  <r>
    <n v="1929"/>
    <n v="25"/>
    <x v="0"/>
    <x v="12"/>
    <x v="3"/>
    <n v="92"/>
    <x v="16"/>
    <x v="1"/>
    <s v="Lavender"/>
    <x v="2"/>
    <n v="3.7"/>
    <x v="1"/>
    <x v="3"/>
    <x v="1"/>
    <x v="1"/>
    <n v="10"/>
    <x v="3"/>
    <x v="1"/>
  </r>
  <r>
    <n v="1930"/>
    <n v="59"/>
    <x v="0"/>
    <x v="2"/>
    <x v="0"/>
    <n v="33"/>
    <x v="11"/>
    <x v="0"/>
    <s v="Brown"/>
    <x v="3"/>
    <n v="4.7"/>
    <x v="1"/>
    <x v="3"/>
    <x v="1"/>
    <x v="1"/>
    <n v="46"/>
    <x v="0"/>
    <x v="3"/>
  </r>
  <r>
    <n v="1931"/>
    <n v="66"/>
    <x v="0"/>
    <x v="13"/>
    <x v="0"/>
    <n v="52"/>
    <x v="17"/>
    <x v="0"/>
    <s v="Turquoise"/>
    <x v="1"/>
    <n v="3.5"/>
    <x v="1"/>
    <x v="5"/>
    <x v="1"/>
    <x v="1"/>
    <n v="26"/>
    <x v="1"/>
    <x v="1"/>
  </r>
  <r>
    <n v="1932"/>
    <n v="54"/>
    <x v="0"/>
    <x v="16"/>
    <x v="3"/>
    <n v="42"/>
    <x v="26"/>
    <x v="1"/>
    <s v="Olive"/>
    <x v="1"/>
    <n v="2.7"/>
    <x v="1"/>
    <x v="5"/>
    <x v="1"/>
    <x v="1"/>
    <n v="6"/>
    <x v="5"/>
    <x v="6"/>
  </r>
  <r>
    <n v="1933"/>
    <n v="42"/>
    <x v="0"/>
    <x v="15"/>
    <x v="0"/>
    <n v="36"/>
    <x v="33"/>
    <x v="2"/>
    <s v="White"/>
    <x v="1"/>
    <n v="5"/>
    <x v="1"/>
    <x v="1"/>
    <x v="1"/>
    <x v="1"/>
    <n v="47"/>
    <x v="2"/>
    <x v="6"/>
  </r>
  <r>
    <n v="1934"/>
    <n v="48"/>
    <x v="0"/>
    <x v="3"/>
    <x v="1"/>
    <n v="67"/>
    <x v="6"/>
    <x v="0"/>
    <s v="Violet"/>
    <x v="2"/>
    <n v="4.0999999999999996"/>
    <x v="1"/>
    <x v="2"/>
    <x v="1"/>
    <x v="1"/>
    <n v="28"/>
    <x v="0"/>
    <x v="2"/>
  </r>
  <r>
    <n v="1935"/>
    <n v="34"/>
    <x v="0"/>
    <x v="14"/>
    <x v="2"/>
    <n v="43"/>
    <x v="49"/>
    <x v="0"/>
    <s v="Gold"/>
    <x v="0"/>
    <n v="2.7"/>
    <x v="1"/>
    <x v="1"/>
    <x v="1"/>
    <x v="1"/>
    <n v="23"/>
    <x v="4"/>
    <x v="2"/>
  </r>
  <r>
    <n v="1936"/>
    <n v="19"/>
    <x v="0"/>
    <x v="0"/>
    <x v="0"/>
    <n v="68"/>
    <x v="17"/>
    <x v="3"/>
    <s v="Violet"/>
    <x v="1"/>
    <n v="4.8"/>
    <x v="1"/>
    <x v="1"/>
    <x v="1"/>
    <x v="1"/>
    <n v="45"/>
    <x v="1"/>
    <x v="0"/>
  </r>
  <r>
    <n v="1937"/>
    <n v="70"/>
    <x v="0"/>
    <x v="16"/>
    <x v="3"/>
    <n v="60"/>
    <x v="46"/>
    <x v="1"/>
    <s v="Teal"/>
    <x v="2"/>
    <n v="4.3"/>
    <x v="1"/>
    <x v="4"/>
    <x v="1"/>
    <x v="1"/>
    <n v="44"/>
    <x v="3"/>
    <x v="6"/>
  </r>
  <r>
    <n v="1938"/>
    <n v="43"/>
    <x v="0"/>
    <x v="20"/>
    <x v="0"/>
    <n v="53"/>
    <x v="12"/>
    <x v="2"/>
    <s v="Olive"/>
    <x v="2"/>
    <n v="4.5"/>
    <x v="1"/>
    <x v="4"/>
    <x v="1"/>
    <x v="1"/>
    <n v="11"/>
    <x v="4"/>
    <x v="5"/>
  </r>
  <r>
    <n v="1939"/>
    <n v="46"/>
    <x v="0"/>
    <x v="2"/>
    <x v="0"/>
    <n v="23"/>
    <x v="0"/>
    <x v="0"/>
    <s v="Blue"/>
    <x v="1"/>
    <n v="3.8"/>
    <x v="1"/>
    <x v="3"/>
    <x v="1"/>
    <x v="1"/>
    <n v="39"/>
    <x v="5"/>
    <x v="4"/>
  </r>
  <r>
    <n v="1940"/>
    <n v="66"/>
    <x v="0"/>
    <x v="24"/>
    <x v="3"/>
    <n v="57"/>
    <x v="31"/>
    <x v="0"/>
    <s v="Magenta"/>
    <x v="0"/>
    <n v="3.7"/>
    <x v="1"/>
    <x v="5"/>
    <x v="1"/>
    <x v="1"/>
    <n v="20"/>
    <x v="3"/>
    <x v="6"/>
  </r>
  <r>
    <n v="1941"/>
    <n v="50"/>
    <x v="0"/>
    <x v="19"/>
    <x v="3"/>
    <n v="89"/>
    <x v="29"/>
    <x v="0"/>
    <s v="Gray"/>
    <x v="3"/>
    <n v="3.9"/>
    <x v="1"/>
    <x v="4"/>
    <x v="1"/>
    <x v="1"/>
    <n v="48"/>
    <x v="3"/>
    <x v="0"/>
  </r>
  <r>
    <n v="1942"/>
    <n v="55"/>
    <x v="0"/>
    <x v="9"/>
    <x v="1"/>
    <n v="99"/>
    <x v="34"/>
    <x v="3"/>
    <s v="Peach"/>
    <x v="0"/>
    <n v="3.3"/>
    <x v="1"/>
    <x v="3"/>
    <x v="1"/>
    <x v="1"/>
    <n v="46"/>
    <x v="2"/>
    <x v="3"/>
  </r>
  <r>
    <n v="1943"/>
    <n v="63"/>
    <x v="0"/>
    <x v="13"/>
    <x v="0"/>
    <n v="28"/>
    <x v="15"/>
    <x v="2"/>
    <s v="Cyan"/>
    <x v="3"/>
    <n v="3.4"/>
    <x v="1"/>
    <x v="0"/>
    <x v="1"/>
    <x v="1"/>
    <n v="22"/>
    <x v="3"/>
    <x v="5"/>
  </r>
  <r>
    <n v="1944"/>
    <n v="32"/>
    <x v="0"/>
    <x v="20"/>
    <x v="0"/>
    <n v="53"/>
    <x v="48"/>
    <x v="0"/>
    <s v="Violet"/>
    <x v="2"/>
    <n v="3.8"/>
    <x v="1"/>
    <x v="2"/>
    <x v="1"/>
    <x v="1"/>
    <n v="45"/>
    <x v="1"/>
    <x v="2"/>
  </r>
  <r>
    <n v="1945"/>
    <n v="30"/>
    <x v="0"/>
    <x v="15"/>
    <x v="0"/>
    <n v="45"/>
    <x v="10"/>
    <x v="2"/>
    <s v="Gold"/>
    <x v="0"/>
    <n v="2.7"/>
    <x v="1"/>
    <x v="1"/>
    <x v="1"/>
    <x v="1"/>
    <n v="49"/>
    <x v="1"/>
    <x v="6"/>
  </r>
  <r>
    <n v="1946"/>
    <n v="35"/>
    <x v="0"/>
    <x v="15"/>
    <x v="0"/>
    <n v="38"/>
    <x v="42"/>
    <x v="2"/>
    <s v="Gold"/>
    <x v="0"/>
    <n v="2.9"/>
    <x v="1"/>
    <x v="4"/>
    <x v="1"/>
    <x v="1"/>
    <n v="9"/>
    <x v="2"/>
    <x v="6"/>
  </r>
  <r>
    <n v="1947"/>
    <n v="59"/>
    <x v="0"/>
    <x v="13"/>
    <x v="0"/>
    <n v="49"/>
    <x v="7"/>
    <x v="2"/>
    <s v="White"/>
    <x v="2"/>
    <n v="4.5"/>
    <x v="1"/>
    <x v="3"/>
    <x v="1"/>
    <x v="1"/>
    <n v="41"/>
    <x v="2"/>
    <x v="3"/>
  </r>
  <r>
    <n v="1948"/>
    <n v="59"/>
    <x v="0"/>
    <x v="5"/>
    <x v="0"/>
    <n v="32"/>
    <x v="14"/>
    <x v="2"/>
    <s v="Gray"/>
    <x v="2"/>
    <n v="2.6"/>
    <x v="1"/>
    <x v="5"/>
    <x v="1"/>
    <x v="1"/>
    <n v="2"/>
    <x v="3"/>
    <x v="5"/>
  </r>
  <r>
    <n v="1949"/>
    <n v="54"/>
    <x v="0"/>
    <x v="17"/>
    <x v="0"/>
    <n v="37"/>
    <x v="39"/>
    <x v="0"/>
    <s v="Brown"/>
    <x v="0"/>
    <n v="3.1"/>
    <x v="1"/>
    <x v="2"/>
    <x v="1"/>
    <x v="1"/>
    <n v="39"/>
    <x v="3"/>
    <x v="4"/>
  </r>
  <r>
    <n v="1950"/>
    <n v="63"/>
    <x v="0"/>
    <x v="10"/>
    <x v="0"/>
    <n v="80"/>
    <x v="43"/>
    <x v="0"/>
    <s v="Gray"/>
    <x v="0"/>
    <n v="4.7"/>
    <x v="1"/>
    <x v="5"/>
    <x v="1"/>
    <x v="1"/>
    <n v="12"/>
    <x v="3"/>
    <x v="3"/>
  </r>
  <r>
    <n v="1951"/>
    <n v="43"/>
    <x v="0"/>
    <x v="21"/>
    <x v="3"/>
    <n v="78"/>
    <x v="10"/>
    <x v="0"/>
    <s v="Blue"/>
    <x v="2"/>
    <n v="4.5999999999999996"/>
    <x v="1"/>
    <x v="1"/>
    <x v="1"/>
    <x v="1"/>
    <n v="26"/>
    <x v="3"/>
    <x v="6"/>
  </r>
  <r>
    <n v="1952"/>
    <n v="33"/>
    <x v="0"/>
    <x v="24"/>
    <x v="3"/>
    <n v="53"/>
    <x v="39"/>
    <x v="0"/>
    <s v="Gold"/>
    <x v="2"/>
    <n v="2.7"/>
    <x v="1"/>
    <x v="2"/>
    <x v="1"/>
    <x v="1"/>
    <n v="32"/>
    <x v="4"/>
    <x v="4"/>
  </r>
  <r>
    <n v="1953"/>
    <n v="57"/>
    <x v="0"/>
    <x v="9"/>
    <x v="1"/>
    <n v="82"/>
    <x v="33"/>
    <x v="0"/>
    <s v="Yellow"/>
    <x v="2"/>
    <n v="4.5999999999999996"/>
    <x v="1"/>
    <x v="4"/>
    <x v="1"/>
    <x v="1"/>
    <n v="50"/>
    <x v="1"/>
    <x v="4"/>
  </r>
  <r>
    <n v="1954"/>
    <n v="25"/>
    <x v="0"/>
    <x v="11"/>
    <x v="0"/>
    <n v="33"/>
    <x v="24"/>
    <x v="3"/>
    <s v="Green"/>
    <x v="1"/>
    <n v="4.8"/>
    <x v="1"/>
    <x v="3"/>
    <x v="1"/>
    <x v="1"/>
    <n v="3"/>
    <x v="3"/>
    <x v="0"/>
  </r>
  <r>
    <n v="1955"/>
    <n v="26"/>
    <x v="0"/>
    <x v="24"/>
    <x v="3"/>
    <n v="77"/>
    <x v="24"/>
    <x v="2"/>
    <s v="Pink"/>
    <x v="0"/>
    <n v="4.2"/>
    <x v="1"/>
    <x v="1"/>
    <x v="1"/>
    <x v="1"/>
    <n v="3"/>
    <x v="0"/>
    <x v="3"/>
  </r>
  <r>
    <n v="1956"/>
    <n v="50"/>
    <x v="0"/>
    <x v="15"/>
    <x v="0"/>
    <n v="56"/>
    <x v="1"/>
    <x v="2"/>
    <s v="Pink"/>
    <x v="0"/>
    <n v="4.9000000000000004"/>
    <x v="1"/>
    <x v="0"/>
    <x v="1"/>
    <x v="1"/>
    <n v="37"/>
    <x v="1"/>
    <x v="5"/>
  </r>
  <r>
    <n v="1957"/>
    <n v="70"/>
    <x v="0"/>
    <x v="20"/>
    <x v="0"/>
    <n v="37"/>
    <x v="19"/>
    <x v="2"/>
    <s v="Pink"/>
    <x v="0"/>
    <n v="4.9000000000000004"/>
    <x v="1"/>
    <x v="0"/>
    <x v="1"/>
    <x v="1"/>
    <n v="20"/>
    <x v="2"/>
    <x v="0"/>
  </r>
  <r>
    <n v="1958"/>
    <n v="68"/>
    <x v="0"/>
    <x v="24"/>
    <x v="3"/>
    <n v="54"/>
    <x v="36"/>
    <x v="2"/>
    <s v="Cyan"/>
    <x v="1"/>
    <n v="4.5"/>
    <x v="1"/>
    <x v="5"/>
    <x v="1"/>
    <x v="1"/>
    <n v="26"/>
    <x v="1"/>
    <x v="4"/>
  </r>
  <r>
    <n v="1959"/>
    <n v="39"/>
    <x v="0"/>
    <x v="6"/>
    <x v="0"/>
    <n v="67"/>
    <x v="22"/>
    <x v="2"/>
    <s v="Gray"/>
    <x v="0"/>
    <n v="2.7"/>
    <x v="1"/>
    <x v="5"/>
    <x v="1"/>
    <x v="1"/>
    <n v="47"/>
    <x v="1"/>
    <x v="3"/>
  </r>
  <r>
    <n v="1960"/>
    <n v="46"/>
    <x v="0"/>
    <x v="9"/>
    <x v="1"/>
    <n v="90"/>
    <x v="24"/>
    <x v="2"/>
    <s v="White"/>
    <x v="3"/>
    <n v="3.1"/>
    <x v="1"/>
    <x v="5"/>
    <x v="1"/>
    <x v="1"/>
    <n v="7"/>
    <x v="2"/>
    <x v="6"/>
  </r>
  <r>
    <n v="1961"/>
    <n v="57"/>
    <x v="0"/>
    <x v="2"/>
    <x v="0"/>
    <n v="72"/>
    <x v="2"/>
    <x v="0"/>
    <s v="Red"/>
    <x v="2"/>
    <n v="3.3"/>
    <x v="1"/>
    <x v="4"/>
    <x v="1"/>
    <x v="1"/>
    <n v="40"/>
    <x v="2"/>
    <x v="2"/>
  </r>
  <r>
    <n v="1962"/>
    <n v="47"/>
    <x v="0"/>
    <x v="23"/>
    <x v="1"/>
    <n v="59"/>
    <x v="22"/>
    <x v="0"/>
    <s v="Black"/>
    <x v="2"/>
    <n v="2.6"/>
    <x v="1"/>
    <x v="1"/>
    <x v="1"/>
    <x v="1"/>
    <n v="45"/>
    <x v="5"/>
    <x v="3"/>
  </r>
  <r>
    <n v="1963"/>
    <n v="40"/>
    <x v="0"/>
    <x v="19"/>
    <x v="3"/>
    <n v="45"/>
    <x v="44"/>
    <x v="2"/>
    <s v="Silver"/>
    <x v="3"/>
    <n v="4.4000000000000004"/>
    <x v="1"/>
    <x v="3"/>
    <x v="1"/>
    <x v="1"/>
    <n v="20"/>
    <x v="3"/>
    <x v="0"/>
  </r>
  <r>
    <n v="1964"/>
    <n v="52"/>
    <x v="0"/>
    <x v="6"/>
    <x v="0"/>
    <n v="30"/>
    <x v="49"/>
    <x v="0"/>
    <s v="Pink"/>
    <x v="1"/>
    <n v="3.9"/>
    <x v="1"/>
    <x v="3"/>
    <x v="1"/>
    <x v="1"/>
    <n v="11"/>
    <x v="2"/>
    <x v="1"/>
  </r>
  <r>
    <n v="1965"/>
    <n v="40"/>
    <x v="0"/>
    <x v="13"/>
    <x v="0"/>
    <n v="51"/>
    <x v="8"/>
    <x v="1"/>
    <s v="Cyan"/>
    <x v="2"/>
    <n v="4.5999999999999996"/>
    <x v="1"/>
    <x v="0"/>
    <x v="1"/>
    <x v="1"/>
    <n v="50"/>
    <x v="5"/>
    <x v="5"/>
  </r>
  <r>
    <n v="1966"/>
    <n v="67"/>
    <x v="0"/>
    <x v="1"/>
    <x v="0"/>
    <n v="90"/>
    <x v="27"/>
    <x v="2"/>
    <s v="White"/>
    <x v="3"/>
    <n v="4.9000000000000004"/>
    <x v="1"/>
    <x v="0"/>
    <x v="1"/>
    <x v="1"/>
    <n v="25"/>
    <x v="5"/>
    <x v="3"/>
  </r>
  <r>
    <n v="1967"/>
    <n v="67"/>
    <x v="0"/>
    <x v="14"/>
    <x v="2"/>
    <n v="95"/>
    <x v="27"/>
    <x v="3"/>
    <s v="Purple"/>
    <x v="0"/>
    <n v="3.7"/>
    <x v="1"/>
    <x v="0"/>
    <x v="1"/>
    <x v="1"/>
    <n v="5"/>
    <x v="2"/>
    <x v="0"/>
  </r>
  <r>
    <n v="1968"/>
    <n v="37"/>
    <x v="0"/>
    <x v="10"/>
    <x v="0"/>
    <n v="81"/>
    <x v="42"/>
    <x v="0"/>
    <s v="Yellow"/>
    <x v="3"/>
    <n v="3.7"/>
    <x v="1"/>
    <x v="3"/>
    <x v="1"/>
    <x v="1"/>
    <n v="4"/>
    <x v="0"/>
    <x v="2"/>
  </r>
  <r>
    <n v="1969"/>
    <n v="67"/>
    <x v="0"/>
    <x v="5"/>
    <x v="0"/>
    <n v="70"/>
    <x v="46"/>
    <x v="1"/>
    <s v="Blue"/>
    <x v="1"/>
    <n v="4.2"/>
    <x v="1"/>
    <x v="3"/>
    <x v="1"/>
    <x v="1"/>
    <n v="25"/>
    <x v="2"/>
    <x v="1"/>
  </r>
  <r>
    <n v="1970"/>
    <n v="64"/>
    <x v="0"/>
    <x v="10"/>
    <x v="0"/>
    <n v="32"/>
    <x v="7"/>
    <x v="1"/>
    <s v="Cyan"/>
    <x v="0"/>
    <n v="3.5"/>
    <x v="1"/>
    <x v="2"/>
    <x v="1"/>
    <x v="1"/>
    <n v="11"/>
    <x v="4"/>
    <x v="0"/>
  </r>
  <r>
    <n v="1971"/>
    <n v="28"/>
    <x v="0"/>
    <x v="22"/>
    <x v="3"/>
    <n v="94"/>
    <x v="33"/>
    <x v="2"/>
    <s v="Indigo"/>
    <x v="1"/>
    <n v="2.9"/>
    <x v="1"/>
    <x v="2"/>
    <x v="1"/>
    <x v="1"/>
    <n v="4"/>
    <x v="2"/>
    <x v="4"/>
  </r>
  <r>
    <n v="1972"/>
    <n v="54"/>
    <x v="0"/>
    <x v="19"/>
    <x v="3"/>
    <n v="29"/>
    <x v="38"/>
    <x v="3"/>
    <s v="Indigo"/>
    <x v="1"/>
    <n v="3.4"/>
    <x v="1"/>
    <x v="2"/>
    <x v="1"/>
    <x v="1"/>
    <n v="1"/>
    <x v="0"/>
    <x v="5"/>
  </r>
  <r>
    <n v="1973"/>
    <n v="54"/>
    <x v="0"/>
    <x v="21"/>
    <x v="3"/>
    <n v="31"/>
    <x v="7"/>
    <x v="2"/>
    <s v="Silver"/>
    <x v="2"/>
    <n v="3.3"/>
    <x v="1"/>
    <x v="0"/>
    <x v="1"/>
    <x v="1"/>
    <n v="48"/>
    <x v="3"/>
    <x v="6"/>
  </r>
  <r>
    <n v="1974"/>
    <n v="24"/>
    <x v="0"/>
    <x v="11"/>
    <x v="0"/>
    <n v="20"/>
    <x v="33"/>
    <x v="3"/>
    <s v="Red"/>
    <x v="3"/>
    <n v="4.5"/>
    <x v="1"/>
    <x v="3"/>
    <x v="1"/>
    <x v="1"/>
    <n v="9"/>
    <x v="0"/>
    <x v="6"/>
  </r>
  <r>
    <n v="1975"/>
    <n v="27"/>
    <x v="0"/>
    <x v="24"/>
    <x v="3"/>
    <n v="44"/>
    <x v="30"/>
    <x v="2"/>
    <s v="Peach"/>
    <x v="0"/>
    <n v="4.5999999999999996"/>
    <x v="1"/>
    <x v="4"/>
    <x v="1"/>
    <x v="1"/>
    <n v="2"/>
    <x v="3"/>
    <x v="0"/>
  </r>
  <r>
    <n v="1976"/>
    <n v="53"/>
    <x v="0"/>
    <x v="14"/>
    <x v="2"/>
    <n v="77"/>
    <x v="26"/>
    <x v="0"/>
    <s v="Turquoise"/>
    <x v="3"/>
    <n v="2.9"/>
    <x v="1"/>
    <x v="0"/>
    <x v="1"/>
    <x v="1"/>
    <n v="4"/>
    <x v="1"/>
    <x v="3"/>
  </r>
  <r>
    <n v="1977"/>
    <n v="32"/>
    <x v="0"/>
    <x v="8"/>
    <x v="3"/>
    <n v="51"/>
    <x v="5"/>
    <x v="2"/>
    <s v="Pink"/>
    <x v="1"/>
    <n v="3.2"/>
    <x v="1"/>
    <x v="2"/>
    <x v="1"/>
    <x v="1"/>
    <n v="43"/>
    <x v="3"/>
    <x v="0"/>
  </r>
  <r>
    <n v="1978"/>
    <n v="24"/>
    <x v="0"/>
    <x v="3"/>
    <x v="1"/>
    <n v="49"/>
    <x v="20"/>
    <x v="2"/>
    <s v="Teal"/>
    <x v="2"/>
    <n v="2.6"/>
    <x v="1"/>
    <x v="1"/>
    <x v="1"/>
    <x v="1"/>
    <n v="32"/>
    <x v="4"/>
    <x v="2"/>
  </r>
  <r>
    <n v="1979"/>
    <n v="45"/>
    <x v="0"/>
    <x v="12"/>
    <x v="3"/>
    <n v="78"/>
    <x v="2"/>
    <x v="0"/>
    <s v="Magenta"/>
    <x v="1"/>
    <n v="3.8"/>
    <x v="1"/>
    <x v="5"/>
    <x v="1"/>
    <x v="1"/>
    <n v="1"/>
    <x v="1"/>
    <x v="3"/>
  </r>
  <r>
    <n v="1980"/>
    <n v="49"/>
    <x v="0"/>
    <x v="2"/>
    <x v="0"/>
    <n v="98"/>
    <x v="30"/>
    <x v="0"/>
    <s v="Blue"/>
    <x v="1"/>
    <n v="2.8"/>
    <x v="1"/>
    <x v="5"/>
    <x v="1"/>
    <x v="1"/>
    <n v="38"/>
    <x v="5"/>
    <x v="0"/>
  </r>
  <r>
    <n v="1981"/>
    <n v="51"/>
    <x v="0"/>
    <x v="3"/>
    <x v="1"/>
    <n v="94"/>
    <x v="44"/>
    <x v="2"/>
    <s v="Green"/>
    <x v="0"/>
    <n v="4.4000000000000004"/>
    <x v="1"/>
    <x v="5"/>
    <x v="1"/>
    <x v="1"/>
    <n v="25"/>
    <x v="3"/>
    <x v="0"/>
  </r>
  <r>
    <n v="1982"/>
    <n v="69"/>
    <x v="0"/>
    <x v="9"/>
    <x v="1"/>
    <n v="91"/>
    <x v="49"/>
    <x v="0"/>
    <s v="Violet"/>
    <x v="2"/>
    <n v="4.7"/>
    <x v="1"/>
    <x v="0"/>
    <x v="1"/>
    <x v="1"/>
    <n v="42"/>
    <x v="3"/>
    <x v="3"/>
  </r>
  <r>
    <n v="1983"/>
    <n v="41"/>
    <x v="0"/>
    <x v="12"/>
    <x v="3"/>
    <n v="77"/>
    <x v="23"/>
    <x v="2"/>
    <s v="Turquoise"/>
    <x v="2"/>
    <n v="2.7"/>
    <x v="1"/>
    <x v="4"/>
    <x v="1"/>
    <x v="1"/>
    <n v="32"/>
    <x v="3"/>
    <x v="5"/>
  </r>
  <r>
    <n v="1984"/>
    <n v="59"/>
    <x v="0"/>
    <x v="18"/>
    <x v="3"/>
    <n v="97"/>
    <x v="42"/>
    <x v="2"/>
    <s v="Pink"/>
    <x v="2"/>
    <n v="2.6"/>
    <x v="1"/>
    <x v="2"/>
    <x v="1"/>
    <x v="1"/>
    <n v="21"/>
    <x v="5"/>
    <x v="3"/>
  </r>
  <r>
    <n v="1985"/>
    <n v="26"/>
    <x v="0"/>
    <x v="11"/>
    <x v="0"/>
    <n v="58"/>
    <x v="8"/>
    <x v="2"/>
    <s v="Black"/>
    <x v="2"/>
    <n v="3.4"/>
    <x v="1"/>
    <x v="4"/>
    <x v="1"/>
    <x v="1"/>
    <n v="26"/>
    <x v="3"/>
    <x v="0"/>
  </r>
  <r>
    <n v="1986"/>
    <n v="23"/>
    <x v="0"/>
    <x v="24"/>
    <x v="3"/>
    <n v="97"/>
    <x v="30"/>
    <x v="2"/>
    <s v="Gold"/>
    <x v="1"/>
    <n v="3.9"/>
    <x v="1"/>
    <x v="4"/>
    <x v="1"/>
    <x v="1"/>
    <n v="6"/>
    <x v="2"/>
    <x v="0"/>
  </r>
  <r>
    <n v="1987"/>
    <n v="62"/>
    <x v="0"/>
    <x v="7"/>
    <x v="2"/>
    <n v="48"/>
    <x v="10"/>
    <x v="0"/>
    <s v="Green"/>
    <x v="2"/>
    <n v="3.4"/>
    <x v="1"/>
    <x v="4"/>
    <x v="1"/>
    <x v="1"/>
    <n v="14"/>
    <x v="0"/>
    <x v="3"/>
  </r>
  <r>
    <n v="1988"/>
    <n v="69"/>
    <x v="0"/>
    <x v="22"/>
    <x v="3"/>
    <n v="23"/>
    <x v="34"/>
    <x v="3"/>
    <s v="White"/>
    <x v="2"/>
    <n v="3.4"/>
    <x v="1"/>
    <x v="0"/>
    <x v="1"/>
    <x v="1"/>
    <n v="4"/>
    <x v="1"/>
    <x v="3"/>
  </r>
  <r>
    <n v="1989"/>
    <n v="46"/>
    <x v="0"/>
    <x v="13"/>
    <x v="0"/>
    <n v="79"/>
    <x v="41"/>
    <x v="2"/>
    <s v="Gold"/>
    <x v="0"/>
    <n v="3.9"/>
    <x v="1"/>
    <x v="1"/>
    <x v="1"/>
    <x v="1"/>
    <n v="26"/>
    <x v="4"/>
    <x v="1"/>
  </r>
  <r>
    <n v="1990"/>
    <n v="35"/>
    <x v="0"/>
    <x v="16"/>
    <x v="3"/>
    <n v="42"/>
    <x v="33"/>
    <x v="1"/>
    <s v="Charcoal"/>
    <x v="1"/>
    <n v="4"/>
    <x v="1"/>
    <x v="0"/>
    <x v="1"/>
    <x v="1"/>
    <n v="39"/>
    <x v="3"/>
    <x v="4"/>
  </r>
  <r>
    <n v="1991"/>
    <n v="32"/>
    <x v="0"/>
    <x v="21"/>
    <x v="3"/>
    <n v="95"/>
    <x v="39"/>
    <x v="0"/>
    <s v="White"/>
    <x v="1"/>
    <n v="3.4"/>
    <x v="1"/>
    <x v="4"/>
    <x v="1"/>
    <x v="1"/>
    <n v="15"/>
    <x v="3"/>
    <x v="2"/>
  </r>
  <r>
    <n v="1992"/>
    <n v="46"/>
    <x v="0"/>
    <x v="4"/>
    <x v="1"/>
    <n v="29"/>
    <x v="9"/>
    <x v="2"/>
    <s v="Brown"/>
    <x v="2"/>
    <n v="3.7"/>
    <x v="1"/>
    <x v="2"/>
    <x v="1"/>
    <x v="1"/>
    <n v="1"/>
    <x v="0"/>
    <x v="6"/>
  </r>
  <r>
    <n v="1993"/>
    <n v="33"/>
    <x v="0"/>
    <x v="15"/>
    <x v="0"/>
    <n v="98"/>
    <x v="32"/>
    <x v="0"/>
    <s v="Gold"/>
    <x v="0"/>
    <n v="4.9000000000000004"/>
    <x v="1"/>
    <x v="4"/>
    <x v="1"/>
    <x v="1"/>
    <n v="28"/>
    <x v="0"/>
    <x v="5"/>
  </r>
  <r>
    <n v="1994"/>
    <n v="32"/>
    <x v="0"/>
    <x v="0"/>
    <x v="0"/>
    <n v="96"/>
    <x v="10"/>
    <x v="1"/>
    <s v="Purple"/>
    <x v="1"/>
    <n v="5"/>
    <x v="1"/>
    <x v="0"/>
    <x v="1"/>
    <x v="1"/>
    <n v="17"/>
    <x v="1"/>
    <x v="1"/>
  </r>
  <r>
    <n v="1995"/>
    <n v="33"/>
    <x v="0"/>
    <x v="12"/>
    <x v="3"/>
    <n v="66"/>
    <x v="22"/>
    <x v="2"/>
    <s v="Brown"/>
    <x v="3"/>
    <n v="2.9"/>
    <x v="1"/>
    <x v="2"/>
    <x v="1"/>
    <x v="1"/>
    <n v="24"/>
    <x v="2"/>
    <x v="1"/>
  </r>
  <r>
    <n v="1996"/>
    <n v="67"/>
    <x v="0"/>
    <x v="23"/>
    <x v="1"/>
    <n v="80"/>
    <x v="9"/>
    <x v="1"/>
    <s v="Teal"/>
    <x v="1"/>
    <n v="3"/>
    <x v="1"/>
    <x v="3"/>
    <x v="1"/>
    <x v="1"/>
    <n v="29"/>
    <x v="5"/>
    <x v="3"/>
  </r>
  <r>
    <n v="1997"/>
    <n v="67"/>
    <x v="0"/>
    <x v="4"/>
    <x v="1"/>
    <n v="27"/>
    <x v="45"/>
    <x v="0"/>
    <s v="Indigo"/>
    <x v="2"/>
    <n v="3.3"/>
    <x v="1"/>
    <x v="2"/>
    <x v="1"/>
    <x v="1"/>
    <n v="18"/>
    <x v="1"/>
    <x v="6"/>
  </r>
  <r>
    <n v="1998"/>
    <n v="42"/>
    <x v="0"/>
    <x v="21"/>
    <x v="3"/>
    <n v="25"/>
    <x v="39"/>
    <x v="2"/>
    <s v="Purple"/>
    <x v="3"/>
    <n v="4.7"/>
    <x v="1"/>
    <x v="0"/>
    <x v="1"/>
    <x v="1"/>
    <n v="10"/>
    <x v="5"/>
    <x v="4"/>
  </r>
  <r>
    <n v="1999"/>
    <n v="20"/>
    <x v="0"/>
    <x v="13"/>
    <x v="0"/>
    <n v="45"/>
    <x v="34"/>
    <x v="2"/>
    <s v="Orange"/>
    <x v="3"/>
    <n v="3.4"/>
    <x v="1"/>
    <x v="4"/>
    <x v="1"/>
    <x v="1"/>
    <n v="19"/>
    <x v="1"/>
    <x v="3"/>
  </r>
  <r>
    <n v="2000"/>
    <n v="39"/>
    <x v="0"/>
    <x v="20"/>
    <x v="0"/>
    <n v="89"/>
    <x v="30"/>
    <x v="0"/>
    <s v="Indigo"/>
    <x v="0"/>
    <n v="4.5999999999999996"/>
    <x v="1"/>
    <x v="4"/>
    <x v="1"/>
    <x v="1"/>
    <n v="26"/>
    <x v="5"/>
    <x v="5"/>
  </r>
  <r>
    <n v="2001"/>
    <n v="26"/>
    <x v="0"/>
    <x v="22"/>
    <x v="3"/>
    <n v="27"/>
    <x v="18"/>
    <x v="2"/>
    <s v="Lavender"/>
    <x v="0"/>
    <n v="3.6"/>
    <x v="1"/>
    <x v="4"/>
    <x v="1"/>
    <x v="1"/>
    <n v="25"/>
    <x v="1"/>
    <x v="4"/>
  </r>
  <r>
    <n v="2002"/>
    <n v="51"/>
    <x v="0"/>
    <x v="12"/>
    <x v="3"/>
    <n v="90"/>
    <x v="5"/>
    <x v="1"/>
    <s v="Purple"/>
    <x v="0"/>
    <n v="2.6"/>
    <x v="1"/>
    <x v="1"/>
    <x v="1"/>
    <x v="1"/>
    <n v="2"/>
    <x v="5"/>
    <x v="0"/>
  </r>
  <r>
    <n v="2003"/>
    <n v="31"/>
    <x v="0"/>
    <x v="5"/>
    <x v="0"/>
    <n v="65"/>
    <x v="14"/>
    <x v="2"/>
    <s v="Red"/>
    <x v="2"/>
    <n v="2.7"/>
    <x v="1"/>
    <x v="0"/>
    <x v="1"/>
    <x v="1"/>
    <n v="19"/>
    <x v="3"/>
    <x v="6"/>
  </r>
  <r>
    <n v="2004"/>
    <n v="68"/>
    <x v="0"/>
    <x v="4"/>
    <x v="1"/>
    <n v="72"/>
    <x v="1"/>
    <x v="1"/>
    <s v="Blue"/>
    <x v="1"/>
    <n v="3.1"/>
    <x v="1"/>
    <x v="0"/>
    <x v="1"/>
    <x v="1"/>
    <n v="32"/>
    <x v="1"/>
    <x v="3"/>
  </r>
  <r>
    <n v="2005"/>
    <n v="44"/>
    <x v="0"/>
    <x v="9"/>
    <x v="1"/>
    <n v="70"/>
    <x v="42"/>
    <x v="0"/>
    <s v="Blue"/>
    <x v="3"/>
    <n v="3.2"/>
    <x v="1"/>
    <x v="4"/>
    <x v="1"/>
    <x v="1"/>
    <n v="13"/>
    <x v="1"/>
    <x v="4"/>
  </r>
  <r>
    <n v="2006"/>
    <n v="18"/>
    <x v="0"/>
    <x v="3"/>
    <x v="1"/>
    <n v="82"/>
    <x v="30"/>
    <x v="2"/>
    <s v="Cyan"/>
    <x v="0"/>
    <n v="3.4"/>
    <x v="1"/>
    <x v="5"/>
    <x v="1"/>
    <x v="1"/>
    <n v="30"/>
    <x v="3"/>
    <x v="0"/>
  </r>
  <r>
    <n v="2007"/>
    <n v="58"/>
    <x v="0"/>
    <x v="18"/>
    <x v="3"/>
    <n v="97"/>
    <x v="35"/>
    <x v="1"/>
    <s v="Pink"/>
    <x v="3"/>
    <n v="4.4000000000000004"/>
    <x v="1"/>
    <x v="0"/>
    <x v="1"/>
    <x v="1"/>
    <n v="2"/>
    <x v="2"/>
    <x v="2"/>
  </r>
  <r>
    <n v="2008"/>
    <n v="26"/>
    <x v="0"/>
    <x v="5"/>
    <x v="0"/>
    <n v="25"/>
    <x v="41"/>
    <x v="2"/>
    <s v="Silver"/>
    <x v="2"/>
    <n v="3.2"/>
    <x v="1"/>
    <x v="4"/>
    <x v="1"/>
    <x v="1"/>
    <n v="8"/>
    <x v="3"/>
    <x v="3"/>
  </r>
  <r>
    <n v="2009"/>
    <n v="57"/>
    <x v="0"/>
    <x v="11"/>
    <x v="0"/>
    <n v="48"/>
    <x v="20"/>
    <x v="2"/>
    <s v="Gray"/>
    <x v="1"/>
    <n v="2.5"/>
    <x v="1"/>
    <x v="1"/>
    <x v="1"/>
    <x v="1"/>
    <n v="27"/>
    <x v="3"/>
    <x v="6"/>
  </r>
  <r>
    <n v="2010"/>
    <n v="37"/>
    <x v="0"/>
    <x v="23"/>
    <x v="1"/>
    <n v="99"/>
    <x v="15"/>
    <x v="2"/>
    <s v="Indigo"/>
    <x v="2"/>
    <n v="3.8"/>
    <x v="1"/>
    <x v="2"/>
    <x v="1"/>
    <x v="1"/>
    <n v="26"/>
    <x v="0"/>
    <x v="4"/>
  </r>
  <r>
    <n v="2011"/>
    <n v="24"/>
    <x v="0"/>
    <x v="1"/>
    <x v="0"/>
    <n v="21"/>
    <x v="21"/>
    <x v="2"/>
    <s v="Maroon"/>
    <x v="2"/>
    <n v="4.4000000000000004"/>
    <x v="1"/>
    <x v="4"/>
    <x v="1"/>
    <x v="1"/>
    <n v="3"/>
    <x v="5"/>
    <x v="4"/>
  </r>
  <r>
    <n v="2012"/>
    <n v="57"/>
    <x v="0"/>
    <x v="3"/>
    <x v="1"/>
    <n v="94"/>
    <x v="8"/>
    <x v="2"/>
    <s v="Beige"/>
    <x v="1"/>
    <n v="3.7"/>
    <x v="1"/>
    <x v="0"/>
    <x v="1"/>
    <x v="1"/>
    <n v="4"/>
    <x v="4"/>
    <x v="5"/>
  </r>
  <r>
    <n v="2013"/>
    <n v="48"/>
    <x v="0"/>
    <x v="2"/>
    <x v="0"/>
    <n v="53"/>
    <x v="22"/>
    <x v="0"/>
    <s v="Green"/>
    <x v="3"/>
    <n v="3.2"/>
    <x v="1"/>
    <x v="5"/>
    <x v="1"/>
    <x v="1"/>
    <n v="5"/>
    <x v="1"/>
    <x v="0"/>
  </r>
  <r>
    <n v="2014"/>
    <n v="39"/>
    <x v="0"/>
    <x v="21"/>
    <x v="3"/>
    <n v="70"/>
    <x v="41"/>
    <x v="2"/>
    <s v="Peach"/>
    <x v="0"/>
    <n v="4.9000000000000004"/>
    <x v="1"/>
    <x v="3"/>
    <x v="1"/>
    <x v="1"/>
    <n v="25"/>
    <x v="5"/>
    <x v="3"/>
  </r>
  <r>
    <n v="2015"/>
    <n v="51"/>
    <x v="0"/>
    <x v="11"/>
    <x v="0"/>
    <n v="26"/>
    <x v="48"/>
    <x v="0"/>
    <s v="Black"/>
    <x v="2"/>
    <n v="3.9"/>
    <x v="1"/>
    <x v="3"/>
    <x v="1"/>
    <x v="1"/>
    <n v="47"/>
    <x v="3"/>
    <x v="4"/>
  </r>
  <r>
    <n v="2016"/>
    <n v="57"/>
    <x v="0"/>
    <x v="22"/>
    <x v="3"/>
    <n v="82"/>
    <x v="41"/>
    <x v="1"/>
    <s v="Pink"/>
    <x v="2"/>
    <n v="4.5"/>
    <x v="1"/>
    <x v="2"/>
    <x v="1"/>
    <x v="1"/>
    <n v="8"/>
    <x v="2"/>
    <x v="0"/>
  </r>
  <r>
    <n v="2017"/>
    <n v="53"/>
    <x v="0"/>
    <x v="9"/>
    <x v="1"/>
    <n v="47"/>
    <x v="1"/>
    <x v="1"/>
    <s v="Violet"/>
    <x v="0"/>
    <n v="3.4"/>
    <x v="1"/>
    <x v="3"/>
    <x v="1"/>
    <x v="1"/>
    <n v="20"/>
    <x v="5"/>
    <x v="0"/>
  </r>
  <r>
    <n v="2018"/>
    <n v="70"/>
    <x v="0"/>
    <x v="20"/>
    <x v="0"/>
    <n v="32"/>
    <x v="2"/>
    <x v="1"/>
    <s v="Green"/>
    <x v="0"/>
    <n v="4.0999999999999996"/>
    <x v="1"/>
    <x v="2"/>
    <x v="1"/>
    <x v="1"/>
    <n v="42"/>
    <x v="4"/>
    <x v="6"/>
  </r>
  <r>
    <n v="2019"/>
    <n v="60"/>
    <x v="0"/>
    <x v="21"/>
    <x v="3"/>
    <n v="97"/>
    <x v="10"/>
    <x v="1"/>
    <s v="Gold"/>
    <x v="3"/>
    <n v="4.5"/>
    <x v="1"/>
    <x v="5"/>
    <x v="1"/>
    <x v="1"/>
    <n v="20"/>
    <x v="4"/>
    <x v="1"/>
  </r>
  <r>
    <n v="2020"/>
    <n v="31"/>
    <x v="0"/>
    <x v="5"/>
    <x v="0"/>
    <n v="68"/>
    <x v="37"/>
    <x v="1"/>
    <s v="Red"/>
    <x v="0"/>
    <n v="4.7"/>
    <x v="1"/>
    <x v="5"/>
    <x v="1"/>
    <x v="1"/>
    <n v="23"/>
    <x v="1"/>
    <x v="0"/>
  </r>
  <r>
    <n v="2021"/>
    <n v="41"/>
    <x v="0"/>
    <x v="1"/>
    <x v="0"/>
    <n v="23"/>
    <x v="38"/>
    <x v="2"/>
    <s v="Beige"/>
    <x v="0"/>
    <n v="4.8"/>
    <x v="1"/>
    <x v="2"/>
    <x v="1"/>
    <x v="1"/>
    <n v="26"/>
    <x v="1"/>
    <x v="3"/>
  </r>
  <r>
    <n v="2022"/>
    <n v="62"/>
    <x v="0"/>
    <x v="8"/>
    <x v="3"/>
    <n v="33"/>
    <x v="1"/>
    <x v="2"/>
    <s v="Green"/>
    <x v="0"/>
    <n v="4.4000000000000004"/>
    <x v="1"/>
    <x v="3"/>
    <x v="1"/>
    <x v="1"/>
    <n v="48"/>
    <x v="0"/>
    <x v="3"/>
  </r>
  <r>
    <n v="2023"/>
    <n v="59"/>
    <x v="0"/>
    <x v="16"/>
    <x v="3"/>
    <n v="38"/>
    <x v="15"/>
    <x v="1"/>
    <s v="Black"/>
    <x v="0"/>
    <n v="4"/>
    <x v="1"/>
    <x v="5"/>
    <x v="1"/>
    <x v="1"/>
    <n v="16"/>
    <x v="1"/>
    <x v="4"/>
  </r>
  <r>
    <n v="2024"/>
    <n v="46"/>
    <x v="0"/>
    <x v="20"/>
    <x v="0"/>
    <n v="68"/>
    <x v="37"/>
    <x v="1"/>
    <s v="Teal"/>
    <x v="0"/>
    <n v="4.0999999999999996"/>
    <x v="1"/>
    <x v="5"/>
    <x v="1"/>
    <x v="1"/>
    <n v="28"/>
    <x v="1"/>
    <x v="4"/>
  </r>
  <r>
    <n v="2025"/>
    <n v="62"/>
    <x v="0"/>
    <x v="20"/>
    <x v="0"/>
    <n v="23"/>
    <x v="10"/>
    <x v="0"/>
    <s v="Silver"/>
    <x v="3"/>
    <n v="3.7"/>
    <x v="1"/>
    <x v="0"/>
    <x v="1"/>
    <x v="1"/>
    <n v="39"/>
    <x v="3"/>
    <x v="1"/>
  </r>
  <r>
    <n v="2026"/>
    <n v="42"/>
    <x v="0"/>
    <x v="5"/>
    <x v="0"/>
    <n v="29"/>
    <x v="12"/>
    <x v="2"/>
    <s v="Turquoise"/>
    <x v="2"/>
    <n v="3"/>
    <x v="1"/>
    <x v="0"/>
    <x v="1"/>
    <x v="1"/>
    <n v="43"/>
    <x v="5"/>
    <x v="0"/>
  </r>
  <r>
    <n v="2027"/>
    <n v="37"/>
    <x v="0"/>
    <x v="18"/>
    <x v="3"/>
    <n v="35"/>
    <x v="1"/>
    <x v="2"/>
    <s v="Orange"/>
    <x v="0"/>
    <n v="3.6"/>
    <x v="1"/>
    <x v="0"/>
    <x v="1"/>
    <x v="1"/>
    <n v="45"/>
    <x v="4"/>
    <x v="6"/>
  </r>
  <r>
    <n v="2028"/>
    <n v="50"/>
    <x v="0"/>
    <x v="9"/>
    <x v="1"/>
    <n v="73"/>
    <x v="43"/>
    <x v="1"/>
    <s v="Gold"/>
    <x v="3"/>
    <n v="4.8"/>
    <x v="1"/>
    <x v="3"/>
    <x v="1"/>
    <x v="1"/>
    <n v="50"/>
    <x v="2"/>
    <x v="6"/>
  </r>
  <r>
    <n v="2029"/>
    <n v="29"/>
    <x v="0"/>
    <x v="9"/>
    <x v="1"/>
    <n v="84"/>
    <x v="31"/>
    <x v="3"/>
    <s v="Purple"/>
    <x v="3"/>
    <n v="3.7"/>
    <x v="1"/>
    <x v="4"/>
    <x v="1"/>
    <x v="1"/>
    <n v="10"/>
    <x v="0"/>
    <x v="4"/>
  </r>
  <r>
    <n v="2030"/>
    <n v="25"/>
    <x v="0"/>
    <x v="18"/>
    <x v="3"/>
    <n v="23"/>
    <x v="6"/>
    <x v="2"/>
    <s v="Pink"/>
    <x v="1"/>
    <n v="4.5999999999999996"/>
    <x v="1"/>
    <x v="2"/>
    <x v="1"/>
    <x v="1"/>
    <n v="40"/>
    <x v="3"/>
    <x v="3"/>
  </r>
  <r>
    <n v="2031"/>
    <n v="66"/>
    <x v="0"/>
    <x v="12"/>
    <x v="3"/>
    <n v="67"/>
    <x v="35"/>
    <x v="1"/>
    <s v="Green"/>
    <x v="2"/>
    <n v="2.8"/>
    <x v="1"/>
    <x v="3"/>
    <x v="1"/>
    <x v="1"/>
    <n v="38"/>
    <x v="2"/>
    <x v="5"/>
  </r>
  <r>
    <n v="2032"/>
    <n v="21"/>
    <x v="0"/>
    <x v="20"/>
    <x v="0"/>
    <n v="51"/>
    <x v="17"/>
    <x v="0"/>
    <s v="Charcoal"/>
    <x v="1"/>
    <n v="4"/>
    <x v="1"/>
    <x v="3"/>
    <x v="1"/>
    <x v="1"/>
    <n v="2"/>
    <x v="2"/>
    <x v="5"/>
  </r>
  <r>
    <n v="2033"/>
    <n v="46"/>
    <x v="0"/>
    <x v="0"/>
    <x v="0"/>
    <n v="36"/>
    <x v="36"/>
    <x v="2"/>
    <s v="Maroon"/>
    <x v="0"/>
    <n v="4.2"/>
    <x v="1"/>
    <x v="2"/>
    <x v="1"/>
    <x v="1"/>
    <n v="13"/>
    <x v="1"/>
    <x v="2"/>
  </r>
  <r>
    <n v="2034"/>
    <n v="57"/>
    <x v="0"/>
    <x v="2"/>
    <x v="0"/>
    <n v="55"/>
    <x v="26"/>
    <x v="0"/>
    <s v="Olive"/>
    <x v="2"/>
    <n v="3.6"/>
    <x v="1"/>
    <x v="0"/>
    <x v="1"/>
    <x v="1"/>
    <n v="33"/>
    <x v="0"/>
    <x v="2"/>
  </r>
  <r>
    <n v="2035"/>
    <n v="61"/>
    <x v="0"/>
    <x v="6"/>
    <x v="0"/>
    <n v="30"/>
    <x v="15"/>
    <x v="2"/>
    <s v="Peach"/>
    <x v="1"/>
    <n v="2.9"/>
    <x v="1"/>
    <x v="5"/>
    <x v="1"/>
    <x v="1"/>
    <n v="27"/>
    <x v="3"/>
    <x v="5"/>
  </r>
  <r>
    <n v="2036"/>
    <n v="53"/>
    <x v="0"/>
    <x v="17"/>
    <x v="0"/>
    <n v="70"/>
    <x v="19"/>
    <x v="1"/>
    <s v="Yellow"/>
    <x v="2"/>
    <n v="4.0999999999999996"/>
    <x v="1"/>
    <x v="0"/>
    <x v="1"/>
    <x v="1"/>
    <n v="43"/>
    <x v="4"/>
    <x v="1"/>
  </r>
  <r>
    <n v="2037"/>
    <n v="37"/>
    <x v="0"/>
    <x v="0"/>
    <x v="0"/>
    <n v="63"/>
    <x v="46"/>
    <x v="1"/>
    <s v="Lavender"/>
    <x v="0"/>
    <n v="3.1"/>
    <x v="1"/>
    <x v="2"/>
    <x v="1"/>
    <x v="1"/>
    <n v="46"/>
    <x v="1"/>
    <x v="1"/>
  </r>
  <r>
    <n v="2038"/>
    <n v="39"/>
    <x v="0"/>
    <x v="22"/>
    <x v="3"/>
    <n v="87"/>
    <x v="26"/>
    <x v="1"/>
    <s v="Green"/>
    <x v="2"/>
    <n v="4.3"/>
    <x v="1"/>
    <x v="0"/>
    <x v="1"/>
    <x v="1"/>
    <n v="7"/>
    <x v="0"/>
    <x v="4"/>
  </r>
  <r>
    <n v="2039"/>
    <n v="53"/>
    <x v="0"/>
    <x v="0"/>
    <x v="0"/>
    <n v="70"/>
    <x v="10"/>
    <x v="0"/>
    <s v="Orange"/>
    <x v="1"/>
    <n v="4.4000000000000004"/>
    <x v="1"/>
    <x v="2"/>
    <x v="1"/>
    <x v="1"/>
    <n v="35"/>
    <x v="2"/>
    <x v="0"/>
  </r>
  <r>
    <n v="2040"/>
    <n v="35"/>
    <x v="0"/>
    <x v="17"/>
    <x v="0"/>
    <n v="51"/>
    <x v="46"/>
    <x v="2"/>
    <s v="Olive"/>
    <x v="1"/>
    <n v="3.1"/>
    <x v="1"/>
    <x v="2"/>
    <x v="1"/>
    <x v="1"/>
    <n v="31"/>
    <x v="5"/>
    <x v="4"/>
  </r>
  <r>
    <n v="2041"/>
    <n v="69"/>
    <x v="0"/>
    <x v="16"/>
    <x v="3"/>
    <n v="25"/>
    <x v="36"/>
    <x v="3"/>
    <s v="Gray"/>
    <x v="1"/>
    <n v="2.9"/>
    <x v="1"/>
    <x v="1"/>
    <x v="1"/>
    <x v="1"/>
    <n v="42"/>
    <x v="0"/>
    <x v="3"/>
  </r>
  <r>
    <n v="2042"/>
    <n v="66"/>
    <x v="0"/>
    <x v="14"/>
    <x v="2"/>
    <n v="32"/>
    <x v="14"/>
    <x v="1"/>
    <s v="Lavender"/>
    <x v="0"/>
    <n v="3.2"/>
    <x v="1"/>
    <x v="2"/>
    <x v="1"/>
    <x v="1"/>
    <n v="14"/>
    <x v="3"/>
    <x v="4"/>
  </r>
  <r>
    <n v="2043"/>
    <n v="19"/>
    <x v="0"/>
    <x v="9"/>
    <x v="1"/>
    <n v="52"/>
    <x v="15"/>
    <x v="2"/>
    <s v="Red"/>
    <x v="1"/>
    <n v="4"/>
    <x v="1"/>
    <x v="4"/>
    <x v="1"/>
    <x v="1"/>
    <n v="35"/>
    <x v="0"/>
    <x v="5"/>
  </r>
  <r>
    <n v="2044"/>
    <n v="47"/>
    <x v="0"/>
    <x v="24"/>
    <x v="3"/>
    <n v="33"/>
    <x v="14"/>
    <x v="2"/>
    <s v="Charcoal"/>
    <x v="2"/>
    <n v="2.7"/>
    <x v="1"/>
    <x v="3"/>
    <x v="1"/>
    <x v="1"/>
    <n v="49"/>
    <x v="3"/>
    <x v="1"/>
  </r>
  <r>
    <n v="2045"/>
    <n v="49"/>
    <x v="0"/>
    <x v="2"/>
    <x v="0"/>
    <n v="68"/>
    <x v="9"/>
    <x v="0"/>
    <s v="Orange"/>
    <x v="1"/>
    <n v="3"/>
    <x v="1"/>
    <x v="1"/>
    <x v="1"/>
    <x v="1"/>
    <n v="17"/>
    <x v="3"/>
    <x v="0"/>
  </r>
  <r>
    <n v="2046"/>
    <n v="31"/>
    <x v="0"/>
    <x v="16"/>
    <x v="3"/>
    <n v="20"/>
    <x v="42"/>
    <x v="2"/>
    <s v="Red"/>
    <x v="3"/>
    <n v="4.4000000000000004"/>
    <x v="1"/>
    <x v="0"/>
    <x v="1"/>
    <x v="1"/>
    <n v="26"/>
    <x v="3"/>
    <x v="3"/>
  </r>
  <r>
    <n v="2047"/>
    <n v="39"/>
    <x v="0"/>
    <x v="13"/>
    <x v="0"/>
    <n v="32"/>
    <x v="19"/>
    <x v="2"/>
    <s v="Maroon"/>
    <x v="0"/>
    <n v="2.8"/>
    <x v="1"/>
    <x v="1"/>
    <x v="1"/>
    <x v="1"/>
    <n v="30"/>
    <x v="1"/>
    <x v="6"/>
  </r>
  <r>
    <n v="2048"/>
    <n v="58"/>
    <x v="0"/>
    <x v="16"/>
    <x v="3"/>
    <n v="82"/>
    <x v="39"/>
    <x v="2"/>
    <s v="Silver"/>
    <x v="2"/>
    <n v="3.1"/>
    <x v="1"/>
    <x v="5"/>
    <x v="1"/>
    <x v="1"/>
    <n v="32"/>
    <x v="1"/>
    <x v="2"/>
  </r>
  <r>
    <n v="2049"/>
    <n v="45"/>
    <x v="0"/>
    <x v="4"/>
    <x v="1"/>
    <n v="64"/>
    <x v="49"/>
    <x v="3"/>
    <s v="Pink"/>
    <x v="0"/>
    <n v="3.9"/>
    <x v="1"/>
    <x v="0"/>
    <x v="1"/>
    <x v="1"/>
    <n v="35"/>
    <x v="4"/>
    <x v="3"/>
  </r>
  <r>
    <n v="2050"/>
    <n v="68"/>
    <x v="0"/>
    <x v="23"/>
    <x v="1"/>
    <n v="24"/>
    <x v="3"/>
    <x v="0"/>
    <s v="Blue"/>
    <x v="3"/>
    <n v="2.7"/>
    <x v="1"/>
    <x v="3"/>
    <x v="1"/>
    <x v="1"/>
    <n v="15"/>
    <x v="0"/>
    <x v="2"/>
  </r>
  <r>
    <n v="2051"/>
    <n v="35"/>
    <x v="0"/>
    <x v="19"/>
    <x v="3"/>
    <n v="96"/>
    <x v="16"/>
    <x v="2"/>
    <s v="Teal"/>
    <x v="2"/>
    <n v="3.4"/>
    <x v="1"/>
    <x v="5"/>
    <x v="1"/>
    <x v="1"/>
    <n v="10"/>
    <x v="5"/>
    <x v="2"/>
  </r>
  <r>
    <n v="2052"/>
    <n v="65"/>
    <x v="0"/>
    <x v="17"/>
    <x v="0"/>
    <n v="94"/>
    <x v="2"/>
    <x v="0"/>
    <s v="Black"/>
    <x v="1"/>
    <n v="3.8"/>
    <x v="1"/>
    <x v="1"/>
    <x v="1"/>
    <x v="1"/>
    <n v="14"/>
    <x v="2"/>
    <x v="5"/>
  </r>
  <r>
    <n v="2053"/>
    <n v="45"/>
    <x v="0"/>
    <x v="21"/>
    <x v="3"/>
    <n v="48"/>
    <x v="13"/>
    <x v="2"/>
    <s v="Gray"/>
    <x v="0"/>
    <n v="3.7"/>
    <x v="1"/>
    <x v="4"/>
    <x v="1"/>
    <x v="1"/>
    <n v="30"/>
    <x v="4"/>
    <x v="2"/>
  </r>
  <r>
    <n v="2054"/>
    <n v="19"/>
    <x v="0"/>
    <x v="12"/>
    <x v="3"/>
    <n v="60"/>
    <x v="5"/>
    <x v="1"/>
    <s v="Purple"/>
    <x v="1"/>
    <n v="4.5"/>
    <x v="1"/>
    <x v="4"/>
    <x v="1"/>
    <x v="1"/>
    <n v="16"/>
    <x v="2"/>
    <x v="0"/>
  </r>
  <r>
    <n v="2055"/>
    <n v="65"/>
    <x v="0"/>
    <x v="1"/>
    <x v="0"/>
    <n v="56"/>
    <x v="32"/>
    <x v="3"/>
    <s v="Gold"/>
    <x v="1"/>
    <n v="2.9"/>
    <x v="1"/>
    <x v="0"/>
    <x v="1"/>
    <x v="1"/>
    <n v="14"/>
    <x v="3"/>
    <x v="2"/>
  </r>
  <r>
    <n v="2056"/>
    <n v="28"/>
    <x v="0"/>
    <x v="8"/>
    <x v="3"/>
    <n v="33"/>
    <x v="21"/>
    <x v="2"/>
    <s v="Silver"/>
    <x v="3"/>
    <n v="3.4"/>
    <x v="1"/>
    <x v="4"/>
    <x v="1"/>
    <x v="1"/>
    <n v="28"/>
    <x v="4"/>
    <x v="1"/>
  </r>
  <r>
    <n v="2057"/>
    <n v="55"/>
    <x v="0"/>
    <x v="21"/>
    <x v="3"/>
    <n v="46"/>
    <x v="46"/>
    <x v="0"/>
    <s v="Blue"/>
    <x v="1"/>
    <n v="4.4000000000000004"/>
    <x v="1"/>
    <x v="4"/>
    <x v="1"/>
    <x v="1"/>
    <n v="29"/>
    <x v="3"/>
    <x v="5"/>
  </r>
  <r>
    <n v="2058"/>
    <n v="66"/>
    <x v="0"/>
    <x v="20"/>
    <x v="0"/>
    <n v="37"/>
    <x v="45"/>
    <x v="0"/>
    <s v="Yellow"/>
    <x v="1"/>
    <n v="4.2"/>
    <x v="1"/>
    <x v="3"/>
    <x v="1"/>
    <x v="1"/>
    <n v="5"/>
    <x v="3"/>
    <x v="6"/>
  </r>
  <r>
    <n v="2059"/>
    <n v="29"/>
    <x v="0"/>
    <x v="5"/>
    <x v="0"/>
    <n v="98"/>
    <x v="47"/>
    <x v="2"/>
    <s v="Brown"/>
    <x v="0"/>
    <n v="3.3"/>
    <x v="1"/>
    <x v="5"/>
    <x v="1"/>
    <x v="1"/>
    <n v="17"/>
    <x v="4"/>
    <x v="3"/>
  </r>
  <r>
    <n v="2060"/>
    <n v="56"/>
    <x v="0"/>
    <x v="6"/>
    <x v="0"/>
    <n v="50"/>
    <x v="18"/>
    <x v="3"/>
    <s v="Beige"/>
    <x v="1"/>
    <n v="3.7"/>
    <x v="1"/>
    <x v="0"/>
    <x v="1"/>
    <x v="1"/>
    <n v="50"/>
    <x v="3"/>
    <x v="1"/>
  </r>
  <r>
    <n v="2061"/>
    <n v="21"/>
    <x v="0"/>
    <x v="22"/>
    <x v="3"/>
    <n v="63"/>
    <x v="48"/>
    <x v="2"/>
    <s v="Blue"/>
    <x v="3"/>
    <n v="3.2"/>
    <x v="1"/>
    <x v="2"/>
    <x v="1"/>
    <x v="1"/>
    <n v="23"/>
    <x v="4"/>
    <x v="3"/>
  </r>
  <r>
    <n v="2062"/>
    <n v="32"/>
    <x v="0"/>
    <x v="1"/>
    <x v="0"/>
    <n v="70"/>
    <x v="49"/>
    <x v="1"/>
    <s v="Magenta"/>
    <x v="2"/>
    <n v="2.6"/>
    <x v="1"/>
    <x v="5"/>
    <x v="1"/>
    <x v="1"/>
    <n v="22"/>
    <x v="5"/>
    <x v="2"/>
  </r>
  <r>
    <n v="2063"/>
    <n v="54"/>
    <x v="0"/>
    <x v="7"/>
    <x v="2"/>
    <n v="63"/>
    <x v="36"/>
    <x v="0"/>
    <s v="Silver"/>
    <x v="3"/>
    <n v="2.8"/>
    <x v="1"/>
    <x v="3"/>
    <x v="1"/>
    <x v="1"/>
    <n v="15"/>
    <x v="1"/>
    <x v="3"/>
  </r>
  <r>
    <n v="2064"/>
    <n v="61"/>
    <x v="0"/>
    <x v="6"/>
    <x v="0"/>
    <n v="86"/>
    <x v="27"/>
    <x v="2"/>
    <s v="Cyan"/>
    <x v="3"/>
    <n v="2.9"/>
    <x v="1"/>
    <x v="3"/>
    <x v="1"/>
    <x v="1"/>
    <n v="32"/>
    <x v="1"/>
    <x v="5"/>
  </r>
  <r>
    <n v="2065"/>
    <n v="31"/>
    <x v="0"/>
    <x v="9"/>
    <x v="1"/>
    <n v="99"/>
    <x v="10"/>
    <x v="2"/>
    <s v="Green"/>
    <x v="2"/>
    <n v="4"/>
    <x v="1"/>
    <x v="4"/>
    <x v="1"/>
    <x v="1"/>
    <n v="5"/>
    <x v="4"/>
    <x v="5"/>
  </r>
  <r>
    <n v="2066"/>
    <n v="27"/>
    <x v="0"/>
    <x v="4"/>
    <x v="1"/>
    <n v="40"/>
    <x v="4"/>
    <x v="2"/>
    <s v="Blue"/>
    <x v="1"/>
    <n v="2.9"/>
    <x v="1"/>
    <x v="1"/>
    <x v="1"/>
    <x v="1"/>
    <n v="6"/>
    <x v="4"/>
    <x v="4"/>
  </r>
  <r>
    <n v="2067"/>
    <n v="64"/>
    <x v="0"/>
    <x v="4"/>
    <x v="1"/>
    <n v="92"/>
    <x v="26"/>
    <x v="2"/>
    <s v="Olive"/>
    <x v="3"/>
    <n v="4.7"/>
    <x v="1"/>
    <x v="5"/>
    <x v="1"/>
    <x v="1"/>
    <n v="44"/>
    <x v="5"/>
    <x v="0"/>
  </r>
  <r>
    <n v="2068"/>
    <n v="60"/>
    <x v="0"/>
    <x v="13"/>
    <x v="0"/>
    <n v="21"/>
    <x v="33"/>
    <x v="3"/>
    <s v="Beige"/>
    <x v="3"/>
    <n v="3.1"/>
    <x v="1"/>
    <x v="4"/>
    <x v="1"/>
    <x v="1"/>
    <n v="23"/>
    <x v="1"/>
    <x v="0"/>
  </r>
  <r>
    <n v="2069"/>
    <n v="70"/>
    <x v="0"/>
    <x v="16"/>
    <x v="3"/>
    <n v="81"/>
    <x v="34"/>
    <x v="3"/>
    <s v="Black"/>
    <x v="2"/>
    <n v="3.9"/>
    <x v="1"/>
    <x v="5"/>
    <x v="1"/>
    <x v="1"/>
    <n v="44"/>
    <x v="0"/>
    <x v="5"/>
  </r>
  <r>
    <n v="2070"/>
    <n v="36"/>
    <x v="0"/>
    <x v="17"/>
    <x v="0"/>
    <n v="82"/>
    <x v="21"/>
    <x v="2"/>
    <s v="Indigo"/>
    <x v="3"/>
    <n v="3.4"/>
    <x v="1"/>
    <x v="1"/>
    <x v="1"/>
    <x v="1"/>
    <n v="3"/>
    <x v="5"/>
    <x v="3"/>
  </r>
  <r>
    <n v="2071"/>
    <n v="56"/>
    <x v="0"/>
    <x v="16"/>
    <x v="3"/>
    <n v="88"/>
    <x v="43"/>
    <x v="3"/>
    <s v="Red"/>
    <x v="1"/>
    <n v="3.1"/>
    <x v="1"/>
    <x v="0"/>
    <x v="1"/>
    <x v="1"/>
    <n v="14"/>
    <x v="1"/>
    <x v="5"/>
  </r>
  <r>
    <n v="2072"/>
    <n v="69"/>
    <x v="0"/>
    <x v="14"/>
    <x v="2"/>
    <n v="100"/>
    <x v="36"/>
    <x v="1"/>
    <s v="Yellow"/>
    <x v="3"/>
    <n v="4.8"/>
    <x v="1"/>
    <x v="5"/>
    <x v="1"/>
    <x v="1"/>
    <n v="37"/>
    <x v="3"/>
    <x v="3"/>
  </r>
  <r>
    <n v="2073"/>
    <n v="39"/>
    <x v="0"/>
    <x v="21"/>
    <x v="3"/>
    <n v="66"/>
    <x v="2"/>
    <x v="2"/>
    <s v="Beige"/>
    <x v="0"/>
    <n v="3.9"/>
    <x v="1"/>
    <x v="2"/>
    <x v="1"/>
    <x v="1"/>
    <n v="22"/>
    <x v="4"/>
    <x v="1"/>
  </r>
  <r>
    <n v="2074"/>
    <n v="38"/>
    <x v="0"/>
    <x v="22"/>
    <x v="3"/>
    <n v="25"/>
    <x v="21"/>
    <x v="1"/>
    <s v="Green"/>
    <x v="0"/>
    <n v="3.5"/>
    <x v="1"/>
    <x v="2"/>
    <x v="1"/>
    <x v="1"/>
    <n v="2"/>
    <x v="3"/>
    <x v="6"/>
  </r>
  <r>
    <n v="2075"/>
    <n v="36"/>
    <x v="0"/>
    <x v="18"/>
    <x v="3"/>
    <n v="53"/>
    <x v="20"/>
    <x v="2"/>
    <s v="White"/>
    <x v="2"/>
    <n v="3.1"/>
    <x v="1"/>
    <x v="1"/>
    <x v="1"/>
    <x v="1"/>
    <n v="44"/>
    <x v="5"/>
    <x v="0"/>
  </r>
  <r>
    <n v="2076"/>
    <n v="46"/>
    <x v="0"/>
    <x v="1"/>
    <x v="0"/>
    <n v="28"/>
    <x v="36"/>
    <x v="1"/>
    <s v="Turquoise"/>
    <x v="3"/>
    <n v="4.7"/>
    <x v="1"/>
    <x v="0"/>
    <x v="1"/>
    <x v="1"/>
    <n v="49"/>
    <x v="5"/>
    <x v="5"/>
  </r>
  <r>
    <n v="2077"/>
    <n v="59"/>
    <x v="0"/>
    <x v="24"/>
    <x v="3"/>
    <n v="23"/>
    <x v="20"/>
    <x v="1"/>
    <s v="Indigo"/>
    <x v="3"/>
    <n v="4.5999999999999996"/>
    <x v="1"/>
    <x v="1"/>
    <x v="1"/>
    <x v="1"/>
    <n v="22"/>
    <x v="5"/>
    <x v="4"/>
  </r>
  <r>
    <n v="2078"/>
    <n v="64"/>
    <x v="0"/>
    <x v="18"/>
    <x v="3"/>
    <n v="34"/>
    <x v="43"/>
    <x v="0"/>
    <s v="Orange"/>
    <x v="3"/>
    <n v="3.3"/>
    <x v="1"/>
    <x v="1"/>
    <x v="1"/>
    <x v="1"/>
    <n v="26"/>
    <x v="4"/>
    <x v="2"/>
  </r>
  <r>
    <n v="2079"/>
    <n v="49"/>
    <x v="0"/>
    <x v="10"/>
    <x v="0"/>
    <n v="42"/>
    <x v="11"/>
    <x v="2"/>
    <s v="Blue"/>
    <x v="1"/>
    <n v="3.2"/>
    <x v="1"/>
    <x v="2"/>
    <x v="1"/>
    <x v="1"/>
    <n v="40"/>
    <x v="5"/>
    <x v="1"/>
  </r>
  <r>
    <n v="2080"/>
    <n v="32"/>
    <x v="0"/>
    <x v="2"/>
    <x v="0"/>
    <n v="24"/>
    <x v="6"/>
    <x v="0"/>
    <s v="Violet"/>
    <x v="2"/>
    <n v="3.1"/>
    <x v="1"/>
    <x v="2"/>
    <x v="1"/>
    <x v="1"/>
    <n v="16"/>
    <x v="3"/>
    <x v="3"/>
  </r>
  <r>
    <n v="2081"/>
    <n v="29"/>
    <x v="0"/>
    <x v="12"/>
    <x v="3"/>
    <n v="47"/>
    <x v="45"/>
    <x v="1"/>
    <s v="Gray"/>
    <x v="3"/>
    <n v="3.5"/>
    <x v="1"/>
    <x v="1"/>
    <x v="1"/>
    <x v="1"/>
    <n v="17"/>
    <x v="5"/>
    <x v="4"/>
  </r>
  <r>
    <n v="2082"/>
    <n v="24"/>
    <x v="0"/>
    <x v="7"/>
    <x v="2"/>
    <n v="78"/>
    <x v="15"/>
    <x v="1"/>
    <s v="Cyan"/>
    <x v="1"/>
    <n v="4.3"/>
    <x v="1"/>
    <x v="3"/>
    <x v="1"/>
    <x v="1"/>
    <n v="48"/>
    <x v="4"/>
    <x v="4"/>
  </r>
  <r>
    <n v="2083"/>
    <n v="41"/>
    <x v="0"/>
    <x v="2"/>
    <x v="0"/>
    <n v="89"/>
    <x v="10"/>
    <x v="2"/>
    <s v="Yellow"/>
    <x v="2"/>
    <n v="2.9"/>
    <x v="1"/>
    <x v="1"/>
    <x v="1"/>
    <x v="1"/>
    <n v="28"/>
    <x v="0"/>
    <x v="6"/>
  </r>
  <r>
    <n v="2084"/>
    <n v="41"/>
    <x v="0"/>
    <x v="18"/>
    <x v="3"/>
    <n v="59"/>
    <x v="16"/>
    <x v="0"/>
    <s v="Orange"/>
    <x v="3"/>
    <n v="2.7"/>
    <x v="1"/>
    <x v="5"/>
    <x v="1"/>
    <x v="1"/>
    <n v="26"/>
    <x v="2"/>
    <x v="0"/>
  </r>
  <r>
    <n v="2085"/>
    <n v="32"/>
    <x v="0"/>
    <x v="0"/>
    <x v="0"/>
    <n v="94"/>
    <x v="34"/>
    <x v="1"/>
    <s v="Brown"/>
    <x v="2"/>
    <n v="4"/>
    <x v="1"/>
    <x v="3"/>
    <x v="1"/>
    <x v="1"/>
    <n v="43"/>
    <x v="4"/>
    <x v="3"/>
  </r>
  <r>
    <n v="2086"/>
    <n v="69"/>
    <x v="0"/>
    <x v="2"/>
    <x v="0"/>
    <n v="49"/>
    <x v="14"/>
    <x v="2"/>
    <s v="Teal"/>
    <x v="3"/>
    <n v="4.5999999999999996"/>
    <x v="1"/>
    <x v="1"/>
    <x v="1"/>
    <x v="1"/>
    <n v="38"/>
    <x v="5"/>
    <x v="1"/>
  </r>
  <r>
    <n v="2087"/>
    <n v="65"/>
    <x v="0"/>
    <x v="10"/>
    <x v="0"/>
    <n v="89"/>
    <x v="25"/>
    <x v="0"/>
    <s v="Beige"/>
    <x v="2"/>
    <n v="4.7"/>
    <x v="1"/>
    <x v="4"/>
    <x v="1"/>
    <x v="1"/>
    <n v="36"/>
    <x v="1"/>
    <x v="6"/>
  </r>
  <r>
    <n v="2088"/>
    <n v="54"/>
    <x v="0"/>
    <x v="19"/>
    <x v="3"/>
    <n v="91"/>
    <x v="48"/>
    <x v="2"/>
    <s v="Blue"/>
    <x v="2"/>
    <n v="4.7"/>
    <x v="1"/>
    <x v="3"/>
    <x v="1"/>
    <x v="1"/>
    <n v="1"/>
    <x v="2"/>
    <x v="1"/>
  </r>
  <r>
    <n v="2089"/>
    <n v="39"/>
    <x v="0"/>
    <x v="3"/>
    <x v="1"/>
    <n v="89"/>
    <x v="18"/>
    <x v="0"/>
    <s v="Orange"/>
    <x v="1"/>
    <n v="4"/>
    <x v="1"/>
    <x v="3"/>
    <x v="1"/>
    <x v="1"/>
    <n v="49"/>
    <x v="5"/>
    <x v="2"/>
  </r>
  <r>
    <n v="2090"/>
    <n v="37"/>
    <x v="0"/>
    <x v="14"/>
    <x v="2"/>
    <n v="57"/>
    <x v="33"/>
    <x v="0"/>
    <s v="Gold"/>
    <x v="1"/>
    <n v="3.6"/>
    <x v="1"/>
    <x v="1"/>
    <x v="1"/>
    <x v="1"/>
    <n v="41"/>
    <x v="2"/>
    <x v="6"/>
  </r>
  <r>
    <n v="2091"/>
    <n v="51"/>
    <x v="0"/>
    <x v="20"/>
    <x v="0"/>
    <n v="71"/>
    <x v="2"/>
    <x v="1"/>
    <s v="Teal"/>
    <x v="0"/>
    <n v="3.4"/>
    <x v="1"/>
    <x v="1"/>
    <x v="1"/>
    <x v="1"/>
    <n v="21"/>
    <x v="5"/>
    <x v="5"/>
  </r>
  <r>
    <n v="2092"/>
    <n v="26"/>
    <x v="0"/>
    <x v="2"/>
    <x v="0"/>
    <n v="97"/>
    <x v="47"/>
    <x v="3"/>
    <s v="Beige"/>
    <x v="3"/>
    <n v="3"/>
    <x v="1"/>
    <x v="2"/>
    <x v="1"/>
    <x v="1"/>
    <n v="24"/>
    <x v="4"/>
    <x v="3"/>
  </r>
  <r>
    <n v="2093"/>
    <n v="42"/>
    <x v="0"/>
    <x v="3"/>
    <x v="1"/>
    <n v="45"/>
    <x v="46"/>
    <x v="2"/>
    <s v="Silver"/>
    <x v="3"/>
    <n v="2.6"/>
    <x v="1"/>
    <x v="2"/>
    <x v="1"/>
    <x v="1"/>
    <n v="27"/>
    <x v="4"/>
    <x v="1"/>
  </r>
  <r>
    <n v="2094"/>
    <n v="21"/>
    <x v="0"/>
    <x v="10"/>
    <x v="0"/>
    <n v="91"/>
    <x v="47"/>
    <x v="2"/>
    <s v="Maroon"/>
    <x v="1"/>
    <n v="4.2"/>
    <x v="1"/>
    <x v="5"/>
    <x v="1"/>
    <x v="1"/>
    <n v="4"/>
    <x v="5"/>
    <x v="2"/>
  </r>
  <r>
    <n v="2095"/>
    <n v="53"/>
    <x v="0"/>
    <x v="20"/>
    <x v="0"/>
    <n v="25"/>
    <x v="36"/>
    <x v="2"/>
    <s v="Indigo"/>
    <x v="1"/>
    <n v="3.4"/>
    <x v="1"/>
    <x v="3"/>
    <x v="1"/>
    <x v="1"/>
    <n v="19"/>
    <x v="0"/>
    <x v="2"/>
  </r>
  <r>
    <n v="2096"/>
    <n v="36"/>
    <x v="0"/>
    <x v="15"/>
    <x v="0"/>
    <n v="63"/>
    <x v="35"/>
    <x v="2"/>
    <s v="Gray"/>
    <x v="3"/>
    <n v="4"/>
    <x v="1"/>
    <x v="5"/>
    <x v="1"/>
    <x v="1"/>
    <n v="1"/>
    <x v="4"/>
    <x v="0"/>
  </r>
  <r>
    <n v="2097"/>
    <n v="21"/>
    <x v="0"/>
    <x v="10"/>
    <x v="0"/>
    <n v="52"/>
    <x v="17"/>
    <x v="0"/>
    <s v="Blue"/>
    <x v="2"/>
    <n v="4.7"/>
    <x v="1"/>
    <x v="1"/>
    <x v="1"/>
    <x v="1"/>
    <n v="27"/>
    <x v="5"/>
    <x v="2"/>
  </r>
  <r>
    <n v="2098"/>
    <n v="33"/>
    <x v="0"/>
    <x v="4"/>
    <x v="1"/>
    <n v="43"/>
    <x v="44"/>
    <x v="1"/>
    <s v="Cyan"/>
    <x v="0"/>
    <n v="3.9"/>
    <x v="1"/>
    <x v="2"/>
    <x v="1"/>
    <x v="1"/>
    <n v="5"/>
    <x v="2"/>
    <x v="1"/>
  </r>
  <r>
    <n v="2099"/>
    <n v="49"/>
    <x v="0"/>
    <x v="17"/>
    <x v="0"/>
    <n v="28"/>
    <x v="7"/>
    <x v="2"/>
    <s v="White"/>
    <x v="2"/>
    <n v="3.3"/>
    <x v="1"/>
    <x v="4"/>
    <x v="1"/>
    <x v="1"/>
    <n v="20"/>
    <x v="0"/>
    <x v="3"/>
  </r>
  <r>
    <n v="2100"/>
    <n v="31"/>
    <x v="0"/>
    <x v="17"/>
    <x v="0"/>
    <n v="78"/>
    <x v="19"/>
    <x v="0"/>
    <s v="Green"/>
    <x v="2"/>
    <n v="2.9"/>
    <x v="1"/>
    <x v="0"/>
    <x v="1"/>
    <x v="1"/>
    <n v="50"/>
    <x v="3"/>
    <x v="2"/>
  </r>
  <r>
    <n v="2101"/>
    <n v="68"/>
    <x v="0"/>
    <x v="1"/>
    <x v="0"/>
    <n v="31"/>
    <x v="49"/>
    <x v="2"/>
    <s v="Silver"/>
    <x v="1"/>
    <n v="4.4000000000000004"/>
    <x v="1"/>
    <x v="1"/>
    <x v="1"/>
    <x v="1"/>
    <n v="36"/>
    <x v="1"/>
    <x v="0"/>
  </r>
  <r>
    <n v="2102"/>
    <n v="49"/>
    <x v="0"/>
    <x v="5"/>
    <x v="0"/>
    <n v="23"/>
    <x v="4"/>
    <x v="2"/>
    <s v="Blue"/>
    <x v="0"/>
    <n v="3.6"/>
    <x v="1"/>
    <x v="2"/>
    <x v="1"/>
    <x v="1"/>
    <n v="12"/>
    <x v="4"/>
    <x v="4"/>
  </r>
  <r>
    <n v="2103"/>
    <n v="23"/>
    <x v="0"/>
    <x v="19"/>
    <x v="3"/>
    <n v="25"/>
    <x v="37"/>
    <x v="2"/>
    <s v="Brown"/>
    <x v="1"/>
    <n v="4.5"/>
    <x v="1"/>
    <x v="5"/>
    <x v="1"/>
    <x v="1"/>
    <n v="23"/>
    <x v="1"/>
    <x v="5"/>
  </r>
  <r>
    <n v="2104"/>
    <n v="30"/>
    <x v="0"/>
    <x v="13"/>
    <x v="0"/>
    <n v="86"/>
    <x v="27"/>
    <x v="1"/>
    <s v="Red"/>
    <x v="2"/>
    <n v="3.7"/>
    <x v="1"/>
    <x v="5"/>
    <x v="1"/>
    <x v="1"/>
    <n v="21"/>
    <x v="0"/>
    <x v="1"/>
  </r>
  <r>
    <n v="2105"/>
    <n v="53"/>
    <x v="0"/>
    <x v="9"/>
    <x v="1"/>
    <n v="88"/>
    <x v="35"/>
    <x v="2"/>
    <s v="Gold"/>
    <x v="1"/>
    <n v="2.8"/>
    <x v="1"/>
    <x v="1"/>
    <x v="1"/>
    <x v="1"/>
    <n v="47"/>
    <x v="0"/>
    <x v="1"/>
  </r>
  <r>
    <n v="2106"/>
    <n v="65"/>
    <x v="0"/>
    <x v="24"/>
    <x v="3"/>
    <n v="35"/>
    <x v="36"/>
    <x v="2"/>
    <s v="Silver"/>
    <x v="1"/>
    <n v="4.5"/>
    <x v="1"/>
    <x v="1"/>
    <x v="1"/>
    <x v="1"/>
    <n v="38"/>
    <x v="0"/>
    <x v="4"/>
  </r>
  <r>
    <n v="2107"/>
    <n v="60"/>
    <x v="0"/>
    <x v="16"/>
    <x v="3"/>
    <n v="34"/>
    <x v="34"/>
    <x v="2"/>
    <s v="Gray"/>
    <x v="3"/>
    <n v="4.4000000000000004"/>
    <x v="1"/>
    <x v="3"/>
    <x v="1"/>
    <x v="1"/>
    <n v="40"/>
    <x v="2"/>
    <x v="6"/>
  </r>
  <r>
    <n v="2108"/>
    <n v="46"/>
    <x v="0"/>
    <x v="13"/>
    <x v="0"/>
    <n v="75"/>
    <x v="12"/>
    <x v="2"/>
    <s v="Black"/>
    <x v="0"/>
    <n v="3.3"/>
    <x v="1"/>
    <x v="3"/>
    <x v="1"/>
    <x v="1"/>
    <n v="35"/>
    <x v="3"/>
    <x v="3"/>
  </r>
  <r>
    <n v="2109"/>
    <n v="54"/>
    <x v="0"/>
    <x v="15"/>
    <x v="0"/>
    <n v="46"/>
    <x v="25"/>
    <x v="3"/>
    <s v="Beige"/>
    <x v="0"/>
    <n v="4.2"/>
    <x v="1"/>
    <x v="0"/>
    <x v="1"/>
    <x v="1"/>
    <n v="4"/>
    <x v="2"/>
    <x v="3"/>
  </r>
  <r>
    <n v="2110"/>
    <n v="59"/>
    <x v="0"/>
    <x v="16"/>
    <x v="3"/>
    <n v="31"/>
    <x v="18"/>
    <x v="0"/>
    <s v="Peach"/>
    <x v="3"/>
    <n v="2.7"/>
    <x v="1"/>
    <x v="1"/>
    <x v="1"/>
    <x v="1"/>
    <n v="28"/>
    <x v="0"/>
    <x v="6"/>
  </r>
  <r>
    <n v="2111"/>
    <n v="52"/>
    <x v="0"/>
    <x v="20"/>
    <x v="0"/>
    <n v="93"/>
    <x v="6"/>
    <x v="0"/>
    <s v="Cyan"/>
    <x v="1"/>
    <n v="3.9"/>
    <x v="1"/>
    <x v="5"/>
    <x v="1"/>
    <x v="1"/>
    <n v="36"/>
    <x v="5"/>
    <x v="6"/>
  </r>
  <r>
    <n v="2112"/>
    <n v="41"/>
    <x v="0"/>
    <x v="12"/>
    <x v="3"/>
    <n v="85"/>
    <x v="9"/>
    <x v="3"/>
    <s v="Pink"/>
    <x v="1"/>
    <n v="2.6"/>
    <x v="1"/>
    <x v="1"/>
    <x v="1"/>
    <x v="1"/>
    <n v="15"/>
    <x v="4"/>
    <x v="2"/>
  </r>
  <r>
    <n v="2113"/>
    <n v="43"/>
    <x v="0"/>
    <x v="22"/>
    <x v="3"/>
    <n v="68"/>
    <x v="30"/>
    <x v="2"/>
    <s v="Lavender"/>
    <x v="3"/>
    <n v="4.5"/>
    <x v="1"/>
    <x v="4"/>
    <x v="1"/>
    <x v="1"/>
    <n v="7"/>
    <x v="1"/>
    <x v="0"/>
  </r>
  <r>
    <n v="2114"/>
    <n v="63"/>
    <x v="0"/>
    <x v="10"/>
    <x v="0"/>
    <n v="40"/>
    <x v="41"/>
    <x v="2"/>
    <s v="Brown"/>
    <x v="1"/>
    <n v="2.7"/>
    <x v="1"/>
    <x v="5"/>
    <x v="1"/>
    <x v="1"/>
    <n v="29"/>
    <x v="3"/>
    <x v="6"/>
  </r>
  <r>
    <n v="2115"/>
    <n v="37"/>
    <x v="0"/>
    <x v="5"/>
    <x v="0"/>
    <n v="51"/>
    <x v="34"/>
    <x v="2"/>
    <s v="Magenta"/>
    <x v="0"/>
    <n v="2.9"/>
    <x v="1"/>
    <x v="3"/>
    <x v="1"/>
    <x v="1"/>
    <n v="12"/>
    <x v="5"/>
    <x v="2"/>
  </r>
  <r>
    <n v="2116"/>
    <n v="44"/>
    <x v="0"/>
    <x v="18"/>
    <x v="3"/>
    <n v="85"/>
    <x v="3"/>
    <x v="2"/>
    <s v="Violet"/>
    <x v="0"/>
    <n v="3.4"/>
    <x v="1"/>
    <x v="5"/>
    <x v="1"/>
    <x v="1"/>
    <n v="16"/>
    <x v="4"/>
    <x v="4"/>
  </r>
  <r>
    <n v="2117"/>
    <n v="67"/>
    <x v="0"/>
    <x v="14"/>
    <x v="2"/>
    <n v="23"/>
    <x v="23"/>
    <x v="2"/>
    <s v="Teal"/>
    <x v="2"/>
    <n v="2.9"/>
    <x v="1"/>
    <x v="0"/>
    <x v="1"/>
    <x v="1"/>
    <n v="50"/>
    <x v="5"/>
    <x v="4"/>
  </r>
  <r>
    <n v="2118"/>
    <n v="27"/>
    <x v="0"/>
    <x v="10"/>
    <x v="0"/>
    <n v="28"/>
    <x v="24"/>
    <x v="0"/>
    <s v="Brown"/>
    <x v="2"/>
    <n v="3.8"/>
    <x v="1"/>
    <x v="1"/>
    <x v="1"/>
    <x v="1"/>
    <n v="11"/>
    <x v="5"/>
    <x v="2"/>
  </r>
  <r>
    <n v="2119"/>
    <n v="60"/>
    <x v="0"/>
    <x v="20"/>
    <x v="0"/>
    <n v="44"/>
    <x v="42"/>
    <x v="2"/>
    <s v="Olive"/>
    <x v="3"/>
    <n v="4.2"/>
    <x v="1"/>
    <x v="4"/>
    <x v="1"/>
    <x v="1"/>
    <n v="28"/>
    <x v="5"/>
    <x v="3"/>
  </r>
  <r>
    <n v="2120"/>
    <n v="58"/>
    <x v="0"/>
    <x v="16"/>
    <x v="3"/>
    <n v="57"/>
    <x v="43"/>
    <x v="2"/>
    <s v="Indigo"/>
    <x v="1"/>
    <n v="3.5"/>
    <x v="1"/>
    <x v="5"/>
    <x v="1"/>
    <x v="1"/>
    <n v="36"/>
    <x v="0"/>
    <x v="4"/>
  </r>
  <r>
    <n v="2121"/>
    <n v="53"/>
    <x v="0"/>
    <x v="18"/>
    <x v="3"/>
    <n v="98"/>
    <x v="9"/>
    <x v="1"/>
    <s v="Red"/>
    <x v="3"/>
    <n v="3.1"/>
    <x v="1"/>
    <x v="2"/>
    <x v="1"/>
    <x v="1"/>
    <n v="38"/>
    <x v="3"/>
    <x v="3"/>
  </r>
  <r>
    <n v="2122"/>
    <n v="43"/>
    <x v="0"/>
    <x v="21"/>
    <x v="3"/>
    <n v="68"/>
    <x v="29"/>
    <x v="2"/>
    <s v="Olive"/>
    <x v="0"/>
    <n v="3.5"/>
    <x v="1"/>
    <x v="4"/>
    <x v="1"/>
    <x v="1"/>
    <n v="32"/>
    <x v="4"/>
    <x v="5"/>
  </r>
  <r>
    <n v="2123"/>
    <n v="32"/>
    <x v="0"/>
    <x v="14"/>
    <x v="2"/>
    <n v="36"/>
    <x v="41"/>
    <x v="0"/>
    <s v="Teal"/>
    <x v="3"/>
    <n v="4"/>
    <x v="1"/>
    <x v="0"/>
    <x v="1"/>
    <x v="1"/>
    <n v="42"/>
    <x v="5"/>
    <x v="1"/>
  </r>
  <r>
    <n v="2124"/>
    <n v="54"/>
    <x v="0"/>
    <x v="7"/>
    <x v="2"/>
    <n v="71"/>
    <x v="43"/>
    <x v="0"/>
    <s v="Cyan"/>
    <x v="1"/>
    <n v="3.7"/>
    <x v="1"/>
    <x v="0"/>
    <x v="1"/>
    <x v="1"/>
    <n v="22"/>
    <x v="5"/>
    <x v="4"/>
  </r>
  <r>
    <n v="2125"/>
    <n v="47"/>
    <x v="0"/>
    <x v="11"/>
    <x v="0"/>
    <n v="60"/>
    <x v="3"/>
    <x v="2"/>
    <s v="Teal"/>
    <x v="3"/>
    <n v="4.2"/>
    <x v="1"/>
    <x v="2"/>
    <x v="1"/>
    <x v="1"/>
    <n v="22"/>
    <x v="0"/>
    <x v="3"/>
  </r>
  <r>
    <n v="2126"/>
    <n v="57"/>
    <x v="0"/>
    <x v="7"/>
    <x v="2"/>
    <n v="87"/>
    <x v="13"/>
    <x v="2"/>
    <s v="Beige"/>
    <x v="3"/>
    <n v="4.8"/>
    <x v="1"/>
    <x v="5"/>
    <x v="1"/>
    <x v="1"/>
    <n v="31"/>
    <x v="3"/>
    <x v="3"/>
  </r>
  <r>
    <n v="2127"/>
    <n v="63"/>
    <x v="0"/>
    <x v="9"/>
    <x v="1"/>
    <n v="38"/>
    <x v="15"/>
    <x v="3"/>
    <s v="Magenta"/>
    <x v="0"/>
    <n v="4.0999999999999996"/>
    <x v="1"/>
    <x v="0"/>
    <x v="1"/>
    <x v="1"/>
    <n v="28"/>
    <x v="2"/>
    <x v="5"/>
  </r>
  <r>
    <n v="2128"/>
    <n v="70"/>
    <x v="0"/>
    <x v="23"/>
    <x v="1"/>
    <n v="45"/>
    <x v="17"/>
    <x v="2"/>
    <s v="Indigo"/>
    <x v="1"/>
    <n v="4.5"/>
    <x v="1"/>
    <x v="4"/>
    <x v="1"/>
    <x v="1"/>
    <n v="40"/>
    <x v="5"/>
    <x v="1"/>
  </r>
  <r>
    <n v="2129"/>
    <n v="62"/>
    <x v="0"/>
    <x v="7"/>
    <x v="2"/>
    <n v="47"/>
    <x v="35"/>
    <x v="0"/>
    <s v="Cyan"/>
    <x v="3"/>
    <n v="2.7"/>
    <x v="1"/>
    <x v="4"/>
    <x v="1"/>
    <x v="1"/>
    <n v="21"/>
    <x v="3"/>
    <x v="1"/>
  </r>
  <r>
    <n v="2130"/>
    <n v="40"/>
    <x v="0"/>
    <x v="11"/>
    <x v="0"/>
    <n v="57"/>
    <x v="46"/>
    <x v="0"/>
    <s v="Orange"/>
    <x v="3"/>
    <n v="2.8"/>
    <x v="1"/>
    <x v="5"/>
    <x v="1"/>
    <x v="1"/>
    <n v="12"/>
    <x v="3"/>
    <x v="6"/>
  </r>
  <r>
    <n v="2131"/>
    <n v="25"/>
    <x v="0"/>
    <x v="21"/>
    <x v="3"/>
    <n v="68"/>
    <x v="28"/>
    <x v="0"/>
    <s v="Violet"/>
    <x v="2"/>
    <n v="3.7"/>
    <x v="1"/>
    <x v="1"/>
    <x v="1"/>
    <x v="1"/>
    <n v="33"/>
    <x v="2"/>
    <x v="2"/>
  </r>
  <r>
    <n v="2132"/>
    <n v="19"/>
    <x v="0"/>
    <x v="6"/>
    <x v="0"/>
    <n v="52"/>
    <x v="6"/>
    <x v="2"/>
    <s v="Red"/>
    <x v="3"/>
    <n v="3.6"/>
    <x v="1"/>
    <x v="0"/>
    <x v="1"/>
    <x v="1"/>
    <n v="9"/>
    <x v="4"/>
    <x v="0"/>
  </r>
  <r>
    <n v="2133"/>
    <n v="25"/>
    <x v="0"/>
    <x v="11"/>
    <x v="0"/>
    <n v="87"/>
    <x v="34"/>
    <x v="2"/>
    <s v="Magenta"/>
    <x v="3"/>
    <n v="4.7"/>
    <x v="1"/>
    <x v="4"/>
    <x v="1"/>
    <x v="1"/>
    <n v="15"/>
    <x v="5"/>
    <x v="1"/>
  </r>
  <r>
    <n v="2134"/>
    <n v="21"/>
    <x v="0"/>
    <x v="19"/>
    <x v="3"/>
    <n v="34"/>
    <x v="1"/>
    <x v="2"/>
    <s v="Olive"/>
    <x v="2"/>
    <n v="3.8"/>
    <x v="1"/>
    <x v="3"/>
    <x v="1"/>
    <x v="1"/>
    <n v="13"/>
    <x v="4"/>
    <x v="2"/>
  </r>
  <r>
    <n v="2135"/>
    <n v="55"/>
    <x v="0"/>
    <x v="3"/>
    <x v="1"/>
    <n v="41"/>
    <x v="41"/>
    <x v="3"/>
    <s v="Maroon"/>
    <x v="0"/>
    <n v="2.9"/>
    <x v="1"/>
    <x v="3"/>
    <x v="1"/>
    <x v="1"/>
    <n v="35"/>
    <x v="2"/>
    <x v="0"/>
  </r>
  <r>
    <n v="2136"/>
    <n v="34"/>
    <x v="0"/>
    <x v="12"/>
    <x v="3"/>
    <n v="94"/>
    <x v="18"/>
    <x v="1"/>
    <s v="Yellow"/>
    <x v="0"/>
    <n v="4.5999999999999996"/>
    <x v="1"/>
    <x v="2"/>
    <x v="1"/>
    <x v="1"/>
    <n v="1"/>
    <x v="5"/>
    <x v="6"/>
  </r>
  <r>
    <n v="2137"/>
    <n v="47"/>
    <x v="0"/>
    <x v="12"/>
    <x v="3"/>
    <n v="93"/>
    <x v="14"/>
    <x v="2"/>
    <s v="Red"/>
    <x v="2"/>
    <n v="2.8"/>
    <x v="1"/>
    <x v="3"/>
    <x v="1"/>
    <x v="1"/>
    <n v="25"/>
    <x v="4"/>
    <x v="0"/>
  </r>
  <r>
    <n v="2138"/>
    <n v="27"/>
    <x v="0"/>
    <x v="20"/>
    <x v="0"/>
    <n v="51"/>
    <x v="27"/>
    <x v="3"/>
    <s v="Purple"/>
    <x v="0"/>
    <n v="4.5999999999999996"/>
    <x v="1"/>
    <x v="4"/>
    <x v="1"/>
    <x v="1"/>
    <n v="20"/>
    <x v="2"/>
    <x v="6"/>
  </r>
  <r>
    <n v="2139"/>
    <n v="67"/>
    <x v="0"/>
    <x v="1"/>
    <x v="0"/>
    <n v="42"/>
    <x v="16"/>
    <x v="2"/>
    <s v="Teal"/>
    <x v="3"/>
    <n v="2.8"/>
    <x v="1"/>
    <x v="2"/>
    <x v="1"/>
    <x v="1"/>
    <n v="36"/>
    <x v="0"/>
    <x v="3"/>
  </r>
  <r>
    <n v="2140"/>
    <n v="40"/>
    <x v="0"/>
    <x v="23"/>
    <x v="1"/>
    <n v="95"/>
    <x v="14"/>
    <x v="2"/>
    <s v="Red"/>
    <x v="0"/>
    <n v="3"/>
    <x v="1"/>
    <x v="1"/>
    <x v="1"/>
    <x v="1"/>
    <n v="33"/>
    <x v="1"/>
    <x v="1"/>
  </r>
  <r>
    <n v="2141"/>
    <n v="53"/>
    <x v="0"/>
    <x v="8"/>
    <x v="3"/>
    <n v="90"/>
    <x v="35"/>
    <x v="2"/>
    <s v="Brown"/>
    <x v="3"/>
    <n v="3.7"/>
    <x v="1"/>
    <x v="3"/>
    <x v="1"/>
    <x v="1"/>
    <n v="36"/>
    <x v="1"/>
    <x v="0"/>
  </r>
  <r>
    <n v="2142"/>
    <n v="24"/>
    <x v="0"/>
    <x v="10"/>
    <x v="0"/>
    <n v="98"/>
    <x v="0"/>
    <x v="2"/>
    <s v="Peach"/>
    <x v="0"/>
    <n v="4.0999999999999996"/>
    <x v="1"/>
    <x v="4"/>
    <x v="1"/>
    <x v="1"/>
    <n v="32"/>
    <x v="3"/>
    <x v="2"/>
  </r>
  <r>
    <n v="2143"/>
    <n v="47"/>
    <x v="0"/>
    <x v="19"/>
    <x v="3"/>
    <n v="39"/>
    <x v="25"/>
    <x v="2"/>
    <s v="Maroon"/>
    <x v="0"/>
    <n v="4.3"/>
    <x v="1"/>
    <x v="2"/>
    <x v="1"/>
    <x v="1"/>
    <n v="21"/>
    <x v="0"/>
    <x v="3"/>
  </r>
  <r>
    <n v="2144"/>
    <n v="53"/>
    <x v="0"/>
    <x v="3"/>
    <x v="1"/>
    <n v="66"/>
    <x v="10"/>
    <x v="0"/>
    <s v="Red"/>
    <x v="3"/>
    <n v="3.8"/>
    <x v="1"/>
    <x v="2"/>
    <x v="1"/>
    <x v="1"/>
    <n v="48"/>
    <x v="0"/>
    <x v="4"/>
  </r>
  <r>
    <n v="2145"/>
    <n v="47"/>
    <x v="0"/>
    <x v="9"/>
    <x v="1"/>
    <n v="23"/>
    <x v="33"/>
    <x v="0"/>
    <s v="Orange"/>
    <x v="0"/>
    <n v="3.7"/>
    <x v="1"/>
    <x v="1"/>
    <x v="1"/>
    <x v="1"/>
    <n v="25"/>
    <x v="3"/>
    <x v="3"/>
  </r>
  <r>
    <n v="2146"/>
    <n v="38"/>
    <x v="0"/>
    <x v="11"/>
    <x v="0"/>
    <n v="73"/>
    <x v="39"/>
    <x v="1"/>
    <s v="White"/>
    <x v="0"/>
    <n v="4.8"/>
    <x v="1"/>
    <x v="3"/>
    <x v="1"/>
    <x v="1"/>
    <n v="32"/>
    <x v="3"/>
    <x v="2"/>
  </r>
  <r>
    <n v="2147"/>
    <n v="48"/>
    <x v="0"/>
    <x v="12"/>
    <x v="3"/>
    <n v="23"/>
    <x v="40"/>
    <x v="3"/>
    <s v="White"/>
    <x v="2"/>
    <n v="4.5999999999999996"/>
    <x v="1"/>
    <x v="3"/>
    <x v="1"/>
    <x v="1"/>
    <n v="45"/>
    <x v="3"/>
    <x v="6"/>
  </r>
  <r>
    <n v="2148"/>
    <n v="47"/>
    <x v="0"/>
    <x v="11"/>
    <x v="0"/>
    <n v="43"/>
    <x v="9"/>
    <x v="1"/>
    <s v="Charcoal"/>
    <x v="3"/>
    <n v="4.8"/>
    <x v="1"/>
    <x v="3"/>
    <x v="1"/>
    <x v="1"/>
    <n v="4"/>
    <x v="1"/>
    <x v="0"/>
  </r>
  <r>
    <n v="2149"/>
    <n v="19"/>
    <x v="0"/>
    <x v="17"/>
    <x v="0"/>
    <n v="45"/>
    <x v="43"/>
    <x v="3"/>
    <s v="Turquoise"/>
    <x v="0"/>
    <n v="4.5999999999999996"/>
    <x v="1"/>
    <x v="4"/>
    <x v="1"/>
    <x v="1"/>
    <n v="19"/>
    <x v="3"/>
    <x v="4"/>
  </r>
  <r>
    <n v="2150"/>
    <n v="38"/>
    <x v="0"/>
    <x v="3"/>
    <x v="1"/>
    <n v="21"/>
    <x v="11"/>
    <x v="0"/>
    <s v="Orange"/>
    <x v="0"/>
    <n v="4"/>
    <x v="1"/>
    <x v="3"/>
    <x v="1"/>
    <x v="1"/>
    <n v="1"/>
    <x v="4"/>
    <x v="1"/>
  </r>
  <r>
    <n v="2151"/>
    <n v="57"/>
    <x v="0"/>
    <x v="5"/>
    <x v="0"/>
    <n v="40"/>
    <x v="26"/>
    <x v="2"/>
    <s v="Orange"/>
    <x v="1"/>
    <n v="2.6"/>
    <x v="1"/>
    <x v="4"/>
    <x v="1"/>
    <x v="1"/>
    <n v="12"/>
    <x v="1"/>
    <x v="1"/>
  </r>
  <r>
    <n v="2152"/>
    <n v="70"/>
    <x v="0"/>
    <x v="2"/>
    <x v="0"/>
    <n v="58"/>
    <x v="34"/>
    <x v="0"/>
    <s v="Brown"/>
    <x v="3"/>
    <n v="2.6"/>
    <x v="1"/>
    <x v="4"/>
    <x v="1"/>
    <x v="1"/>
    <n v="18"/>
    <x v="0"/>
    <x v="5"/>
  </r>
  <r>
    <n v="2153"/>
    <n v="38"/>
    <x v="0"/>
    <x v="6"/>
    <x v="0"/>
    <n v="48"/>
    <x v="32"/>
    <x v="0"/>
    <s v="Magenta"/>
    <x v="2"/>
    <n v="4.5"/>
    <x v="1"/>
    <x v="2"/>
    <x v="1"/>
    <x v="1"/>
    <n v="43"/>
    <x v="4"/>
    <x v="4"/>
  </r>
  <r>
    <n v="2154"/>
    <n v="35"/>
    <x v="0"/>
    <x v="5"/>
    <x v="0"/>
    <n v="94"/>
    <x v="0"/>
    <x v="2"/>
    <s v="Violet"/>
    <x v="3"/>
    <n v="4.2"/>
    <x v="1"/>
    <x v="1"/>
    <x v="1"/>
    <x v="1"/>
    <n v="31"/>
    <x v="3"/>
    <x v="2"/>
  </r>
  <r>
    <n v="2155"/>
    <n v="46"/>
    <x v="0"/>
    <x v="18"/>
    <x v="3"/>
    <n v="74"/>
    <x v="5"/>
    <x v="2"/>
    <s v="Violet"/>
    <x v="1"/>
    <n v="3.4"/>
    <x v="1"/>
    <x v="5"/>
    <x v="1"/>
    <x v="1"/>
    <n v="33"/>
    <x v="1"/>
    <x v="6"/>
  </r>
  <r>
    <n v="2156"/>
    <n v="32"/>
    <x v="0"/>
    <x v="8"/>
    <x v="3"/>
    <n v="51"/>
    <x v="11"/>
    <x v="0"/>
    <s v="Yellow"/>
    <x v="3"/>
    <n v="3.7"/>
    <x v="1"/>
    <x v="5"/>
    <x v="1"/>
    <x v="1"/>
    <n v="46"/>
    <x v="3"/>
    <x v="5"/>
  </r>
  <r>
    <n v="2157"/>
    <n v="38"/>
    <x v="0"/>
    <x v="11"/>
    <x v="0"/>
    <n v="83"/>
    <x v="9"/>
    <x v="2"/>
    <s v="Maroon"/>
    <x v="0"/>
    <n v="3.6"/>
    <x v="1"/>
    <x v="2"/>
    <x v="1"/>
    <x v="1"/>
    <n v="41"/>
    <x v="5"/>
    <x v="4"/>
  </r>
  <r>
    <n v="2158"/>
    <n v="41"/>
    <x v="0"/>
    <x v="8"/>
    <x v="3"/>
    <n v="68"/>
    <x v="16"/>
    <x v="0"/>
    <s v="Turquoise"/>
    <x v="0"/>
    <n v="4"/>
    <x v="1"/>
    <x v="2"/>
    <x v="1"/>
    <x v="1"/>
    <n v="41"/>
    <x v="0"/>
    <x v="0"/>
  </r>
  <r>
    <n v="2159"/>
    <n v="19"/>
    <x v="0"/>
    <x v="24"/>
    <x v="3"/>
    <n v="84"/>
    <x v="2"/>
    <x v="3"/>
    <s v="Olive"/>
    <x v="1"/>
    <n v="4.5999999999999996"/>
    <x v="1"/>
    <x v="3"/>
    <x v="1"/>
    <x v="1"/>
    <n v="9"/>
    <x v="4"/>
    <x v="0"/>
  </r>
  <r>
    <n v="2160"/>
    <n v="18"/>
    <x v="0"/>
    <x v="5"/>
    <x v="0"/>
    <n v="58"/>
    <x v="7"/>
    <x v="2"/>
    <s v="Peach"/>
    <x v="3"/>
    <n v="3"/>
    <x v="1"/>
    <x v="1"/>
    <x v="1"/>
    <x v="1"/>
    <n v="34"/>
    <x v="1"/>
    <x v="2"/>
  </r>
  <r>
    <n v="2161"/>
    <n v="45"/>
    <x v="0"/>
    <x v="0"/>
    <x v="0"/>
    <n v="92"/>
    <x v="8"/>
    <x v="0"/>
    <s v="Charcoal"/>
    <x v="0"/>
    <n v="3.3"/>
    <x v="1"/>
    <x v="0"/>
    <x v="1"/>
    <x v="1"/>
    <n v="21"/>
    <x v="3"/>
    <x v="2"/>
  </r>
  <r>
    <n v="2162"/>
    <n v="23"/>
    <x v="0"/>
    <x v="10"/>
    <x v="0"/>
    <n v="69"/>
    <x v="47"/>
    <x v="1"/>
    <s v="Peach"/>
    <x v="2"/>
    <n v="3.8"/>
    <x v="1"/>
    <x v="0"/>
    <x v="1"/>
    <x v="1"/>
    <n v="5"/>
    <x v="5"/>
    <x v="0"/>
  </r>
  <r>
    <n v="2163"/>
    <n v="60"/>
    <x v="0"/>
    <x v="6"/>
    <x v="0"/>
    <n v="48"/>
    <x v="4"/>
    <x v="1"/>
    <s v="Black"/>
    <x v="2"/>
    <n v="2.7"/>
    <x v="1"/>
    <x v="1"/>
    <x v="1"/>
    <x v="1"/>
    <n v="32"/>
    <x v="3"/>
    <x v="1"/>
  </r>
  <r>
    <n v="2164"/>
    <n v="52"/>
    <x v="0"/>
    <x v="9"/>
    <x v="1"/>
    <n v="60"/>
    <x v="14"/>
    <x v="0"/>
    <s v="Gray"/>
    <x v="1"/>
    <n v="4.5"/>
    <x v="1"/>
    <x v="0"/>
    <x v="1"/>
    <x v="1"/>
    <n v="44"/>
    <x v="4"/>
    <x v="5"/>
  </r>
  <r>
    <n v="2165"/>
    <n v="42"/>
    <x v="0"/>
    <x v="3"/>
    <x v="1"/>
    <n v="20"/>
    <x v="44"/>
    <x v="1"/>
    <s v="Olive"/>
    <x v="0"/>
    <n v="4.8"/>
    <x v="1"/>
    <x v="2"/>
    <x v="1"/>
    <x v="1"/>
    <n v="46"/>
    <x v="3"/>
    <x v="4"/>
  </r>
  <r>
    <n v="2166"/>
    <n v="29"/>
    <x v="0"/>
    <x v="13"/>
    <x v="0"/>
    <n v="55"/>
    <x v="37"/>
    <x v="2"/>
    <s v="Turquoise"/>
    <x v="2"/>
    <n v="4.2"/>
    <x v="1"/>
    <x v="0"/>
    <x v="1"/>
    <x v="1"/>
    <n v="42"/>
    <x v="2"/>
    <x v="6"/>
  </r>
  <r>
    <n v="2167"/>
    <n v="31"/>
    <x v="0"/>
    <x v="14"/>
    <x v="2"/>
    <n v="88"/>
    <x v="32"/>
    <x v="1"/>
    <s v="Purple"/>
    <x v="1"/>
    <n v="3.5"/>
    <x v="1"/>
    <x v="0"/>
    <x v="1"/>
    <x v="1"/>
    <n v="50"/>
    <x v="2"/>
    <x v="4"/>
  </r>
  <r>
    <n v="2168"/>
    <n v="30"/>
    <x v="0"/>
    <x v="11"/>
    <x v="0"/>
    <n v="48"/>
    <x v="31"/>
    <x v="0"/>
    <s v="Green"/>
    <x v="0"/>
    <n v="4.9000000000000004"/>
    <x v="1"/>
    <x v="3"/>
    <x v="1"/>
    <x v="1"/>
    <n v="33"/>
    <x v="0"/>
    <x v="0"/>
  </r>
  <r>
    <n v="2169"/>
    <n v="23"/>
    <x v="0"/>
    <x v="8"/>
    <x v="3"/>
    <n v="74"/>
    <x v="39"/>
    <x v="2"/>
    <s v="Beige"/>
    <x v="1"/>
    <n v="4.0999999999999996"/>
    <x v="1"/>
    <x v="2"/>
    <x v="1"/>
    <x v="1"/>
    <n v="32"/>
    <x v="1"/>
    <x v="3"/>
  </r>
  <r>
    <n v="2170"/>
    <n v="31"/>
    <x v="0"/>
    <x v="7"/>
    <x v="2"/>
    <n v="42"/>
    <x v="20"/>
    <x v="2"/>
    <s v="Brown"/>
    <x v="3"/>
    <n v="2.9"/>
    <x v="1"/>
    <x v="2"/>
    <x v="1"/>
    <x v="1"/>
    <n v="32"/>
    <x v="4"/>
    <x v="4"/>
  </r>
  <r>
    <n v="2171"/>
    <n v="40"/>
    <x v="0"/>
    <x v="1"/>
    <x v="0"/>
    <n v="32"/>
    <x v="36"/>
    <x v="2"/>
    <s v="Turquoise"/>
    <x v="3"/>
    <n v="4"/>
    <x v="1"/>
    <x v="2"/>
    <x v="1"/>
    <x v="1"/>
    <n v="37"/>
    <x v="0"/>
    <x v="6"/>
  </r>
  <r>
    <n v="2172"/>
    <n v="39"/>
    <x v="0"/>
    <x v="6"/>
    <x v="0"/>
    <n v="98"/>
    <x v="9"/>
    <x v="2"/>
    <s v="Yellow"/>
    <x v="2"/>
    <n v="4.5999999999999996"/>
    <x v="1"/>
    <x v="5"/>
    <x v="1"/>
    <x v="1"/>
    <n v="9"/>
    <x v="1"/>
    <x v="0"/>
  </r>
  <r>
    <n v="2173"/>
    <n v="28"/>
    <x v="0"/>
    <x v="11"/>
    <x v="0"/>
    <n v="89"/>
    <x v="3"/>
    <x v="1"/>
    <s v="Lavender"/>
    <x v="3"/>
    <n v="2.8"/>
    <x v="1"/>
    <x v="5"/>
    <x v="1"/>
    <x v="1"/>
    <n v="6"/>
    <x v="3"/>
    <x v="0"/>
  </r>
  <r>
    <n v="2174"/>
    <n v="23"/>
    <x v="0"/>
    <x v="24"/>
    <x v="3"/>
    <n v="97"/>
    <x v="12"/>
    <x v="1"/>
    <s v="Cyan"/>
    <x v="2"/>
    <n v="5"/>
    <x v="1"/>
    <x v="4"/>
    <x v="1"/>
    <x v="1"/>
    <n v="36"/>
    <x v="0"/>
    <x v="3"/>
  </r>
  <r>
    <n v="2175"/>
    <n v="42"/>
    <x v="0"/>
    <x v="21"/>
    <x v="3"/>
    <n v="49"/>
    <x v="24"/>
    <x v="1"/>
    <s v="Olive"/>
    <x v="1"/>
    <n v="2.9"/>
    <x v="1"/>
    <x v="5"/>
    <x v="1"/>
    <x v="1"/>
    <n v="1"/>
    <x v="1"/>
    <x v="2"/>
  </r>
  <r>
    <n v="2176"/>
    <n v="68"/>
    <x v="0"/>
    <x v="10"/>
    <x v="0"/>
    <n v="50"/>
    <x v="43"/>
    <x v="2"/>
    <s v="Silver"/>
    <x v="1"/>
    <n v="3.3"/>
    <x v="1"/>
    <x v="1"/>
    <x v="1"/>
    <x v="1"/>
    <n v="48"/>
    <x v="2"/>
    <x v="0"/>
  </r>
  <r>
    <n v="2177"/>
    <n v="24"/>
    <x v="0"/>
    <x v="22"/>
    <x v="3"/>
    <n v="91"/>
    <x v="34"/>
    <x v="1"/>
    <s v="Red"/>
    <x v="0"/>
    <n v="3.4"/>
    <x v="1"/>
    <x v="4"/>
    <x v="1"/>
    <x v="1"/>
    <n v="44"/>
    <x v="5"/>
    <x v="3"/>
  </r>
  <r>
    <n v="2178"/>
    <n v="24"/>
    <x v="0"/>
    <x v="24"/>
    <x v="3"/>
    <n v="93"/>
    <x v="6"/>
    <x v="3"/>
    <s v="Green"/>
    <x v="0"/>
    <n v="3"/>
    <x v="1"/>
    <x v="0"/>
    <x v="1"/>
    <x v="1"/>
    <n v="9"/>
    <x v="3"/>
    <x v="4"/>
  </r>
  <r>
    <n v="2179"/>
    <n v="21"/>
    <x v="0"/>
    <x v="16"/>
    <x v="3"/>
    <n v="98"/>
    <x v="20"/>
    <x v="2"/>
    <s v="Gold"/>
    <x v="2"/>
    <n v="4.7"/>
    <x v="1"/>
    <x v="3"/>
    <x v="1"/>
    <x v="1"/>
    <n v="32"/>
    <x v="0"/>
    <x v="2"/>
  </r>
  <r>
    <n v="2180"/>
    <n v="49"/>
    <x v="0"/>
    <x v="20"/>
    <x v="0"/>
    <n v="82"/>
    <x v="12"/>
    <x v="0"/>
    <s v="Lavender"/>
    <x v="3"/>
    <n v="2.9"/>
    <x v="1"/>
    <x v="2"/>
    <x v="1"/>
    <x v="1"/>
    <n v="14"/>
    <x v="3"/>
    <x v="5"/>
  </r>
  <r>
    <n v="2181"/>
    <n v="41"/>
    <x v="0"/>
    <x v="7"/>
    <x v="2"/>
    <n v="37"/>
    <x v="39"/>
    <x v="2"/>
    <s v="Yellow"/>
    <x v="2"/>
    <n v="4.0999999999999996"/>
    <x v="1"/>
    <x v="5"/>
    <x v="1"/>
    <x v="1"/>
    <n v="43"/>
    <x v="1"/>
    <x v="3"/>
  </r>
  <r>
    <n v="2182"/>
    <n v="22"/>
    <x v="0"/>
    <x v="8"/>
    <x v="3"/>
    <n v="63"/>
    <x v="11"/>
    <x v="2"/>
    <s v="Black"/>
    <x v="3"/>
    <n v="3.2"/>
    <x v="1"/>
    <x v="1"/>
    <x v="1"/>
    <x v="1"/>
    <n v="32"/>
    <x v="4"/>
    <x v="4"/>
  </r>
  <r>
    <n v="2183"/>
    <n v="42"/>
    <x v="0"/>
    <x v="0"/>
    <x v="0"/>
    <n v="99"/>
    <x v="35"/>
    <x v="2"/>
    <s v="Maroon"/>
    <x v="0"/>
    <n v="2.7"/>
    <x v="1"/>
    <x v="5"/>
    <x v="1"/>
    <x v="1"/>
    <n v="26"/>
    <x v="0"/>
    <x v="4"/>
  </r>
  <r>
    <n v="2184"/>
    <n v="30"/>
    <x v="0"/>
    <x v="6"/>
    <x v="0"/>
    <n v="37"/>
    <x v="23"/>
    <x v="2"/>
    <s v="Maroon"/>
    <x v="1"/>
    <n v="4.7"/>
    <x v="1"/>
    <x v="5"/>
    <x v="1"/>
    <x v="1"/>
    <n v="2"/>
    <x v="1"/>
    <x v="5"/>
  </r>
  <r>
    <n v="2185"/>
    <n v="38"/>
    <x v="0"/>
    <x v="9"/>
    <x v="1"/>
    <n v="34"/>
    <x v="22"/>
    <x v="1"/>
    <s v="Gold"/>
    <x v="1"/>
    <n v="3.2"/>
    <x v="1"/>
    <x v="1"/>
    <x v="1"/>
    <x v="1"/>
    <n v="16"/>
    <x v="3"/>
    <x v="6"/>
  </r>
  <r>
    <n v="2186"/>
    <n v="40"/>
    <x v="0"/>
    <x v="6"/>
    <x v="0"/>
    <n v="32"/>
    <x v="17"/>
    <x v="2"/>
    <s v="Violet"/>
    <x v="0"/>
    <n v="2.5"/>
    <x v="1"/>
    <x v="0"/>
    <x v="1"/>
    <x v="1"/>
    <n v="50"/>
    <x v="5"/>
    <x v="6"/>
  </r>
  <r>
    <n v="2187"/>
    <n v="55"/>
    <x v="0"/>
    <x v="3"/>
    <x v="1"/>
    <n v="23"/>
    <x v="35"/>
    <x v="3"/>
    <s v="Teal"/>
    <x v="0"/>
    <n v="4.3"/>
    <x v="1"/>
    <x v="2"/>
    <x v="1"/>
    <x v="1"/>
    <n v="6"/>
    <x v="3"/>
    <x v="6"/>
  </r>
  <r>
    <n v="2188"/>
    <n v="37"/>
    <x v="0"/>
    <x v="0"/>
    <x v="0"/>
    <n v="78"/>
    <x v="37"/>
    <x v="2"/>
    <s v="Violet"/>
    <x v="1"/>
    <n v="4.4000000000000004"/>
    <x v="1"/>
    <x v="1"/>
    <x v="1"/>
    <x v="1"/>
    <n v="20"/>
    <x v="3"/>
    <x v="2"/>
  </r>
  <r>
    <n v="2189"/>
    <n v="41"/>
    <x v="0"/>
    <x v="7"/>
    <x v="2"/>
    <n v="54"/>
    <x v="18"/>
    <x v="2"/>
    <s v="Brown"/>
    <x v="0"/>
    <n v="4.7"/>
    <x v="1"/>
    <x v="2"/>
    <x v="1"/>
    <x v="1"/>
    <n v="9"/>
    <x v="2"/>
    <x v="1"/>
  </r>
  <r>
    <n v="2190"/>
    <n v="38"/>
    <x v="0"/>
    <x v="0"/>
    <x v="0"/>
    <n v="94"/>
    <x v="48"/>
    <x v="3"/>
    <s v="Brown"/>
    <x v="3"/>
    <n v="4"/>
    <x v="1"/>
    <x v="0"/>
    <x v="1"/>
    <x v="1"/>
    <n v="47"/>
    <x v="2"/>
    <x v="4"/>
  </r>
  <r>
    <n v="2191"/>
    <n v="42"/>
    <x v="0"/>
    <x v="22"/>
    <x v="3"/>
    <n v="75"/>
    <x v="29"/>
    <x v="1"/>
    <s v="Maroon"/>
    <x v="1"/>
    <n v="4.5999999999999996"/>
    <x v="1"/>
    <x v="0"/>
    <x v="1"/>
    <x v="1"/>
    <n v="33"/>
    <x v="2"/>
    <x v="2"/>
  </r>
  <r>
    <n v="2192"/>
    <n v="26"/>
    <x v="0"/>
    <x v="0"/>
    <x v="0"/>
    <n v="69"/>
    <x v="38"/>
    <x v="1"/>
    <s v="Maroon"/>
    <x v="2"/>
    <n v="3.8"/>
    <x v="1"/>
    <x v="2"/>
    <x v="1"/>
    <x v="1"/>
    <n v="46"/>
    <x v="1"/>
    <x v="4"/>
  </r>
  <r>
    <n v="2193"/>
    <n v="41"/>
    <x v="0"/>
    <x v="18"/>
    <x v="3"/>
    <n v="35"/>
    <x v="41"/>
    <x v="0"/>
    <s v="Yellow"/>
    <x v="0"/>
    <n v="3.2"/>
    <x v="1"/>
    <x v="2"/>
    <x v="1"/>
    <x v="1"/>
    <n v="9"/>
    <x v="2"/>
    <x v="5"/>
  </r>
  <r>
    <n v="2194"/>
    <n v="27"/>
    <x v="0"/>
    <x v="5"/>
    <x v="0"/>
    <n v="78"/>
    <x v="18"/>
    <x v="0"/>
    <s v="Turquoise"/>
    <x v="1"/>
    <n v="5"/>
    <x v="1"/>
    <x v="0"/>
    <x v="1"/>
    <x v="1"/>
    <n v="8"/>
    <x v="3"/>
    <x v="5"/>
  </r>
  <r>
    <n v="2195"/>
    <n v="61"/>
    <x v="0"/>
    <x v="20"/>
    <x v="0"/>
    <n v="29"/>
    <x v="0"/>
    <x v="2"/>
    <s v="Silver"/>
    <x v="2"/>
    <n v="3.5"/>
    <x v="1"/>
    <x v="3"/>
    <x v="1"/>
    <x v="1"/>
    <n v="48"/>
    <x v="4"/>
    <x v="3"/>
  </r>
  <r>
    <n v="2196"/>
    <n v="58"/>
    <x v="0"/>
    <x v="2"/>
    <x v="0"/>
    <n v="62"/>
    <x v="14"/>
    <x v="2"/>
    <s v="Brown"/>
    <x v="3"/>
    <n v="3.7"/>
    <x v="1"/>
    <x v="2"/>
    <x v="1"/>
    <x v="1"/>
    <n v="2"/>
    <x v="1"/>
    <x v="5"/>
  </r>
  <r>
    <n v="2197"/>
    <n v="25"/>
    <x v="0"/>
    <x v="10"/>
    <x v="0"/>
    <n v="58"/>
    <x v="34"/>
    <x v="2"/>
    <s v="Gray"/>
    <x v="1"/>
    <n v="4.8"/>
    <x v="1"/>
    <x v="2"/>
    <x v="1"/>
    <x v="1"/>
    <n v="31"/>
    <x v="3"/>
    <x v="1"/>
  </r>
  <r>
    <n v="2198"/>
    <n v="33"/>
    <x v="0"/>
    <x v="23"/>
    <x v="1"/>
    <n v="88"/>
    <x v="38"/>
    <x v="2"/>
    <s v="Indigo"/>
    <x v="2"/>
    <n v="3.7"/>
    <x v="1"/>
    <x v="4"/>
    <x v="1"/>
    <x v="1"/>
    <n v="40"/>
    <x v="0"/>
    <x v="5"/>
  </r>
  <r>
    <n v="2199"/>
    <n v="57"/>
    <x v="0"/>
    <x v="18"/>
    <x v="3"/>
    <n v="80"/>
    <x v="14"/>
    <x v="0"/>
    <s v="Turquoise"/>
    <x v="2"/>
    <n v="3.5"/>
    <x v="1"/>
    <x v="1"/>
    <x v="1"/>
    <x v="1"/>
    <n v="35"/>
    <x v="0"/>
    <x v="5"/>
  </r>
  <r>
    <n v="2200"/>
    <n v="39"/>
    <x v="0"/>
    <x v="18"/>
    <x v="3"/>
    <n v="47"/>
    <x v="17"/>
    <x v="2"/>
    <s v="Maroon"/>
    <x v="2"/>
    <n v="4.9000000000000004"/>
    <x v="1"/>
    <x v="5"/>
    <x v="1"/>
    <x v="1"/>
    <n v="40"/>
    <x v="5"/>
    <x v="5"/>
  </r>
  <r>
    <n v="2201"/>
    <n v="60"/>
    <x v="0"/>
    <x v="24"/>
    <x v="3"/>
    <n v="51"/>
    <x v="5"/>
    <x v="0"/>
    <s v="Charcoal"/>
    <x v="2"/>
    <n v="4.7"/>
    <x v="1"/>
    <x v="2"/>
    <x v="1"/>
    <x v="1"/>
    <n v="27"/>
    <x v="5"/>
    <x v="6"/>
  </r>
  <r>
    <n v="2202"/>
    <n v="39"/>
    <x v="0"/>
    <x v="13"/>
    <x v="0"/>
    <n v="25"/>
    <x v="31"/>
    <x v="0"/>
    <s v="Peach"/>
    <x v="1"/>
    <n v="4.9000000000000004"/>
    <x v="1"/>
    <x v="4"/>
    <x v="1"/>
    <x v="1"/>
    <n v="10"/>
    <x v="0"/>
    <x v="2"/>
  </r>
  <r>
    <n v="2203"/>
    <n v="42"/>
    <x v="0"/>
    <x v="10"/>
    <x v="0"/>
    <n v="36"/>
    <x v="15"/>
    <x v="2"/>
    <s v="Red"/>
    <x v="2"/>
    <n v="4.3"/>
    <x v="1"/>
    <x v="2"/>
    <x v="1"/>
    <x v="1"/>
    <n v="23"/>
    <x v="2"/>
    <x v="1"/>
  </r>
  <r>
    <n v="2204"/>
    <n v="53"/>
    <x v="0"/>
    <x v="10"/>
    <x v="0"/>
    <n v="79"/>
    <x v="3"/>
    <x v="2"/>
    <s v="Indigo"/>
    <x v="0"/>
    <n v="3.1"/>
    <x v="1"/>
    <x v="1"/>
    <x v="1"/>
    <x v="1"/>
    <n v="32"/>
    <x v="1"/>
    <x v="3"/>
  </r>
  <r>
    <n v="2205"/>
    <n v="20"/>
    <x v="0"/>
    <x v="2"/>
    <x v="0"/>
    <n v="41"/>
    <x v="4"/>
    <x v="1"/>
    <s v="Lavender"/>
    <x v="0"/>
    <n v="3.4"/>
    <x v="1"/>
    <x v="4"/>
    <x v="1"/>
    <x v="1"/>
    <n v="6"/>
    <x v="5"/>
    <x v="5"/>
  </r>
  <r>
    <n v="2206"/>
    <n v="46"/>
    <x v="0"/>
    <x v="1"/>
    <x v="0"/>
    <n v="68"/>
    <x v="25"/>
    <x v="3"/>
    <s v="Red"/>
    <x v="3"/>
    <n v="2.7"/>
    <x v="1"/>
    <x v="0"/>
    <x v="1"/>
    <x v="1"/>
    <n v="27"/>
    <x v="3"/>
    <x v="1"/>
  </r>
  <r>
    <n v="2207"/>
    <n v="46"/>
    <x v="0"/>
    <x v="3"/>
    <x v="1"/>
    <n v="51"/>
    <x v="26"/>
    <x v="0"/>
    <s v="Green"/>
    <x v="1"/>
    <n v="2.6"/>
    <x v="1"/>
    <x v="5"/>
    <x v="1"/>
    <x v="1"/>
    <n v="25"/>
    <x v="4"/>
    <x v="0"/>
  </r>
  <r>
    <n v="2208"/>
    <n v="69"/>
    <x v="0"/>
    <x v="8"/>
    <x v="3"/>
    <n v="38"/>
    <x v="35"/>
    <x v="2"/>
    <s v="Gray"/>
    <x v="3"/>
    <n v="2.9"/>
    <x v="1"/>
    <x v="2"/>
    <x v="1"/>
    <x v="1"/>
    <n v="11"/>
    <x v="2"/>
    <x v="2"/>
  </r>
  <r>
    <n v="2209"/>
    <n v="28"/>
    <x v="0"/>
    <x v="18"/>
    <x v="3"/>
    <n v="46"/>
    <x v="24"/>
    <x v="3"/>
    <s v="Violet"/>
    <x v="2"/>
    <n v="2.7"/>
    <x v="1"/>
    <x v="4"/>
    <x v="1"/>
    <x v="1"/>
    <n v="23"/>
    <x v="3"/>
    <x v="5"/>
  </r>
  <r>
    <n v="2210"/>
    <n v="42"/>
    <x v="0"/>
    <x v="3"/>
    <x v="1"/>
    <n v="20"/>
    <x v="40"/>
    <x v="3"/>
    <s v="Beige"/>
    <x v="2"/>
    <n v="4.5"/>
    <x v="1"/>
    <x v="4"/>
    <x v="1"/>
    <x v="1"/>
    <n v="44"/>
    <x v="4"/>
    <x v="3"/>
  </r>
  <r>
    <n v="2211"/>
    <n v="30"/>
    <x v="0"/>
    <x v="12"/>
    <x v="3"/>
    <n v="25"/>
    <x v="41"/>
    <x v="2"/>
    <s v="Orange"/>
    <x v="2"/>
    <n v="3.1"/>
    <x v="1"/>
    <x v="5"/>
    <x v="1"/>
    <x v="1"/>
    <n v="35"/>
    <x v="3"/>
    <x v="0"/>
  </r>
  <r>
    <n v="2212"/>
    <n v="50"/>
    <x v="0"/>
    <x v="1"/>
    <x v="0"/>
    <n v="89"/>
    <x v="1"/>
    <x v="0"/>
    <s v="Purple"/>
    <x v="0"/>
    <n v="3.2"/>
    <x v="1"/>
    <x v="1"/>
    <x v="1"/>
    <x v="1"/>
    <n v="45"/>
    <x v="5"/>
    <x v="6"/>
  </r>
  <r>
    <n v="2213"/>
    <n v="59"/>
    <x v="0"/>
    <x v="13"/>
    <x v="0"/>
    <n v="77"/>
    <x v="43"/>
    <x v="2"/>
    <s v="Brown"/>
    <x v="0"/>
    <n v="3.3"/>
    <x v="1"/>
    <x v="2"/>
    <x v="1"/>
    <x v="1"/>
    <n v="22"/>
    <x v="4"/>
    <x v="3"/>
  </r>
  <r>
    <n v="2214"/>
    <n v="54"/>
    <x v="0"/>
    <x v="19"/>
    <x v="3"/>
    <n v="94"/>
    <x v="11"/>
    <x v="2"/>
    <s v="Maroon"/>
    <x v="3"/>
    <n v="2.9"/>
    <x v="1"/>
    <x v="0"/>
    <x v="1"/>
    <x v="1"/>
    <n v="18"/>
    <x v="5"/>
    <x v="3"/>
  </r>
  <r>
    <n v="2215"/>
    <n v="50"/>
    <x v="0"/>
    <x v="22"/>
    <x v="3"/>
    <n v="100"/>
    <x v="37"/>
    <x v="0"/>
    <s v="Gold"/>
    <x v="3"/>
    <n v="4.0999999999999996"/>
    <x v="1"/>
    <x v="3"/>
    <x v="1"/>
    <x v="1"/>
    <n v="20"/>
    <x v="5"/>
    <x v="1"/>
  </r>
  <r>
    <n v="2216"/>
    <n v="25"/>
    <x v="0"/>
    <x v="3"/>
    <x v="1"/>
    <n v="96"/>
    <x v="8"/>
    <x v="2"/>
    <s v="Indigo"/>
    <x v="0"/>
    <n v="2.7"/>
    <x v="1"/>
    <x v="0"/>
    <x v="1"/>
    <x v="1"/>
    <n v="28"/>
    <x v="2"/>
    <x v="0"/>
  </r>
  <r>
    <n v="2217"/>
    <n v="41"/>
    <x v="0"/>
    <x v="13"/>
    <x v="0"/>
    <n v="36"/>
    <x v="34"/>
    <x v="3"/>
    <s v="Silver"/>
    <x v="0"/>
    <n v="4"/>
    <x v="1"/>
    <x v="5"/>
    <x v="1"/>
    <x v="1"/>
    <n v="15"/>
    <x v="0"/>
    <x v="4"/>
  </r>
  <r>
    <n v="2218"/>
    <n v="35"/>
    <x v="0"/>
    <x v="16"/>
    <x v="3"/>
    <n v="27"/>
    <x v="27"/>
    <x v="3"/>
    <s v="Red"/>
    <x v="3"/>
    <n v="2.6"/>
    <x v="1"/>
    <x v="5"/>
    <x v="1"/>
    <x v="1"/>
    <n v="42"/>
    <x v="4"/>
    <x v="0"/>
  </r>
  <r>
    <n v="2219"/>
    <n v="67"/>
    <x v="0"/>
    <x v="12"/>
    <x v="3"/>
    <n v="67"/>
    <x v="37"/>
    <x v="2"/>
    <s v="Magenta"/>
    <x v="0"/>
    <n v="3.5"/>
    <x v="1"/>
    <x v="5"/>
    <x v="1"/>
    <x v="1"/>
    <n v="20"/>
    <x v="5"/>
    <x v="3"/>
  </r>
  <r>
    <n v="2220"/>
    <n v="33"/>
    <x v="0"/>
    <x v="0"/>
    <x v="0"/>
    <n v="91"/>
    <x v="46"/>
    <x v="1"/>
    <s v="Purple"/>
    <x v="3"/>
    <n v="2.8"/>
    <x v="1"/>
    <x v="5"/>
    <x v="1"/>
    <x v="1"/>
    <n v="16"/>
    <x v="4"/>
    <x v="0"/>
  </r>
  <r>
    <n v="2221"/>
    <n v="19"/>
    <x v="0"/>
    <x v="22"/>
    <x v="3"/>
    <n v="62"/>
    <x v="5"/>
    <x v="3"/>
    <s v="Beige"/>
    <x v="3"/>
    <n v="4.5"/>
    <x v="1"/>
    <x v="5"/>
    <x v="1"/>
    <x v="1"/>
    <n v="47"/>
    <x v="1"/>
    <x v="2"/>
  </r>
  <r>
    <n v="2222"/>
    <n v="25"/>
    <x v="0"/>
    <x v="6"/>
    <x v="0"/>
    <n v="88"/>
    <x v="23"/>
    <x v="3"/>
    <s v="White"/>
    <x v="3"/>
    <n v="3"/>
    <x v="1"/>
    <x v="1"/>
    <x v="1"/>
    <x v="1"/>
    <n v="34"/>
    <x v="2"/>
    <x v="2"/>
  </r>
  <r>
    <n v="2223"/>
    <n v="32"/>
    <x v="0"/>
    <x v="13"/>
    <x v="0"/>
    <n v="66"/>
    <x v="42"/>
    <x v="2"/>
    <s v="Teal"/>
    <x v="2"/>
    <n v="4.4000000000000004"/>
    <x v="1"/>
    <x v="5"/>
    <x v="1"/>
    <x v="1"/>
    <n v="30"/>
    <x v="2"/>
    <x v="1"/>
  </r>
  <r>
    <n v="2224"/>
    <n v="30"/>
    <x v="0"/>
    <x v="3"/>
    <x v="1"/>
    <n v="65"/>
    <x v="23"/>
    <x v="2"/>
    <s v="Gray"/>
    <x v="3"/>
    <n v="4.7"/>
    <x v="1"/>
    <x v="2"/>
    <x v="1"/>
    <x v="1"/>
    <n v="5"/>
    <x v="3"/>
    <x v="3"/>
  </r>
  <r>
    <n v="2225"/>
    <n v="18"/>
    <x v="0"/>
    <x v="24"/>
    <x v="3"/>
    <n v="25"/>
    <x v="43"/>
    <x v="0"/>
    <s v="Charcoal"/>
    <x v="0"/>
    <n v="4.3"/>
    <x v="1"/>
    <x v="3"/>
    <x v="1"/>
    <x v="1"/>
    <n v="38"/>
    <x v="1"/>
    <x v="3"/>
  </r>
  <r>
    <n v="2226"/>
    <n v="38"/>
    <x v="0"/>
    <x v="22"/>
    <x v="3"/>
    <n v="64"/>
    <x v="47"/>
    <x v="1"/>
    <s v="Olive"/>
    <x v="1"/>
    <n v="4.8"/>
    <x v="1"/>
    <x v="1"/>
    <x v="1"/>
    <x v="1"/>
    <n v="18"/>
    <x v="2"/>
    <x v="2"/>
  </r>
  <r>
    <n v="2227"/>
    <n v="22"/>
    <x v="0"/>
    <x v="5"/>
    <x v="0"/>
    <n v="72"/>
    <x v="9"/>
    <x v="0"/>
    <s v="Blue"/>
    <x v="1"/>
    <n v="4.8"/>
    <x v="1"/>
    <x v="5"/>
    <x v="1"/>
    <x v="1"/>
    <n v="28"/>
    <x v="1"/>
    <x v="2"/>
  </r>
  <r>
    <n v="2228"/>
    <n v="40"/>
    <x v="0"/>
    <x v="18"/>
    <x v="3"/>
    <n v="74"/>
    <x v="47"/>
    <x v="1"/>
    <s v="Gray"/>
    <x v="2"/>
    <n v="4.4000000000000004"/>
    <x v="1"/>
    <x v="2"/>
    <x v="1"/>
    <x v="1"/>
    <n v="42"/>
    <x v="2"/>
    <x v="0"/>
  </r>
  <r>
    <n v="2229"/>
    <n v="54"/>
    <x v="0"/>
    <x v="24"/>
    <x v="3"/>
    <n v="50"/>
    <x v="23"/>
    <x v="2"/>
    <s v="Green"/>
    <x v="3"/>
    <n v="3.7"/>
    <x v="1"/>
    <x v="1"/>
    <x v="1"/>
    <x v="1"/>
    <n v="5"/>
    <x v="2"/>
    <x v="1"/>
  </r>
  <r>
    <n v="2230"/>
    <n v="70"/>
    <x v="0"/>
    <x v="13"/>
    <x v="0"/>
    <n v="97"/>
    <x v="46"/>
    <x v="2"/>
    <s v="Silver"/>
    <x v="3"/>
    <n v="3.9"/>
    <x v="1"/>
    <x v="0"/>
    <x v="1"/>
    <x v="1"/>
    <n v="50"/>
    <x v="0"/>
    <x v="5"/>
  </r>
  <r>
    <n v="2231"/>
    <n v="52"/>
    <x v="0"/>
    <x v="4"/>
    <x v="1"/>
    <n v="36"/>
    <x v="24"/>
    <x v="1"/>
    <s v="Teal"/>
    <x v="1"/>
    <n v="3.8"/>
    <x v="1"/>
    <x v="0"/>
    <x v="1"/>
    <x v="1"/>
    <n v="33"/>
    <x v="0"/>
    <x v="0"/>
  </r>
  <r>
    <n v="2232"/>
    <n v="34"/>
    <x v="0"/>
    <x v="14"/>
    <x v="2"/>
    <n v="49"/>
    <x v="40"/>
    <x v="2"/>
    <s v="Beige"/>
    <x v="3"/>
    <n v="4.0999999999999996"/>
    <x v="1"/>
    <x v="5"/>
    <x v="1"/>
    <x v="1"/>
    <n v="1"/>
    <x v="2"/>
    <x v="1"/>
  </r>
  <r>
    <n v="2233"/>
    <n v="65"/>
    <x v="0"/>
    <x v="9"/>
    <x v="1"/>
    <n v="64"/>
    <x v="17"/>
    <x v="0"/>
    <s v="Lavender"/>
    <x v="1"/>
    <n v="4"/>
    <x v="1"/>
    <x v="5"/>
    <x v="1"/>
    <x v="1"/>
    <n v="14"/>
    <x v="1"/>
    <x v="0"/>
  </r>
  <r>
    <n v="2234"/>
    <n v="38"/>
    <x v="0"/>
    <x v="0"/>
    <x v="0"/>
    <n v="31"/>
    <x v="20"/>
    <x v="3"/>
    <s v="Gray"/>
    <x v="2"/>
    <n v="4.5"/>
    <x v="1"/>
    <x v="0"/>
    <x v="1"/>
    <x v="1"/>
    <n v="48"/>
    <x v="2"/>
    <x v="5"/>
  </r>
  <r>
    <n v="2235"/>
    <n v="35"/>
    <x v="0"/>
    <x v="23"/>
    <x v="1"/>
    <n v="66"/>
    <x v="13"/>
    <x v="1"/>
    <s v="Yellow"/>
    <x v="0"/>
    <n v="4"/>
    <x v="1"/>
    <x v="0"/>
    <x v="1"/>
    <x v="1"/>
    <n v="26"/>
    <x v="1"/>
    <x v="1"/>
  </r>
  <r>
    <n v="2236"/>
    <n v="40"/>
    <x v="0"/>
    <x v="20"/>
    <x v="0"/>
    <n v="82"/>
    <x v="26"/>
    <x v="2"/>
    <s v="Gray"/>
    <x v="1"/>
    <n v="4.5"/>
    <x v="1"/>
    <x v="4"/>
    <x v="1"/>
    <x v="1"/>
    <n v="44"/>
    <x v="2"/>
    <x v="2"/>
  </r>
  <r>
    <n v="2237"/>
    <n v="23"/>
    <x v="0"/>
    <x v="17"/>
    <x v="0"/>
    <n v="88"/>
    <x v="7"/>
    <x v="2"/>
    <s v="Yellow"/>
    <x v="0"/>
    <n v="2.7"/>
    <x v="1"/>
    <x v="3"/>
    <x v="1"/>
    <x v="1"/>
    <n v="18"/>
    <x v="5"/>
    <x v="0"/>
  </r>
  <r>
    <n v="2238"/>
    <n v="45"/>
    <x v="0"/>
    <x v="3"/>
    <x v="1"/>
    <n v="34"/>
    <x v="15"/>
    <x v="1"/>
    <s v="Black"/>
    <x v="2"/>
    <n v="3.8"/>
    <x v="1"/>
    <x v="2"/>
    <x v="1"/>
    <x v="1"/>
    <n v="31"/>
    <x v="0"/>
    <x v="6"/>
  </r>
  <r>
    <n v="2239"/>
    <n v="40"/>
    <x v="0"/>
    <x v="4"/>
    <x v="1"/>
    <n v="84"/>
    <x v="20"/>
    <x v="0"/>
    <s v="Beige"/>
    <x v="0"/>
    <n v="3.8"/>
    <x v="1"/>
    <x v="3"/>
    <x v="1"/>
    <x v="1"/>
    <n v="18"/>
    <x v="5"/>
    <x v="1"/>
  </r>
  <r>
    <n v="2240"/>
    <n v="42"/>
    <x v="0"/>
    <x v="16"/>
    <x v="3"/>
    <n v="96"/>
    <x v="15"/>
    <x v="0"/>
    <s v="Indigo"/>
    <x v="2"/>
    <n v="3.8"/>
    <x v="1"/>
    <x v="4"/>
    <x v="1"/>
    <x v="1"/>
    <n v="41"/>
    <x v="2"/>
    <x v="6"/>
  </r>
  <r>
    <n v="2241"/>
    <n v="57"/>
    <x v="0"/>
    <x v="3"/>
    <x v="1"/>
    <n v="71"/>
    <x v="18"/>
    <x v="0"/>
    <s v="Green"/>
    <x v="0"/>
    <n v="4.3"/>
    <x v="1"/>
    <x v="2"/>
    <x v="1"/>
    <x v="1"/>
    <n v="18"/>
    <x v="5"/>
    <x v="6"/>
  </r>
  <r>
    <n v="2242"/>
    <n v="18"/>
    <x v="0"/>
    <x v="14"/>
    <x v="2"/>
    <n v="77"/>
    <x v="33"/>
    <x v="2"/>
    <s v="Purple"/>
    <x v="2"/>
    <n v="3.5"/>
    <x v="1"/>
    <x v="1"/>
    <x v="1"/>
    <x v="1"/>
    <n v="3"/>
    <x v="4"/>
    <x v="4"/>
  </r>
  <r>
    <n v="2243"/>
    <n v="18"/>
    <x v="0"/>
    <x v="11"/>
    <x v="0"/>
    <n v="66"/>
    <x v="22"/>
    <x v="2"/>
    <s v="Orange"/>
    <x v="1"/>
    <n v="3.8"/>
    <x v="1"/>
    <x v="2"/>
    <x v="1"/>
    <x v="1"/>
    <n v="5"/>
    <x v="2"/>
    <x v="4"/>
  </r>
  <r>
    <n v="2244"/>
    <n v="56"/>
    <x v="0"/>
    <x v="5"/>
    <x v="0"/>
    <n v="21"/>
    <x v="2"/>
    <x v="2"/>
    <s v="Teal"/>
    <x v="0"/>
    <n v="3.7"/>
    <x v="1"/>
    <x v="4"/>
    <x v="1"/>
    <x v="1"/>
    <n v="13"/>
    <x v="5"/>
    <x v="2"/>
  </r>
  <r>
    <n v="2245"/>
    <n v="35"/>
    <x v="0"/>
    <x v="6"/>
    <x v="0"/>
    <n v="37"/>
    <x v="36"/>
    <x v="2"/>
    <s v="Gold"/>
    <x v="2"/>
    <n v="4.8"/>
    <x v="1"/>
    <x v="4"/>
    <x v="1"/>
    <x v="1"/>
    <n v="22"/>
    <x v="3"/>
    <x v="2"/>
  </r>
  <r>
    <n v="2246"/>
    <n v="49"/>
    <x v="0"/>
    <x v="20"/>
    <x v="0"/>
    <n v="90"/>
    <x v="12"/>
    <x v="0"/>
    <s v="Gray"/>
    <x v="3"/>
    <n v="4.9000000000000004"/>
    <x v="1"/>
    <x v="1"/>
    <x v="1"/>
    <x v="1"/>
    <n v="45"/>
    <x v="3"/>
    <x v="0"/>
  </r>
  <r>
    <n v="2247"/>
    <n v="49"/>
    <x v="0"/>
    <x v="14"/>
    <x v="2"/>
    <n v="96"/>
    <x v="11"/>
    <x v="2"/>
    <s v="Cyan"/>
    <x v="3"/>
    <n v="4.3"/>
    <x v="1"/>
    <x v="5"/>
    <x v="1"/>
    <x v="1"/>
    <n v="39"/>
    <x v="3"/>
    <x v="6"/>
  </r>
  <r>
    <n v="2248"/>
    <n v="34"/>
    <x v="0"/>
    <x v="16"/>
    <x v="3"/>
    <n v="37"/>
    <x v="20"/>
    <x v="0"/>
    <s v="Teal"/>
    <x v="2"/>
    <n v="4.4000000000000004"/>
    <x v="1"/>
    <x v="2"/>
    <x v="1"/>
    <x v="1"/>
    <n v="18"/>
    <x v="0"/>
    <x v="2"/>
  </r>
  <r>
    <n v="2249"/>
    <n v="63"/>
    <x v="0"/>
    <x v="17"/>
    <x v="0"/>
    <n v="66"/>
    <x v="3"/>
    <x v="2"/>
    <s v="Violet"/>
    <x v="0"/>
    <n v="3.4"/>
    <x v="1"/>
    <x v="1"/>
    <x v="1"/>
    <x v="1"/>
    <n v="19"/>
    <x v="3"/>
    <x v="0"/>
  </r>
  <r>
    <n v="2250"/>
    <n v="42"/>
    <x v="0"/>
    <x v="24"/>
    <x v="3"/>
    <n v="45"/>
    <x v="5"/>
    <x v="3"/>
    <s v="Indigo"/>
    <x v="1"/>
    <n v="4.3"/>
    <x v="1"/>
    <x v="2"/>
    <x v="1"/>
    <x v="1"/>
    <n v="29"/>
    <x v="5"/>
    <x v="1"/>
  </r>
  <r>
    <n v="2251"/>
    <n v="41"/>
    <x v="0"/>
    <x v="9"/>
    <x v="1"/>
    <n v="89"/>
    <x v="24"/>
    <x v="0"/>
    <s v="Pink"/>
    <x v="2"/>
    <n v="4.5999999999999996"/>
    <x v="1"/>
    <x v="5"/>
    <x v="1"/>
    <x v="1"/>
    <n v="19"/>
    <x v="2"/>
    <x v="1"/>
  </r>
  <r>
    <n v="2252"/>
    <n v="26"/>
    <x v="0"/>
    <x v="9"/>
    <x v="1"/>
    <n v="94"/>
    <x v="41"/>
    <x v="0"/>
    <s v="Gold"/>
    <x v="3"/>
    <n v="3.8"/>
    <x v="1"/>
    <x v="1"/>
    <x v="1"/>
    <x v="1"/>
    <n v="22"/>
    <x v="5"/>
    <x v="5"/>
  </r>
  <r>
    <n v="2253"/>
    <n v="48"/>
    <x v="0"/>
    <x v="9"/>
    <x v="1"/>
    <n v="96"/>
    <x v="43"/>
    <x v="1"/>
    <s v="Maroon"/>
    <x v="2"/>
    <n v="3.9"/>
    <x v="1"/>
    <x v="0"/>
    <x v="1"/>
    <x v="1"/>
    <n v="21"/>
    <x v="4"/>
    <x v="2"/>
  </r>
  <r>
    <n v="2254"/>
    <n v="62"/>
    <x v="0"/>
    <x v="15"/>
    <x v="0"/>
    <n v="31"/>
    <x v="19"/>
    <x v="2"/>
    <s v="Brown"/>
    <x v="1"/>
    <n v="2.6"/>
    <x v="1"/>
    <x v="5"/>
    <x v="1"/>
    <x v="1"/>
    <n v="22"/>
    <x v="3"/>
    <x v="5"/>
  </r>
  <r>
    <n v="2255"/>
    <n v="24"/>
    <x v="0"/>
    <x v="22"/>
    <x v="3"/>
    <n v="79"/>
    <x v="25"/>
    <x v="2"/>
    <s v="Gold"/>
    <x v="0"/>
    <n v="4.2"/>
    <x v="1"/>
    <x v="5"/>
    <x v="1"/>
    <x v="1"/>
    <n v="44"/>
    <x v="3"/>
    <x v="6"/>
  </r>
  <r>
    <n v="2256"/>
    <n v="48"/>
    <x v="0"/>
    <x v="7"/>
    <x v="2"/>
    <n v="39"/>
    <x v="49"/>
    <x v="0"/>
    <s v="Teal"/>
    <x v="1"/>
    <n v="4.5999999999999996"/>
    <x v="1"/>
    <x v="5"/>
    <x v="1"/>
    <x v="1"/>
    <n v="42"/>
    <x v="4"/>
    <x v="3"/>
  </r>
  <r>
    <n v="2257"/>
    <n v="31"/>
    <x v="0"/>
    <x v="0"/>
    <x v="0"/>
    <n v="22"/>
    <x v="18"/>
    <x v="2"/>
    <s v="Turquoise"/>
    <x v="3"/>
    <n v="5"/>
    <x v="1"/>
    <x v="3"/>
    <x v="1"/>
    <x v="1"/>
    <n v="33"/>
    <x v="2"/>
    <x v="3"/>
  </r>
  <r>
    <n v="2258"/>
    <n v="41"/>
    <x v="0"/>
    <x v="11"/>
    <x v="0"/>
    <n v="32"/>
    <x v="30"/>
    <x v="0"/>
    <s v="Olive"/>
    <x v="3"/>
    <n v="4.2"/>
    <x v="1"/>
    <x v="3"/>
    <x v="1"/>
    <x v="1"/>
    <n v="6"/>
    <x v="4"/>
    <x v="2"/>
  </r>
  <r>
    <n v="2259"/>
    <n v="24"/>
    <x v="0"/>
    <x v="17"/>
    <x v="0"/>
    <n v="71"/>
    <x v="31"/>
    <x v="0"/>
    <s v="Cyan"/>
    <x v="0"/>
    <n v="4.3"/>
    <x v="1"/>
    <x v="5"/>
    <x v="1"/>
    <x v="1"/>
    <n v="44"/>
    <x v="2"/>
    <x v="6"/>
  </r>
  <r>
    <n v="2260"/>
    <n v="60"/>
    <x v="0"/>
    <x v="2"/>
    <x v="0"/>
    <n v="96"/>
    <x v="20"/>
    <x v="3"/>
    <s v="Beige"/>
    <x v="1"/>
    <n v="3.3"/>
    <x v="1"/>
    <x v="1"/>
    <x v="1"/>
    <x v="1"/>
    <n v="24"/>
    <x v="1"/>
    <x v="2"/>
  </r>
  <r>
    <n v="2261"/>
    <n v="38"/>
    <x v="0"/>
    <x v="18"/>
    <x v="3"/>
    <n v="82"/>
    <x v="9"/>
    <x v="2"/>
    <s v="Blue"/>
    <x v="3"/>
    <n v="4.9000000000000004"/>
    <x v="1"/>
    <x v="0"/>
    <x v="1"/>
    <x v="1"/>
    <n v="16"/>
    <x v="3"/>
    <x v="3"/>
  </r>
  <r>
    <n v="2262"/>
    <n v="58"/>
    <x v="0"/>
    <x v="21"/>
    <x v="3"/>
    <n v="76"/>
    <x v="36"/>
    <x v="0"/>
    <s v="Gold"/>
    <x v="1"/>
    <n v="4.4000000000000004"/>
    <x v="1"/>
    <x v="3"/>
    <x v="1"/>
    <x v="1"/>
    <n v="12"/>
    <x v="4"/>
    <x v="0"/>
  </r>
  <r>
    <n v="2263"/>
    <n v="53"/>
    <x v="0"/>
    <x v="21"/>
    <x v="3"/>
    <n v="22"/>
    <x v="28"/>
    <x v="2"/>
    <s v="Green"/>
    <x v="0"/>
    <n v="3.1"/>
    <x v="1"/>
    <x v="4"/>
    <x v="1"/>
    <x v="1"/>
    <n v="50"/>
    <x v="3"/>
    <x v="5"/>
  </r>
  <r>
    <n v="2264"/>
    <n v="44"/>
    <x v="0"/>
    <x v="18"/>
    <x v="3"/>
    <n v="40"/>
    <x v="27"/>
    <x v="3"/>
    <s v="Green"/>
    <x v="0"/>
    <n v="3.5"/>
    <x v="1"/>
    <x v="5"/>
    <x v="1"/>
    <x v="1"/>
    <n v="42"/>
    <x v="1"/>
    <x v="3"/>
  </r>
  <r>
    <n v="2265"/>
    <n v="51"/>
    <x v="0"/>
    <x v="19"/>
    <x v="3"/>
    <n v="92"/>
    <x v="25"/>
    <x v="2"/>
    <s v="Turquoise"/>
    <x v="2"/>
    <n v="3.9"/>
    <x v="1"/>
    <x v="4"/>
    <x v="1"/>
    <x v="1"/>
    <n v="50"/>
    <x v="3"/>
    <x v="5"/>
  </r>
  <r>
    <n v="2266"/>
    <n v="36"/>
    <x v="0"/>
    <x v="7"/>
    <x v="2"/>
    <n v="94"/>
    <x v="6"/>
    <x v="3"/>
    <s v="Yellow"/>
    <x v="3"/>
    <n v="3.9"/>
    <x v="1"/>
    <x v="5"/>
    <x v="1"/>
    <x v="1"/>
    <n v="10"/>
    <x v="3"/>
    <x v="3"/>
  </r>
  <r>
    <n v="2267"/>
    <n v="20"/>
    <x v="0"/>
    <x v="10"/>
    <x v="0"/>
    <n v="44"/>
    <x v="9"/>
    <x v="2"/>
    <s v="Yellow"/>
    <x v="3"/>
    <n v="4.3"/>
    <x v="1"/>
    <x v="5"/>
    <x v="1"/>
    <x v="1"/>
    <n v="32"/>
    <x v="5"/>
    <x v="1"/>
  </r>
  <r>
    <n v="2268"/>
    <n v="32"/>
    <x v="0"/>
    <x v="24"/>
    <x v="3"/>
    <n v="49"/>
    <x v="0"/>
    <x v="1"/>
    <s v="Blue"/>
    <x v="1"/>
    <n v="3.8"/>
    <x v="1"/>
    <x v="0"/>
    <x v="1"/>
    <x v="1"/>
    <n v="37"/>
    <x v="0"/>
    <x v="1"/>
  </r>
  <r>
    <n v="2269"/>
    <n v="66"/>
    <x v="0"/>
    <x v="1"/>
    <x v="0"/>
    <n v="26"/>
    <x v="42"/>
    <x v="0"/>
    <s v="Charcoal"/>
    <x v="1"/>
    <n v="2.7"/>
    <x v="1"/>
    <x v="4"/>
    <x v="1"/>
    <x v="1"/>
    <n v="15"/>
    <x v="4"/>
    <x v="5"/>
  </r>
  <r>
    <n v="2270"/>
    <n v="49"/>
    <x v="0"/>
    <x v="11"/>
    <x v="0"/>
    <n v="38"/>
    <x v="0"/>
    <x v="2"/>
    <s v="Yellow"/>
    <x v="3"/>
    <n v="4.4000000000000004"/>
    <x v="1"/>
    <x v="5"/>
    <x v="1"/>
    <x v="1"/>
    <n v="27"/>
    <x v="2"/>
    <x v="2"/>
  </r>
  <r>
    <n v="2271"/>
    <n v="27"/>
    <x v="0"/>
    <x v="0"/>
    <x v="0"/>
    <n v="72"/>
    <x v="42"/>
    <x v="0"/>
    <s v="Purple"/>
    <x v="1"/>
    <n v="3.5"/>
    <x v="1"/>
    <x v="0"/>
    <x v="1"/>
    <x v="1"/>
    <n v="7"/>
    <x v="0"/>
    <x v="1"/>
  </r>
  <r>
    <n v="2272"/>
    <n v="29"/>
    <x v="0"/>
    <x v="10"/>
    <x v="0"/>
    <n v="99"/>
    <x v="29"/>
    <x v="2"/>
    <s v="Green"/>
    <x v="2"/>
    <n v="3.4"/>
    <x v="1"/>
    <x v="1"/>
    <x v="1"/>
    <x v="1"/>
    <n v="49"/>
    <x v="3"/>
    <x v="3"/>
  </r>
  <r>
    <n v="2273"/>
    <n v="29"/>
    <x v="0"/>
    <x v="14"/>
    <x v="2"/>
    <n v="38"/>
    <x v="1"/>
    <x v="0"/>
    <s v="Charcoal"/>
    <x v="1"/>
    <n v="4"/>
    <x v="1"/>
    <x v="3"/>
    <x v="1"/>
    <x v="1"/>
    <n v="44"/>
    <x v="3"/>
    <x v="5"/>
  </r>
  <r>
    <n v="2274"/>
    <n v="55"/>
    <x v="0"/>
    <x v="7"/>
    <x v="2"/>
    <n v="96"/>
    <x v="35"/>
    <x v="0"/>
    <s v="Silver"/>
    <x v="0"/>
    <n v="4.8"/>
    <x v="1"/>
    <x v="0"/>
    <x v="1"/>
    <x v="1"/>
    <n v="13"/>
    <x v="3"/>
    <x v="4"/>
  </r>
  <r>
    <n v="2275"/>
    <n v="57"/>
    <x v="0"/>
    <x v="10"/>
    <x v="0"/>
    <n v="27"/>
    <x v="14"/>
    <x v="0"/>
    <s v="Turquoise"/>
    <x v="1"/>
    <n v="4.5"/>
    <x v="1"/>
    <x v="2"/>
    <x v="1"/>
    <x v="1"/>
    <n v="38"/>
    <x v="3"/>
    <x v="0"/>
  </r>
  <r>
    <n v="2276"/>
    <n v="29"/>
    <x v="0"/>
    <x v="6"/>
    <x v="0"/>
    <n v="24"/>
    <x v="19"/>
    <x v="2"/>
    <s v="Gray"/>
    <x v="0"/>
    <n v="4.4000000000000004"/>
    <x v="1"/>
    <x v="3"/>
    <x v="1"/>
    <x v="1"/>
    <n v="10"/>
    <x v="5"/>
    <x v="1"/>
  </r>
  <r>
    <n v="2277"/>
    <n v="31"/>
    <x v="0"/>
    <x v="2"/>
    <x v="0"/>
    <n v="82"/>
    <x v="5"/>
    <x v="0"/>
    <s v="Red"/>
    <x v="2"/>
    <n v="4.0999999999999996"/>
    <x v="1"/>
    <x v="4"/>
    <x v="1"/>
    <x v="1"/>
    <n v="25"/>
    <x v="5"/>
    <x v="1"/>
  </r>
  <r>
    <n v="2278"/>
    <n v="25"/>
    <x v="0"/>
    <x v="19"/>
    <x v="3"/>
    <n v="56"/>
    <x v="15"/>
    <x v="2"/>
    <s v="Beige"/>
    <x v="2"/>
    <n v="4.5999999999999996"/>
    <x v="1"/>
    <x v="2"/>
    <x v="1"/>
    <x v="1"/>
    <n v="18"/>
    <x v="2"/>
    <x v="3"/>
  </r>
  <r>
    <n v="2279"/>
    <n v="61"/>
    <x v="0"/>
    <x v="24"/>
    <x v="3"/>
    <n v="25"/>
    <x v="33"/>
    <x v="2"/>
    <s v="Maroon"/>
    <x v="3"/>
    <n v="3.8"/>
    <x v="1"/>
    <x v="5"/>
    <x v="1"/>
    <x v="1"/>
    <n v="6"/>
    <x v="1"/>
    <x v="6"/>
  </r>
  <r>
    <n v="2280"/>
    <n v="53"/>
    <x v="0"/>
    <x v="4"/>
    <x v="1"/>
    <n v="67"/>
    <x v="8"/>
    <x v="0"/>
    <s v="Indigo"/>
    <x v="1"/>
    <n v="2.9"/>
    <x v="1"/>
    <x v="1"/>
    <x v="1"/>
    <x v="1"/>
    <n v="35"/>
    <x v="4"/>
    <x v="3"/>
  </r>
  <r>
    <n v="2281"/>
    <n v="22"/>
    <x v="0"/>
    <x v="9"/>
    <x v="1"/>
    <n v="21"/>
    <x v="0"/>
    <x v="2"/>
    <s v="Red"/>
    <x v="2"/>
    <n v="2.8"/>
    <x v="1"/>
    <x v="3"/>
    <x v="1"/>
    <x v="1"/>
    <n v="31"/>
    <x v="2"/>
    <x v="0"/>
  </r>
  <r>
    <n v="2282"/>
    <n v="28"/>
    <x v="0"/>
    <x v="15"/>
    <x v="0"/>
    <n v="27"/>
    <x v="23"/>
    <x v="3"/>
    <s v="Maroon"/>
    <x v="2"/>
    <n v="3"/>
    <x v="1"/>
    <x v="5"/>
    <x v="1"/>
    <x v="1"/>
    <n v="41"/>
    <x v="4"/>
    <x v="2"/>
  </r>
  <r>
    <n v="2283"/>
    <n v="18"/>
    <x v="0"/>
    <x v="4"/>
    <x v="1"/>
    <n v="97"/>
    <x v="37"/>
    <x v="1"/>
    <s v="Red"/>
    <x v="3"/>
    <n v="4.2"/>
    <x v="1"/>
    <x v="4"/>
    <x v="1"/>
    <x v="1"/>
    <n v="8"/>
    <x v="2"/>
    <x v="2"/>
  </r>
  <r>
    <n v="2284"/>
    <n v="44"/>
    <x v="0"/>
    <x v="8"/>
    <x v="3"/>
    <n v="45"/>
    <x v="31"/>
    <x v="1"/>
    <s v="Black"/>
    <x v="0"/>
    <n v="4.0999999999999996"/>
    <x v="1"/>
    <x v="1"/>
    <x v="1"/>
    <x v="1"/>
    <n v="34"/>
    <x v="2"/>
    <x v="0"/>
  </r>
  <r>
    <n v="2285"/>
    <n v="32"/>
    <x v="0"/>
    <x v="0"/>
    <x v="0"/>
    <n v="63"/>
    <x v="44"/>
    <x v="3"/>
    <s v="Black"/>
    <x v="3"/>
    <n v="4.0999999999999996"/>
    <x v="1"/>
    <x v="0"/>
    <x v="1"/>
    <x v="1"/>
    <n v="20"/>
    <x v="0"/>
    <x v="2"/>
  </r>
  <r>
    <n v="2286"/>
    <n v="34"/>
    <x v="0"/>
    <x v="22"/>
    <x v="3"/>
    <n v="100"/>
    <x v="49"/>
    <x v="0"/>
    <s v="Pink"/>
    <x v="2"/>
    <n v="4.5999999999999996"/>
    <x v="1"/>
    <x v="4"/>
    <x v="1"/>
    <x v="1"/>
    <n v="38"/>
    <x v="3"/>
    <x v="6"/>
  </r>
  <r>
    <n v="2287"/>
    <n v="67"/>
    <x v="0"/>
    <x v="20"/>
    <x v="0"/>
    <n v="38"/>
    <x v="45"/>
    <x v="0"/>
    <s v="Blue"/>
    <x v="1"/>
    <n v="2.5"/>
    <x v="1"/>
    <x v="5"/>
    <x v="1"/>
    <x v="1"/>
    <n v="35"/>
    <x v="0"/>
    <x v="3"/>
  </r>
  <r>
    <n v="2288"/>
    <n v="66"/>
    <x v="0"/>
    <x v="0"/>
    <x v="0"/>
    <n v="45"/>
    <x v="43"/>
    <x v="0"/>
    <s v="Green"/>
    <x v="2"/>
    <n v="3"/>
    <x v="1"/>
    <x v="5"/>
    <x v="1"/>
    <x v="1"/>
    <n v="6"/>
    <x v="5"/>
    <x v="2"/>
  </r>
  <r>
    <n v="2289"/>
    <n v="28"/>
    <x v="0"/>
    <x v="16"/>
    <x v="3"/>
    <n v="91"/>
    <x v="18"/>
    <x v="2"/>
    <s v="Orange"/>
    <x v="3"/>
    <n v="3.8"/>
    <x v="1"/>
    <x v="2"/>
    <x v="1"/>
    <x v="1"/>
    <n v="50"/>
    <x v="3"/>
    <x v="1"/>
  </r>
  <r>
    <n v="2290"/>
    <n v="70"/>
    <x v="0"/>
    <x v="6"/>
    <x v="0"/>
    <n v="82"/>
    <x v="22"/>
    <x v="2"/>
    <s v="Orange"/>
    <x v="3"/>
    <n v="4.0999999999999996"/>
    <x v="1"/>
    <x v="1"/>
    <x v="1"/>
    <x v="1"/>
    <n v="47"/>
    <x v="0"/>
    <x v="1"/>
  </r>
  <r>
    <n v="2291"/>
    <n v="37"/>
    <x v="0"/>
    <x v="23"/>
    <x v="1"/>
    <n v="48"/>
    <x v="23"/>
    <x v="0"/>
    <s v="Magenta"/>
    <x v="0"/>
    <n v="3.3"/>
    <x v="1"/>
    <x v="3"/>
    <x v="1"/>
    <x v="1"/>
    <n v="23"/>
    <x v="3"/>
    <x v="3"/>
  </r>
  <r>
    <n v="2292"/>
    <n v="28"/>
    <x v="0"/>
    <x v="7"/>
    <x v="2"/>
    <n v="30"/>
    <x v="31"/>
    <x v="2"/>
    <s v="Indigo"/>
    <x v="1"/>
    <n v="5"/>
    <x v="1"/>
    <x v="4"/>
    <x v="1"/>
    <x v="1"/>
    <n v="13"/>
    <x v="2"/>
    <x v="3"/>
  </r>
  <r>
    <n v="2293"/>
    <n v="43"/>
    <x v="0"/>
    <x v="17"/>
    <x v="0"/>
    <n v="34"/>
    <x v="34"/>
    <x v="1"/>
    <s v="Beige"/>
    <x v="1"/>
    <n v="3.8"/>
    <x v="1"/>
    <x v="2"/>
    <x v="1"/>
    <x v="1"/>
    <n v="31"/>
    <x v="5"/>
    <x v="5"/>
  </r>
  <r>
    <n v="2294"/>
    <n v="37"/>
    <x v="0"/>
    <x v="1"/>
    <x v="0"/>
    <n v="68"/>
    <x v="42"/>
    <x v="0"/>
    <s v="Green"/>
    <x v="3"/>
    <n v="3.3"/>
    <x v="1"/>
    <x v="0"/>
    <x v="1"/>
    <x v="1"/>
    <n v="16"/>
    <x v="5"/>
    <x v="6"/>
  </r>
  <r>
    <n v="2295"/>
    <n v="54"/>
    <x v="0"/>
    <x v="12"/>
    <x v="3"/>
    <n v="95"/>
    <x v="33"/>
    <x v="2"/>
    <s v="Red"/>
    <x v="0"/>
    <n v="5"/>
    <x v="1"/>
    <x v="0"/>
    <x v="1"/>
    <x v="1"/>
    <n v="40"/>
    <x v="5"/>
    <x v="2"/>
  </r>
  <r>
    <n v="2296"/>
    <n v="50"/>
    <x v="0"/>
    <x v="19"/>
    <x v="3"/>
    <n v="22"/>
    <x v="39"/>
    <x v="0"/>
    <s v="Beige"/>
    <x v="1"/>
    <n v="2.9"/>
    <x v="1"/>
    <x v="4"/>
    <x v="1"/>
    <x v="1"/>
    <n v="45"/>
    <x v="3"/>
    <x v="3"/>
  </r>
  <r>
    <n v="2297"/>
    <n v="46"/>
    <x v="0"/>
    <x v="24"/>
    <x v="3"/>
    <n v="88"/>
    <x v="47"/>
    <x v="2"/>
    <s v="Green"/>
    <x v="3"/>
    <n v="2.5"/>
    <x v="1"/>
    <x v="2"/>
    <x v="1"/>
    <x v="1"/>
    <n v="50"/>
    <x v="0"/>
    <x v="6"/>
  </r>
  <r>
    <n v="2298"/>
    <n v="60"/>
    <x v="0"/>
    <x v="20"/>
    <x v="0"/>
    <n v="83"/>
    <x v="18"/>
    <x v="2"/>
    <s v="Orange"/>
    <x v="2"/>
    <n v="4.7"/>
    <x v="1"/>
    <x v="3"/>
    <x v="1"/>
    <x v="1"/>
    <n v="1"/>
    <x v="4"/>
    <x v="3"/>
  </r>
  <r>
    <n v="2299"/>
    <n v="40"/>
    <x v="0"/>
    <x v="8"/>
    <x v="3"/>
    <n v="87"/>
    <x v="6"/>
    <x v="0"/>
    <s v="Cyan"/>
    <x v="1"/>
    <n v="2.9"/>
    <x v="1"/>
    <x v="4"/>
    <x v="1"/>
    <x v="1"/>
    <n v="10"/>
    <x v="1"/>
    <x v="6"/>
  </r>
  <r>
    <n v="2300"/>
    <n v="64"/>
    <x v="0"/>
    <x v="7"/>
    <x v="2"/>
    <n v="57"/>
    <x v="37"/>
    <x v="2"/>
    <s v="Violet"/>
    <x v="2"/>
    <n v="3.7"/>
    <x v="1"/>
    <x v="5"/>
    <x v="1"/>
    <x v="1"/>
    <n v="48"/>
    <x v="2"/>
    <x v="6"/>
  </r>
  <r>
    <n v="2301"/>
    <n v="18"/>
    <x v="0"/>
    <x v="7"/>
    <x v="2"/>
    <n v="88"/>
    <x v="38"/>
    <x v="3"/>
    <s v="Lavender"/>
    <x v="2"/>
    <n v="4.4000000000000004"/>
    <x v="1"/>
    <x v="4"/>
    <x v="1"/>
    <x v="1"/>
    <n v="38"/>
    <x v="2"/>
    <x v="5"/>
  </r>
  <r>
    <n v="2302"/>
    <n v="37"/>
    <x v="0"/>
    <x v="13"/>
    <x v="0"/>
    <n v="20"/>
    <x v="1"/>
    <x v="0"/>
    <s v="Turquoise"/>
    <x v="0"/>
    <n v="2.9"/>
    <x v="1"/>
    <x v="2"/>
    <x v="1"/>
    <x v="1"/>
    <n v="21"/>
    <x v="5"/>
    <x v="2"/>
  </r>
  <r>
    <n v="2303"/>
    <n v="36"/>
    <x v="0"/>
    <x v="22"/>
    <x v="3"/>
    <n v="39"/>
    <x v="6"/>
    <x v="0"/>
    <s v="Pink"/>
    <x v="2"/>
    <n v="3.6"/>
    <x v="1"/>
    <x v="5"/>
    <x v="1"/>
    <x v="1"/>
    <n v="38"/>
    <x v="0"/>
    <x v="5"/>
  </r>
  <r>
    <n v="2304"/>
    <n v="51"/>
    <x v="0"/>
    <x v="12"/>
    <x v="3"/>
    <n v="71"/>
    <x v="32"/>
    <x v="1"/>
    <s v="Beige"/>
    <x v="1"/>
    <n v="4.8"/>
    <x v="1"/>
    <x v="4"/>
    <x v="1"/>
    <x v="1"/>
    <n v="31"/>
    <x v="2"/>
    <x v="0"/>
  </r>
  <r>
    <n v="2305"/>
    <n v="26"/>
    <x v="0"/>
    <x v="15"/>
    <x v="0"/>
    <n v="73"/>
    <x v="7"/>
    <x v="0"/>
    <s v="Silver"/>
    <x v="0"/>
    <n v="4.7"/>
    <x v="1"/>
    <x v="1"/>
    <x v="1"/>
    <x v="1"/>
    <n v="9"/>
    <x v="5"/>
    <x v="0"/>
  </r>
  <r>
    <n v="2306"/>
    <n v="68"/>
    <x v="0"/>
    <x v="8"/>
    <x v="3"/>
    <n v="63"/>
    <x v="1"/>
    <x v="2"/>
    <s v="Gold"/>
    <x v="2"/>
    <n v="2.6"/>
    <x v="1"/>
    <x v="1"/>
    <x v="1"/>
    <x v="1"/>
    <n v="47"/>
    <x v="1"/>
    <x v="1"/>
  </r>
  <r>
    <n v="2307"/>
    <n v="27"/>
    <x v="0"/>
    <x v="24"/>
    <x v="3"/>
    <n v="78"/>
    <x v="20"/>
    <x v="0"/>
    <s v="Silver"/>
    <x v="0"/>
    <n v="3.4"/>
    <x v="1"/>
    <x v="3"/>
    <x v="1"/>
    <x v="1"/>
    <n v="8"/>
    <x v="1"/>
    <x v="4"/>
  </r>
  <r>
    <n v="2308"/>
    <n v="28"/>
    <x v="0"/>
    <x v="11"/>
    <x v="0"/>
    <n v="96"/>
    <x v="9"/>
    <x v="0"/>
    <s v="Green"/>
    <x v="3"/>
    <n v="3.5"/>
    <x v="1"/>
    <x v="2"/>
    <x v="1"/>
    <x v="1"/>
    <n v="30"/>
    <x v="5"/>
    <x v="2"/>
  </r>
  <r>
    <n v="2309"/>
    <n v="49"/>
    <x v="0"/>
    <x v="12"/>
    <x v="3"/>
    <n v="81"/>
    <x v="25"/>
    <x v="2"/>
    <s v="Teal"/>
    <x v="0"/>
    <n v="3.4"/>
    <x v="1"/>
    <x v="4"/>
    <x v="1"/>
    <x v="1"/>
    <n v="22"/>
    <x v="4"/>
    <x v="3"/>
  </r>
  <r>
    <n v="2310"/>
    <n v="70"/>
    <x v="0"/>
    <x v="10"/>
    <x v="0"/>
    <n v="95"/>
    <x v="39"/>
    <x v="1"/>
    <s v="Gold"/>
    <x v="3"/>
    <n v="5"/>
    <x v="1"/>
    <x v="4"/>
    <x v="1"/>
    <x v="1"/>
    <n v="3"/>
    <x v="4"/>
    <x v="3"/>
  </r>
  <r>
    <n v="2311"/>
    <n v="30"/>
    <x v="0"/>
    <x v="24"/>
    <x v="3"/>
    <n v="68"/>
    <x v="41"/>
    <x v="2"/>
    <s v="Cyan"/>
    <x v="1"/>
    <n v="4.5999999999999996"/>
    <x v="1"/>
    <x v="3"/>
    <x v="1"/>
    <x v="1"/>
    <n v="15"/>
    <x v="3"/>
    <x v="5"/>
  </r>
  <r>
    <n v="2312"/>
    <n v="27"/>
    <x v="0"/>
    <x v="4"/>
    <x v="1"/>
    <n v="28"/>
    <x v="6"/>
    <x v="0"/>
    <s v="Gold"/>
    <x v="1"/>
    <n v="4.8"/>
    <x v="1"/>
    <x v="4"/>
    <x v="1"/>
    <x v="1"/>
    <n v="10"/>
    <x v="4"/>
    <x v="6"/>
  </r>
  <r>
    <n v="2313"/>
    <n v="19"/>
    <x v="0"/>
    <x v="17"/>
    <x v="0"/>
    <n v="30"/>
    <x v="34"/>
    <x v="0"/>
    <s v="Violet"/>
    <x v="2"/>
    <n v="3.7"/>
    <x v="1"/>
    <x v="1"/>
    <x v="1"/>
    <x v="1"/>
    <n v="19"/>
    <x v="1"/>
    <x v="6"/>
  </r>
  <r>
    <n v="2314"/>
    <n v="64"/>
    <x v="0"/>
    <x v="10"/>
    <x v="0"/>
    <n v="31"/>
    <x v="42"/>
    <x v="2"/>
    <s v="Black"/>
    <x v="2"/>
    <n v="4.7"/>
    <x v="1"/>
    <x v="2"/>
    <x v="1"/>
    <x v="1"/>
    <n v="36"/>
    <x v="4"/>
    <x v="0"/>
  </r>
  <r>
    <n v="2315"/>
    <n v="42"/>
    <x v="0"/>
    <x v="8"/>
    <x v="3"/>
    <n v="95"/>
    <x v="41"/>
    <x v="3"/>
    <s v="Brown"/>
    <x v="0"/>
    <n v="4.4000000000000004"/>
    <x v="1"/>
    <x v="0"/>
    <x v="1"/>
    <x v="1"/>
    <n v="12"/>
    <x v="4"/>
    <x v="6"/>
  </r>
  <r>
    <n v="2316"/>
    <n v="69"/>
    <x v="0"/>
    <x v="20"/>
    <x v="0"/>
    <n v="79"/>
    <x v="34"/>
    <x v="2"/>
    <s v="Indigo"/>
    <x v="0"/>
    <n v="3.5"/>
    <x v="1"/>
    <x v="4"/>
    <x v="1"/>
    <x v="1"/>
    <n v="49"/>
    <x v="5"/>
    <x v="3"/>
  </r>
  <r>
    <n v="2317"/>
    <n v="28"/>
    <x v="0"/>
    <x v="4"/>
    <x v="1"/>
    <n v="39"/>
    <x v="6"/>
    <x v="0"/>
    <s v="Yellow"/>
    <x v="0"/>
    <n v="3.8"/>
    <x v="1"/>
    <x v="3"/>
    <x v="1"/>
    <x v="1"/>
    <n v="7"/>
    <x v="5"/>
    <x v="2"/>
  </r>
  <r>
    <n v="2318"/>
    <n v="47"/>
    <x v="0"/>
    <x v="14"/>
    <x v="2"/>
    <n v="34"/>
    <x v="32"/>
    <x v="2"/>
    <s v="Purple"/>
    <x v="2"/>
    <n v="4.7"/>
    <x v="1"/>
    <x v="2"/>
    <x v="1"/>
    <x v="1"/>
    <n v="28"/>
    <x v="4"/>
    <x v="5"/>
  </r>
  <r>
    <n v="2319"/>
    <n v="69"/>
    <x v="0"/>
    <x v="15"/>
    <x v="0"/>
    <n v="28"/>
    <x v="5"/>
    <x v="0"/>
    <s v="White"/>
    <x v="1"/>
    <n v="3.1"/>
    <x v="1"/>
    <x v="5"/>
    <x v="1"/>
    <x v="1"/>
    <n v="30"/>
    <x v="2"/>
    <x v="2"/>
  </r>
  <r>
    <n v="2320"/>
    <n v="56"/>
    <x v="0"/>
    <x v="3"/>
    <x v="1"/>
    <n v="38"/>
    <x v="1"/>
    <x v="3"/>
    <s v="Turquoise"/>
    <x v="0"/>
    <n v="5"/>
    <x v="1"/>
    <x v="1"/>
    <x v="1"/>
    <x v="1"/>
    <n v="29"/>
    <x v="3"/>
    <x v="5"/>
  </r>
  <r>
    <n v="2321"/>
    <n v="28"/>
    <x v="0"/>
    <x v="9"/>
    <x v="1"/>
    <n v="55"/>
    <x v="35"/>
    <x v="2"/>
    <s v="Olive"/>
    <x v="1"/>
    <n v="3.7"/>
    <x v="1"/>
    <x v="1"/>
    <x v="1"/>
    <x v="1"/>
    <n v="9"/>
    <x v="5"/>
    <x v="6"/>
  </r>
  <r>
    <n v="2322"/>
    <n v="50"/>
    <x v="0"/>
    <x v="3"/>
    <x v="1"/>
    <n v="31"/>
    <x v="24"/>
    <x v="2"/>
    <s v="Beige"/>
    <x v="0"/>
    <n v="3"/>
    <x v="1"/>
    <x v="2"/>
    <x v="1"/>
    <x v="1"/>
    <n v="27"/>
    <x v="5"/>
    <x v="0"/>
  </r>
  <r>
    <n v="2323"/>
    <n v="39"/>
    <x v="0"/>
    <x v="7"/>
    <x v="2"/>
    <n v="84"/>
    <x v="39"/>
    <x v="1"/>
    <s v="Lavender"/>
    <x v="1"/>
    <n v="4.5"/>
    <x v="1"/>
    <x v="5"/>
    <x v="1"/>
    <x v="1"/>
    <n v="21"/>
    <x v="0"/>
    <x v="0"/>
  </r>
  <r>
    <n v="2324"/>
    <n v="35"/>
    <x v="0"/>
    <x v="24"/>
    <x v="3"/>
    <n v="93"/>
    <x v="33"/>
    <x v="0"/>
    <s v="White"/>
    <x v="0"/>
    <n v="4.7"/>
    <x v="1"/>
    <x v="0"/>
    <x v="1"/>
    <x v="1"/>
    <n v="36"/>
    <x v="2"/>
    <x v="5"/>
  </r>
  <r>
    <n v="2325"/>
    <n v="59"/>
    <x v="0"/>
    <x v="7"/>
    <x v="2"/>
    <n v="28"/>
    <x v="4"/>
    <x v="0"/>
    <s v="Brown"/>
    <x v="0"/>
    <n v="3.5"/>
    <x v="1"/>
    <x v="1"/>
    <x v="1"/>
    <x v="1"/>
    <n v="19"/>
    <x v="5"/>
    <x v="2"/>
  </r>
  <r>
    <n v="2326"/>
    <n v="44"/>
    <x v="0"/>
    <x v="23"/>
    <x v="1"/>
    <n v="55"/>
    <x v="14"/>
    <x v="2"/>
    <s v="Charcoal"/>
    <x v="2"/>
    <n v="4.4000000000000004"/>
    <x v="1"/>
    <x v="4"/>
    <x v="1"/>
    <x v="1"/>
    <n v="47"/>
    <x v="1"/>
    <x v="1"/>
  </r>
  <r>
    <n v="2327"/>
    <n v="66"/>
    <x v="0"/>
    <x v="11"/>
    <x v="0"/>
    <n v="63"/>
    <x v="19"/>
    <x v="0"/>
    <s v="Maroon"/>
    <x v="0"/>
    <n v="2.6"/>
    <x v="1"/>
    <x v="3"/>
    <x v="1"/>
    <x v="1"/>
    <n v="38"/>
    <x v="4"/>
    <x v="2"/>
  </r>
  <r>
    <n v="2328"/>
    <n v="20"/>
    <x v="0"/>
    <x v="11"/>
    <x v="0"/>
    <n v="94"/>
    <x v="15"/>
    <x v="2"/>
    <s v="Red"/>
    <x v="0"/>
    <n v="4.2"/>
    <x v="1"/>
    <x v="4"/>
    <x v="1"/>
    <x v="1"/>
    <n v="22"/>
    <x v="0"/>
    <x v="4"/>
  </r>
  <r>
    <n v="2329"/>
    <n v="45"/>
    <x v="0"/>
    <x v="13"/>
    <x v="0"/>
    <n v="36"/>
    <x v="25"/>
    <x v="2"/>
    <s v="Maroon"/>
    <x v="3"/>
    <n v="2.6"/>
    <x v="1"/>
    <x v="0"/>
    <x v="1"/>
    <x v="1"/>
    <n v="29"/>
    <x v="0"/>
    <x v="4"/>
  </r>
  <r>
    <n v="2330"/>
    <n v="49"/>
    <x v="0"/>
    <x v="19"/>
    <x v="3"/>
    <n v="97"/>
    <x v="43"/>
    <x v="1"/>
    <s v="Teal"/>
    <x v="1"/>
    <n v="4.8"/>
    <x v="1"/>
    <x v="1"/>
    <x v="1"/>
    <x v="1"/>
    <n v="42"/>
    <x v="4"/>
    <x v="2"/>
  </r>
  <r>
    <n v="2331"/>
    <n v="60"/>
    <x v="0"/>
    <x v="21"/>
    <x v="3"/>
    <n v="63"/>
    <x v="28"/>
    <x v="0"/>
    <s v="Orange"/>
    <x v="2"/>
    <n v="2.9"/>
    <x v="1"/>
    <x v="5"/>
    <x v="1"/>
    <x v="1"/>
    <n v="47"/>
    <x v="3"/>
    <x v="6"/>
  </r>
  <r>
    <n v="2332"/>
    <n v="61"/>
    <x v="0"/>
    <x v="18"/>
    <x v="3"/>
    <n v="77"/>
    <x v="26"/>
    <x v="1"/>
    <s v="Olive"/>
    <x v="1"/>
    <n v="4.3"/>
    <x v="1"/>
    <x v="4"/>
    <x v="1"/>
    <x v="1"/>
    <n v="10"/>
    <x v="2"/>
    <x v="4"/>
  </r>
  <r>
    <n v="2333"/>
    <n v="36"/>
    <x v="0"/>
    <x v="18"/>
    <x v="3"/>
    <n v="53"/>
    <x v="36"/>
    <x v="3"/>
    <s v="Olive"/>
    <x v="3"/>
    <n v="2.6"/>
    <x v="1"/>
    <x v="5"/>
    <x v="1"/>
    <x v="1"/>
    <n v="10"/>
    <x v="0"/>
    <x v="5"/>
  </r>
  <r>
    <n v="2334"/>
    <n v="33"/>
    <x v="0"/>
    <x v="5"/>
    <x v="0"/>
    <n v="77"/>
    <x v="23"/>
    <x v="2"/>
    <s v="Beige"/>
    <x v="1"/>
    <n v="3.8"/>
    <x v="1"/>
    <x v="2"/>
    <x v="1"/>
    <x v="1"/>
    <n v="1"/>
    <x v="3"/>
    <x v="6"/>
  </r>
  <r>
    <n v="2335"/>
    <n v="49"/>
    <x v="0"/>
    <x v="23"/>
    <x v="1"/>
    <n v="79"/>
    <x v="23"/>
    <x v="0"/>
    <s v="Green"/>
    <x v="2"/>
    <n v="4.2"/>
    <x v="1"/>
    <x v="3"/>
    <x v="1"/>
    <x v="1"/>
    <n v="7"/>
    <x v="2"/>
    <x v="5"/>
  </r>
  <r>
    <n v="2336"/>
    <n v="31"/>
    <x v="0"/>
    <x v="7"/>
    <x v="2"/>
    <n v="37"/>
    <x v="37"/>
    <x v="2"/>
    <s v="Black"/>
    <x v="2"/>
    <n v="3.9"/>
    <x v="1"/>
    <x v="5"/>
    <x v="1"/>
    <x v="1"/>
    <n v="10"/>
    <x v="0"/>
    <x v="0"/>
  </r>
  <r>
    <n v="2337"/>
    <n v="19"/>
    <x v="0"/>
    <x v="22"/>
    <x v="3"/>
    <n v="94"/>
    <x v="18"/>
    <x v="2"/>
    <s v="Green"/>
    <x v="0"/>
    <n v="3.1"/>
    <x v="1"/>
    <x v="1"/>
    <x v="1"/>
    <x v="1"/>
    <n v="11"/>
    <x v="2"/>
    <x v="1"/>
  </r>
  <r>
    <n v="2338"/>
    <n v="39"/>
    <x v="0"/>
    <x v="23"/>
    <x v="1"/>
    <n v="76"/>
    <x v="25"/>
    <x v="1"/>
    <s v="Violet"/>
    <x v="3"/>
    <n v="3.6"/>
    <x v="1"/>
    <x v="5"/>
    <x v="1"/>
    <x v="1"/>
    <n v="5"/>
    <x v="1"/>
    <x v="2"/>
  </r>
  <r>
    <n v="2339"/>
    <n v="66"/>
    <x v="0"/>
    <x v="4"/>
    <x v="1"/>
    <n v="68"/>
    <x v="42"/>
    <x v="1"/>
    <s v="Silver"/>
    <x v="3"/>
    <n v="4"/>
    <x v="1"/>
    <x v="0"/>
    <x v="1"/>
    <x v="1"/>
    <n v="21"/>
    <x v="3"/>
    <x v="3"/>
  </r>
  <r>
    <n v="2340"/>
    <n v="25"/>
    <x v="0"/>
    <x v="5"/>
    <x v="0"/>
    <n v="65"/>
    <x v="26"/>
    <x v="0"/>
    <s v="Maroon"/>
    <x v="1"/>
    <n v="3.4"/>
    <x v="1"/>
    <x v="2"/>
    <x v="1"/>
    <x v="1"/>
    <n v="24"/>
    <x v="4"/>
    <x v="3"/>
  </r>
  <r>
    <n v="2341"/>
    <n v="63"/>
    <x v="0"/>
    <x v="0"/>
    <x v="0"/>
    <n v="24"/>
    <x v="12"/>
    <x v="2"/>
    <s v="Cyan"/>
    <x v="2"/>
    <n v="2.6"/>
    <x v="1"/>
    <x v="3"/>
    <x v="1"/>
    <x v="1"/>
    <n v="37"/>
    <x v="2"/>
    <x v="0"/>
  </r>
  <r>
    <n v="2342"/>
    <n v="56"/>
    <x v="0"/>
    <x v="14"/>
    <x v="2"/>
    <n v="31"/>
    <x v="39"/>
    <x v="0"/>
    <s v="Teal"/>
    <x v="2"/>
    <n v="4.5"/>
    <x v="1"/>
    <x v="0"/>
    <x v="1"/>
    <x v="1"/>
    <n v="22"/>
    <x v="0"/>
    <x v="6"/>
  </r>
  <r>
    <n v="2343"/>
    <n v="20"/>
    <x v="0"/>
    <x v="11"/>
    <x v="0"/>
    <n v="89"/>
    <x v="30"/>
    <x v="2"/>
    <s v="Olive"/>
    <x v="3"/>
    <n v="4.9000000000000004"/>
    <x v="1"/>
    <x v="3"/>
    <x v="1"/>
    <x v="1"/>
    <n v="16"/>
    <x v="5"/>
    <x v="0"/>
  </r>
  <r>
    <n v="2344"/>
    <n v="58"/>
    <x v="0"/>
    <x v="20"/>
    <x v="0"/>
    <n v="49"/>
    <x v="33"/>
    <x v="2"/>
    <s v="Red"/>
    <x v="2"/>
    <n v="4.4000000000000004"/>
    <x v="1"/>
    <x v="4"/>
    <x v="1"/>
    <x v="1"/>
    <n v="44"/>
    <x v="3"/>
    <x v="5"/>
  </r>
  <r>
    <n v="2345"/>
    <n v="34"/>
    <x v="0"/>
    <x v="3"/>
    <x v="1"/>
    <n v="92"/>
    <x v="3"/>
    <x v="3"/>
    <s v="Lavender"/>
    <x v="3"/>
    <n v="3.5"/>
    <x v="1"/>
    <x v="0"/>
    <x v="1"/>
    <x v="1"/>
    <n v="14"/>
    <x v="0"/>
    <x v="4"/>
  </r>
  <r>
    <n v="2346"/>
    <n v="28"/>
    <x v="0"/>
    <x v="17"/>
    <x v="0"/>
    <n v="32"/>
    <x v="14"/>
    <x v="1"/>
    <s v="Orange"/>
    <x v="0"/>
    <n v="3.3"/>
    <x v="1"/>
    <x v="0"/>
    <x v="1"/>
    <x v="1"/>
    <n v="23"/>
    <x v="4"/>
    <x v="6"/>
  </r>
  <r>
    <n v="2347"/>
    <n v="22"/>
    <x v="0"/>
    <x v="14"/>
    <x v="2"/>
    <n v="67"/>
    <x v="35"/>
    <x v="0"/>
    <s v="Brown"/>
    <x v="0"/>
    <n v="3.1"/>
    <x v="1"/>
    <x v="3"/>
    <x v="1"/>
    <x v="1"/>
    <n v="46"/>
    <x v="5"/>
    <x v="0"/>
  </r>
  <r>
    <n v="2348"/>
    <n v="37"/>
    <x v="0"/>
    <x v="22"/>
    <x v="3"/>
    <n v="64"/>
    <x v="18"/>
    <x v="1"/>
    <s v="Gray"/>
    <x v="3"/>
    <n v="4.2"/>
    <x v="1"/>
    <x v="0"/>
    <x v="1"/>
    <x v="1"/>
    <n v="46"/>
    <x v="1"/>
    <x v="6"/>
  </r>
  <r>
    <n v="2349"/>
    <n v="54"/>
    <x v="0"/>
    <x v="9"/>
    <x v="1"/>
    <n v="84"/>
    <x v="1"/>
    <x v="2"/>
    <s v="Orange"/>
    <x v="1"/>
    <n v="4.9000000000000004"/>
    <x v="1"/>
    <x v="2"/>
    <x v="1"/>
    <x v="1"/>
    <n v="16"/>
    <x v="3"/>
    <x v="6"/>
  </r>
  <r>
    <n v="2350"/>
    <n v="65"/>
    <x v="0"/>
    <x v="0"/>
    <x v="0"/>
    <n v="34"/>
    <x v="14"/>
    <x v="2"/>
    <s v="Orange"/>
    <x v="3"/>
    <n v="3.9"/>
    <x v="1"/>
    <x v="3"/>
    <x v="1"/>
    <x v="1"/>
    <n v="40"/>
    <x v="2"/>
    <x v="6"/>
  </r>
  <r>
    <n v="2351"/>
    <n v="57"/>
    <x v="0"/>
    <x v="9"/>
    <x v="1"/>
    <n v="26"/>
    <x v="11"/>
    <x v="2"/>
    <s v="Turquoise"/>
    <x v="0"/>
    <n v="4.2"/>
    <x v="1"/>
    <x v="1"/>
    <x v="1"/>
    <x v="1"/>
    <n v="21"/>
    <x v="1"/>
    <x v="2"/>
  </r>
  <r>
    <n v="2352"/>
    <n v="38"/>
    <x v="0"/>
    <x v="1"/>
    <x v="0"/>
    <n v="50"/>
    <x v="13"/>
    <x v="1"/>
    <s v="Cyan"/>
    <x v="3"/>
    <n v="4.9000000000000004"/>
    <x v="1"/>
    <x v="5"/>
    <x v="1"/>
    <x v="1"/>
    <n v="25"/>
    <x v="3"/>
    <x v="4"/>
  </r>
  <r>
    <n v="2353"/>
    <n v="70"/>
    <x v="0"/>
    <x v="23"/>
    <x v="1"/>
    <n v="46"/>
    <x v="43"/>
    <x v="2"/>
    <s v="Yellow"/>
    <x v="3"/>
    <n v="2.8"/>
    <x v="1"/>
    <x v="5"/>
    <x v="1"/>
    <x v="1"/>
    <n v="25"/>
    <x v="4"/>
    <x v="3"/>
  </r>
  <r>
    <n v="2354"/>
    <n v="56"/>
    <x v="0"/>
    <x v="8"/>
    <x v="3"/>
    <n v="71"/>
    <x v="6"/>
    <x v="2"/>
    <s v="White"/>
    <x v="3"/>
    <n v="4.0999999999999996"/>
    <x v="1"/>
    <x v="3"/>
    <x v="1"/>
    <x v="1"/>
    <n v="25"/>
    <x v="5"/>
    <x v="6"/>
  </r>
  <r>
    <n v="2355"/>
    <n v="56"/>
    <x v="0"/>
    <x v="0"/>
    <x v="0"/>
    <n v="78"/>
    <x v="48"/>
    <x v="2"/>
    <s v="Blue"/>
    <x v="2"/>
    <n v="4.8"/>
    <x v="1"/>
    <x v="2"/>
    <x v="1"/>
    <x v="1"/>
    <n v="27"/>
    <x v="0"/>
    <x v="5"/>
  </r>
  <r>
    <n v="2356"/>
    <n v="22"/>
    <x v="0"/>
    <x v="11"/>
    <x v="0"/>
    <n v="35"/>
    <x v="30"/>
    <x v="1"/>
    <s v="Purple"/>
    <x v="0"/>
    <n v="4.0999999999999996"/>
    <x v="1"/>
    <x v="2"/>
    <x v="1"/>
    <x v="1"/>
    <n v="12"/>
    <x v="1"/>
    <x v="5"/>
  </r>
  <r>
    <n v="2357"/>
    <n v="57"/>
    <x v="0"/>
    <x v="21"/>
    <x v="3"/>
    <n v="58"/>
    <x v="6"/>
    <x v="2"/>
    <s v="Gray"/>
    <x v="2"/>
    <n v="3"/>
    <x v="1"/>
    <x v="1"/>
    <x v="1"/>
    <x v="1"/>
    <n v="27"/>
    <x v="5"/>
    <x v="3"/>
  </r>
  <r>
    <n v="2358"/>
    <n v="53"/>
    <x v="0"/>
    <x v="5"/>
    <x v="0"/>
    <n v="67"/>
    <x v="49"/>
    <x v="0"/>
    <s v="Cyan"/>
    <x v="3"/>
    <n v="4.2"/>
    <x v="1"/>
    <x v="4"/>
    <x v="1"/>
    <x v="1"/>
    <n v="40"/>
    <x v="2"/>
    <x v="4"/>
  </r>
  <r>
    <n v="2359"/>
    <n v="53"/>
    <x v="0"/>
    <x v="1"/>
    <x v="0"/>
    <n v="93"/>
    <x v="21"/>
    <x v="0"/>
    <s v="Pink"/>
    <x v="1"/>
    <n v="3.8"/>
    <x v="1"/>
    <x v="3"/>
    <x v="1"/>
    <x v="1"/>
    <n v="38"/>
    <x v="2"/>
    <x v="3"/>
  </r>
  <r>
    <n v="2360"/>
    <n v="19"/>
    <x v="0"/>
    <x v="18"/>
    <x v="3"/>
    <n v="81"/>
    <x v="38"/>
    <x v="1"/>
    <s v="Gold"/>
    <x v="1"/>
    <n v="3.3"/>
    <x v="1"/>
    <x v="4"/>
    <x v="1"/>
    <x v="1"/>
    <n v="44"/>
    <x v="4"/>
    <x v="6"/>
  </r>
  <r>
    <n v="2361"/>
    <n v="49"/>
    <x v="0"/>
    <x v="8"/>
    <x v="3"/>
    <n v="80"/>
    <x v="14"/>
    <x v="0"/>
    <s v="Silver"/>
    <x v="3"/>
    <n v="4.7"/>
    <x v="1"/>
    <x v="4"/>
    <x v="1"/>
    <x v="1"/>
    <n v="27"/>
    <x v="0"/>
    <x v="6"/>
  </r>
  <r>
    <n v="2362"/>
    <n v="44"/>
    <x v="0"/>
    <x v="18"/>
    <x v="3"/>
    <n v="64"/>
    <x v="15"/>
    <x v="2"/>
    <s v="Gray"/>
    <x v="1"/>
    <n v="4.3"/>
    <x v="1"/>
    <x v="4"/>
    <x v="1"/>
    <x v="1"/>
    <n v="30"/>
    <x v="2"/>
    <x v="6"/>
  </r>
  <r>
    <n v="2363"/>
    <n v="27"/>
    <x v="0"/>
    <x v="2"/>
    <x v="0"/>
    <n v="41"/>
    <x v="41"/>
    <x v="2"/>
    <s v="Brown"/>
    <x v="3"/>
    <n v="2.7"/>
    <x v="1"/>
    <x v="3"/>
    <x v="1"/>
    <x v="1"/>
    <n v="24"/>
    <x v="2"/>
    <x v="5"/>
  </r>
  <r>
    <n v="2364"/>
    <n v="60"/>
    <x v="0"/>
    <x v="20"/>
    <x v="0"/>
    <n v="79"/>
    <x v="38"/>
    <x v="3"/>
    <s v="Pink"/>
    <x v="0"/>
    <n v="4.2"/>
    <x v="1"/>
    <x v="0"/>
    <x v="1"/>
    <x v="1"/>
    <n v="38"/>
    <x v="1"/>
    <x v="4"/>
  </r>
  <r>
    <n v="2365"/>
    <n v="62"/>
    <x v="0"/>
    <x v="12"/>
    <x v="3"/>
    <n v="60"/>
    <x v="16"/>
    <x v="0"/>
    <s v="Maroon"/>
    <x v="0"/>
    <n v="4.2"/>
    <x v="1"/>
    <x v="1"/>
    <x v="1"/>
    <x v="1"/>
    <n v="4"/>
    <x v="3"/>
    <x v="3"/>
  </r>
  <r>
    <n v="2366"/>
    <n v="52"/>
    <x v="0"/>
    <x v="4"/>
    <x v="1"/>
    <n v="91"/>
    <x v="5"/>
    <x v="1"/>
    <s v="Peach"/>
    <x v="0"/>
    <n v="2.5"/>
    <x v="1"/>
    <x v="2"/>
    <x v="1"/>
    <x v="1"/>
    <n v="32"/>
    <x v="0"/>
    <x v="5"/>
  </r>
  <r>
    <n v="2367"/>
    <n v="30"/>
    <x v="0"/>
    <x v="9"/>
    <x v="1"/>
    <n v="66"/>
    <x v="35"/>
    <x v="0"/>
    <s v="Brown"/>
    <x v="0"/>
    <n v="3.6"/>
    <x v="1"/>
    <x v="0"/>
    <x v="1"/>
    <x v="1"/>
    <n v="32"/>
    <x v="2"/>
    <x v="0"/>
  </r>
  <r>
    <n v="2368"/>
    <n v="66"/>
    <x v="0"/>
    <x v="20"/>
    <x v="0"/>
    <n v="85"/>
    <x v="25"/>
    <x v="0"/>
    <s v="Green"/>
    <x v="0"/>
    <n v="3.4"/>
    <x v="1"/>
    <x v="3"/>
    <x v="1"/>
    <x v="1"/>
    <n v="28"/>
    <x v="4"/>
    <x v="4"/>
  </r>
  <r>
    <n v="2369"/>
    <n v="29"/>
    <x v="0"/>
    <x v="12"/>
    <x v="3"/>
    <n v="38"/>
    <x v="32"/>
    <x v="2"/>
    <s v="Lavender"/>
    <x v="2"/>
    <n v="3.3"/>
    <x v="1"/>
    <x v="3"/>
    <x v="1"/>
    <x v="1"/>
    <n v="6"/>
    <x v="5"/>
    <x v="6"/>
  </r>
  <r>
    <n v="2370"/>
    <n v="24"/>
    <x v="0"/>
    <x v="1"/>
    <x v="0"/>
    <n v="23"/>
    <x v="34"/>
    <x v="2"/>
    <s v="Cyan"/>
    <x v="0"/>
    <n v="4.5999999999999996"/>
    <x v="1"/>
    <x v="3"/>
    <x v="1"/>
    <x v="1"/>
    <n v="24"/>
    <x v="3"/>
    <x v="5"/>
  </r>
  <r>
    <n v="2371"/>
    <n v="51"/>
    <x v="0"/>
    <x v="9"/>
    <x v="1"/>
    <n v="71"/>
    <x v="29"/>
    <x v="2"/>
    <s v="Black"/>
    <x v="1"/>
    <n v="3.9"/>
    <x v="1"/>
    <x v="5"/>
    <x v="1"/>
    <x v="1"/>
    <n v="38"/>
    <x v="0"/>
    <x v="1"/>
  </r>
  <r>
    <n v="2372"/>
    <n v="67"/>
    <x v="0"/>
    <x v="20"/>
    <x v="0"/>
    <n v="25"/>
    <x v="27"/>
    <x v="2"/>
    <s v="Charcoal"/>
    <x v="0"/>
    <n v="3.7"/>
    <x v="1"/>
    <x v="2"/>
    <x v="1"/>
    <x v="1"/>
    <n v="28"/>
    <x v="5"/>
    <x v="2"/>
  </r>
  <r>
    <n v="2373"/>
    <n v="50"/>
    <x v="0"/>
    <x v="23"/>
    <x v="1"/>
    <n v="39"/>
    <x v="15"/>
    <x v="3"/>
    <s v="Silver"/>
    <x v="1"/>
    <n v="3.1"/>
    <x v="1"/>
    <x v="0"/>
    <x v="1"/>
    <x v="1"/>
    <n v="9"/>
    <x v="3"/>
    <x v="0"/>
  </r>
  <r>
    <n v="2374"/>
    <n v="37"/>
    <x v="0"/>
    <x v="15"/>
    <x v="0"/>
    <n v="20"/>
    <x v="49"/>
    <x v="2"/>
    <s v="Gray"/>
    <x v="1"/>
    <n v="4.9000000000000004"/>
    <x v="1"/>
    <x v="0"/>
    <x v="1"/>
    <x v="1"/>
    <n v="21"/>
    <x v="5"/>
    <x v="6"/>
  </r>
  <r>
    <n v="2375"/>
    <n v="69"/>
    <x v="0"/>
    <x v="24"/>
    <x v="3"/>
    <n v="73"/>
    <x v="47"/>
    <x v="0"/>
    <s v="Peach"/>
    <x v="0"/>
    <n v="4.7"/>
    <x v="1"/>
    <x v="3"/>
    <x v="1"/>
    <x v="1"/>
    <n v="31"/>
    <x v="5"/>
    <x v="5"/>
  </r>
  <r>
    <n v="2376"/>
    <n v="60"/>
    <x v="0"/>
    <x v="21"/>
    <x v="3"/>
    <n v="63"/>
    <x v="41"/>
    <x v="0"/>
    <s v="Peach"/>
    <x v="3"/>
    <n v="2.9"/>
    <x v="1"/>
    <x v="2"/>
    <x v="1"/>
    <x v="1"/>
    <n v="18"/>
    <x v="2"/>
    <x v="3"/>
  </r>
  <r>
    <n v="2377"/>
    <n v="21"/>
    <x v="0"/>
    <x v="24"/>
    <x v="3"/>
    <n v="94"/>
    <x v="30"/>
    <x v="3"/>
    <s v="Cyan"/>
    <x v="1"/>
    <n v="4.0999999999999996"/>
    <x v="1"/>
    <x v="0"/>
    <x v="1"/>
    <x v="1"/>
    <n v="5"/>
    <x v="1"/>
    <x v="1"/>
  </r>
  <r>
    <n v="2378"/>
    <n v="44"/>
    <x v="0"/>
    <x v="0"/>
    <x v="0"/>
    <n v="94"/>
    <x v="45"/>
    <x v="0"/>
    <s v="Magenta"/>
    <x v="3"/>
    <n v="4"/>
    <x v="1"/>
    <x v="2"/>
    <x v="1"/>
    <x v="1"/>
    <n v="22"/>
    <x v="1"/>
    <x v="2"/>
  </r>
  <r>
    <n v="2379"/>
    <n v="26"/>
    <x v="0"/>
    <x v="18"/>
    <x v="3"/>
    <n v="71"/>
    <x v="13"/>
    <x v="0"/>
    <s v="Teal"/>
    <x v="2"/>
    <n v="2.7"/>
    <x v="1"/>
    <x v="5"/>
    <x v="1"/>
    <x v="1"/>
    <n v="37"/>
    <x v="3"/>
    <x v="4"/>
  </r>
  <r>
    <n v="2380"/>
    <n v="40"/>
    <x v="0"/>
    <x v="19"/>
    <x v="3"/>
    <n v="77"/>
    <x v="45"/>
    <x v="2"/>
    <s v="Peach"/>
    <x v="1"/>
    <n v="4"/>
    <x v="1"/>
    <x v="4"/>
    <x v="1"/>
    <x v="1"/>
    <n v="22"/>
    <x v="5"/>
    <x v="5"/>
  </r>
  <r>
    <n v="2381"/>
    <n v="41"/>
    <x v="0"/>
    <x v="18"/>
    <x v="3"/>
    <n v="66"/>
    <x v="38"/>
    <x v="2"/>
    <s v="Black"/>
    <x v="3"/>
    <n v="2.5"/>
    <x v="1"/>
    <x v="2"/>
    <x v="1"/>
    <x v="1"/>
    <n v="36"/>
    <x v="3"/>
    <x v="0"/>
  </r>
  <r>
    <n v="2382"/>
    <n v="62"/>
    <x v="0"/>
    <x v="3"/>
    <x v="1"/>
    <n v="23"/>
    <x v="48"/>
    <x v="2"/>
    <s v="Teal"/>
    <x v="2"/>
    <n v="4.5"/>
    <x v="1"/>
    <x v="1"/>
    <x v="1"/>
    <x v="1"/>
    <n v="23"/>
    <x v="3"/>
    <x v="2"/>
  </r>
  <r>
    <n v="2383"/>
    <n v="39"/>
    <x v="0"/>
    <x v="1"/>
    <x v="0"/>
    <n v="60"/>
    <x v="18"/>
    <x v="2"/>
    <s v="Turquoise"/>
    <x v="1"/>
    <n v="3.9"/>
    <x v="1"/>
    <x v="0"/>
    <x v="1"/>
    <x v="1"/>
    <n v="44"/>
    <x v="5"/>
    <x v="1"/>
  </r>
  <r>
    <n v="2384"/>
    <n v="53"/>
    <x v="0"/>
    <x v="21"/>
    <x v="3"/>
    <n v="72"/>
    <x v="3"/>
    <x v="0"/>
    <s v="Gold"/>
    <x v="1"/>
    <n v="4.9000000000000004"/>
    <x v="1"/>
    <x v="4"/>
    <x v="1"/>
    <x v="1"/>
    <n v="25"/>
    <x v="4"/>
    <x v="2"/>
  </r>
  <r>
    <n v="2385"/>
    <n v="24"/>
    <x v="0"/>
    <x v="0"/>
    <x v="0"/>
    <n v="35"/>
    <x v="15"/>
    <x v="0"/>
    <s v="Green"/>
    <x v="0"/>
    <n v="3.3"/>
    <x v="1"/>
    <x v="4"/>
    <x v="1"/>
    <x v="1"/>
    <n v="40"/>
    <x v="3"/>
    <x v="3"/>
  </r>
  <r>
    <n v="2386"/>
    <n v="41"/>
    <x v="0"/>
    <x v="18"/>
    <x v="3"/>
    <n v="31"/>
    <x v="19"/>
    <x v="2"/>
    <s v="Brown"/>
    <x v="3"/>
    <n v="3.8"/>
    <x v="1"/>
    <x v="0"/>
    <x v="1"/>
    <x v="1"/>
    <n v="12"/>
    <x v="3"/>
    <x v="1"/>
  </r>
  <r>
    <n v="2387"/>
    <n v="19"/>
    <x v="0"/>
    <x v="20"/>
    <x v="0"/>
    <n v="33"/>
    <x v="26"/>
    <x v="0"/>
    <s v="Blue"/>
    <x v="2"/>
    <n v="2.9"/>
    <x v="1"/>
    <x v="3"/>
    <x v="1"/>
    <x v="1"/>
    <n v="14"/>
    <x v="0"/>
    <x v="5"/>
  </r>
  <r>
    <n v="2388"/>
    <n v="36"/>
    <x v="0"/>
    <x v="19"/>
    <x v="3"/>
    <n v="95"/>
    <x v="30"/>
    <x v="2"/>
    <s v="Gold"/>
    <x v="2"/>
    <n v="4"/>
    <x v="1"/>
    <x v="4"/>
    <x v="1"/>
    <x v="1"/>
    <n v="14"/>
    <x v="5"/>
    <x v="5"/>
  </r>
  <r>
    <n v="2389"/>
    <n v="21"/>
    <x v="0"/>
    <x v="10"/>
    <x v="0"/>
    <n v="68"/>
    <x v="15"/>
    <x v="2"/>
    <s v="Peach"/>
    <x v="3"/>
    <n v="4.0999999999999996"/>
    <x v="1"/>
    <x v="5"/>
    <x v="1"/>
    <x v="1"/>
    <n v="10"/>
    <x v="5"/>
    <x v="2"/>
  </r>
  <r>
    <n v="2390"/>
    <n v="25"/>
    <x v="0"/>
    <x v="7"/>
    <x v="2"/>
    <n v="87"/>
    <x v="23"/>
    <x v="2"/>
    <s v="Violet"/>
    <x v="1"/>
    <n v="3.1"/>
    <x v="1"/>
    <x v="5"/>
    <x v="1"/>
    <x v="1"/>
    <n v="17"/>
    <x v="4"/>
    <x v="6"/>
  </r>
  <r>
    <n v="2391"/>
    <n v="65"/>
    <x v="0"/>
    <x v="5"/>
    <x v="0"/>
    <n v="64"/>
    <x v="28"/>
    <x v="3"/>
    <s v="Yellow"/>
    <x v="0"/>
    <n v="4.5999999999999996"/>
    <x v="1"/>
    <x v="0"/>
    <x v="1"/>
    <x v="1"/>
    <n v="24"/>
    <x v="5"/>
    <x v="0"/>
  </r>
  <r>
    <n v="2392"/>
    <n v="42"/>
    <x v="0"/>
    <x v="5"/>
    <x v="0"/>
    <n v="74"/>
    <x v="49"/>
    <x v="2"/>
    <s v="Black"/>
    <x v="0"/>
    <n v="4.5999999999999996"/>
    <x v="1"/>
    <x v="2"/>
    <x v="1"/>
    <x v="1"/>
    <n v="31"/>
    <x v="4"/>
    <x v="3"/>
  </r>
  <r>
    <n v="2393"/>
    <n v="40"/>
    <x v="0"/>
    <x v="2"/>
    <x v="0"/>
    <n v="62"/>
    <x v="9"/>
    <x v="0"/>
    <s v="Silver"/>
    <x v="1"/>
    <n v="2.6"/>
    <x v="1"/>
    <x v="4"/>
    <x v="1"/>
    <x v="1"/>
    <n v="36"/>
    <x v="1"/>
    <x v="2"/>
  </r>
  <r>
    <n v="2394"/>
    <n v="58"/>
    <x v="0"/>
    <x v="20"/>
    <x v="0"/>
    <n v="97"/>
    <x v="7"/>
    <x v="2"/>
    <s v="Brown"/>
    <x v="0"/>
    <n v="5"/>
    <x v="1"/>
    <x v="4"/>
    <x v="1"/>
    <x v="1"/>
    <n v="38"/>
    <x v="3"/>
    <x v="6"/>
  </r>
  <r>
    <n v="2395"/>
    <n v="40"/>
    <x v="0"/>
    <x v="3"/>
    <x v="1"/>
    <n v="47"/>
    <x v="39"/>
    <x v="0"/>
    <s v="Peach"/>
    <x v="3"/>
    <n v="2.9"/>
    <x v="1"/>
    <x v="4"/>
    <x v="1"/>
    <x v="1"/>
    <n v="23"/>
    <x v="5"/>
    <x v="0"/>
  </r>
  <r>
    <n v="2396"/>
    <n v="62"/>
    <x v="0"/>
    <x v="0"/>
    <x v="0"/>
    <n v="83"/>
    <x v="39"/>
    <x v="2"/>
    <s v="Cyan"/>
    <x v="0"/>
    <n v="3.5"/>
    <x v="1"/>
    <x v="4"/>
    <x v="1"/>
    <x v="1"/>
    <n v="47"/>
    <x v="3"/>
    <x v="4"/>
  </r>
  <r>
    <n v="2397"/>
    <n v="38"/>
    <x v="0"/>
    <x v="5"/>
    <x v="0"/>
    <n v="82"/>
    <x v="4"/>
    <x v="2"/>
    <s v="Olive"/>
    <x v="1"/>
    <n v="3.7"/>
    <x v="1"/>
    <x v="4"/>
    <x v="1"/>
    <x v="1"/>
    <n v="20"/>
    <x v="0"/>
    <x v="1"/>
  </r>
  <r>
    <n v="2398"/>
    <n v="37"/>
    <x v="0"/>
    <x v="12"/>
    <x v="3"/>
    <n v="26"/>
    <x v="8"/>
    <x v="0"/>
    <s v="Black"/>
    <x v="3"/>
    <n v="2.9"/>
    <x v="1"/>
    <x v="5"/>
    <x v="1"/>
    <x v="1"/>
    <n v="41"/>
    <x v="0"/>
    <x v="5"/>
  </r>
  <r>
    <n v="2399"/>
    <n v="65"/>
    <x v="0"/>
    <x v="14"/>
    <x v="2"/>
    <n v="81"/>
    <x v="20"/>
    <x v="2"/>
    <s v="Orange"/>
    <x v="0"/>
    <n v="4.3"/>
    <x v="1"/>
    <x v="1"/>
    <x v="1"/>
    <x v="1"/>
    <n v="44"/>
    <x v="4"/>
    <x v="0"/>
  </r>
  <r>
    <n v="2400"/>
    <n v="55"/>
    <x v="0"/>
    <x v="10"/>
    <x v="0"/>
    <n v="44"/>
    <x v="13"/>
    <x v="0"/>
    <s v="Beige"/>
    <x v="1"/>
    <n v="3.2"/>
    <x v="1"/>
    <x v="5"/>
    <x v="1"/>
    <x v="1"/>
    <n v="31"/>
    <x v="1"/>
    <x v="5"/>
  </r>
  <r>
    <n v="2401"/>
    <n v="43"/>
    <x v="0"/>
    <x v="12"/>
    <x v="3"/>
    <n v="88"/>
    <x v="4"/>
    <x v="2"/>
    <s v="Peach"/>
    <x v="0"/>
    <n v="4.2"/>
    <x v="1"/>
    <x v="2"/>
    <x v="1"/>
    <x v="1"/>
    <n v="11"/>
    <x v="2"/>
    <x v="4"/>
  </r>
  <r>
    <n v="2402"/>
    <n v="43"/>
    <x v="0"/>
    <x v="23"/>
    <x v="1"/>
    <n v="76"/>
    <x v="4"/>
    <x v="2"/>
    <s v="Pink"/>
    <x v="0"/>
    <n v="4.2"/>
    <x v="1"/>
    <x v="3"/>
    <x v="1"/>
    <x v="1"/>
    <n v="25"/>
    <x v="3"/>
    <x v="4"/>
  </r>
  <r>
    <n v="2403"/>
    <n v="45"/>
    <x v="0"/>
    <x v="18"/>
    <x v="3"/>
    <n v="89"/>
    <x v="40"/>
    <x v="2"/>
    <s v="Brown"/>
    <x v="0"/>
    <n v="3.8"/>
    <x v="1"/>
    <x v="1"/>
    <x v="1"/>
    <x v="1"/>
    <n v="31"/>
    <x v="1"/>
    <x v="1"/>
  </r>
  <r>
    <n v="2404"/>
    <n v="64"/>
    <x v="0"/>
    <x v="6"/>
    <x v="0"/>
    <n v="22"/>
    <x v="9"/>
    <x v="2"/>
    <s v="Magenta"/>
    <x v="3"/>
    <n v="4.4000000000000004"/>
    <x v="1"/>
    <x v="3"/>
    <x v="1"/>
    <x v="1"/>
    <n v="40"/>
    <x v="5"/>
    <x v="1"/>
  </r>
  <r>
    <n v="2405"/>
    <n v="28"/>
    <x v="0"/>
    <x v="6"/>
    <x v="0"/>
    <n v="33"/>
    <x v="8"/>
    <x v="0"/>
    <s v="Cyan"/>
    <x v="0"/>
    <n v="3.1"/>
    <x v="1"/>
    <x v="4"/>
    <x v="1"/>
    <x v="1"/>
    <n v="23"/>
    <x v="2"/>
    <x v="4"/>
  </r>
  <r>
    <n v="2406"/>
    <n v="69"/>
    <x v="0"/>
    <x v="2"/>
    <x v="0"/>
    <n v="97"/>
    <x v="18"/>
    <x v="3"/>
    <s v="Silver"/>
    <x v="3"/>
    <n v="5"/>
    <x v="1"/>
    <x v="3"/>
    <x v="1"/>
    <x v="1"/>
    <n v="5"/>
    <x v="5"/>
    <x v="3"/>
  </r>
  <r>
    <n v="2407"/>
    <n v="54"/>
    <x v="0"/>
    <x v="18"/>
    <x v="3"/>
    <n v="57"/>
    <x v="18"/>
    <x v="2"/>
    <s v="Indigo"/>
    <x v="0"/>
    <n v="4.7"/>
    <x v="1"/>
    <x v="3"/>
    <x v="1"/>
    <x v="1"/>
    <n v="26"/>
    <x v="3"/>
    <x v="1"/>
  </r>
  <r>
    <n v="2408"/>
    <n v="52"/>
    <x v="0"/>
    <x v="6"/>
    <x v="0"/>
    <n v="38"/>
    <x v="26"/>
    <x v="2"/>
    <s v="Beige"/>
    <x v="2"/>
    <n v="3"/>
    <x v="1"/>
    <x v="0"/>
    <x v="1"/>
    <x v="1"/>
    <n v="11"/>
    <x v="2"/>
    <x v="4"/>
  </r>
  <r>
    <n v="2409"/>
    <n v="23"/>
    <x v="0"/>
    <x v="4"/>
    <x v="1"/>
    <n v="55"/>
    <x v="11"/>
    <x v="3"/>
    <s v="Black"/>
    <x v="3"/>
    <n v="4.2"/>
    <x v="1"/>
    <x v="2"/>
    <x v="1"/>
    <x v="1"/>
    <n v="44"/>
    <x v="5"/>
    <x v="6"/>
  </r>
  <r>
    <n v="2410"/>
    <n v="26"/>
    <x v="0"/>
    <x v="16"/>
    <x v="3"/>
    <n v="37"/>
    <x v="47"/>
    <x v="0"/>
    <s v="Yellow"/>
    <x v="1"/>
    <n v="3"/>
    <x v="1"/>
    <x v="5"/>
    <x v="1"/>
    <x v="1"/>
    <n v="47"/>
    <x v="1"/>
    <x v="6"/>
  </r>
  <r>
    <n v="2411"/>
    <n v="48"/>
    <x v="0"/>
    <x v="9"/>
    <x v="1"/>
    <n v="43"/>
    <x v="48"/>
    <x v="2"/>
    <s v="Maroon"/>
    <x v="2"/>
    <n v="3.7"/>
    <x v="1"/>
    <x v="1"/>
    <x v="1"/>
    <x v="1"/>
    <n v="46"/>
    <x v="3"/>
    <x v="5"/>
  </r>
  <r>
    <n v="2412"/>
    <n v="49"/>
    <x v="0"/>
    <x v="15"/>
    <x v="0"/>
    <n v="96"/>
    <x v="41"/>
    <x v="2"/>
    <s v="Cyan"/>
    <x v="2"/>
    <n v="2.7"/>
    <x v="1"/>
    <x v="1"/>
    <x v="1"/>
    <x v="1"/>
    <n v="35"/>
    <x v="1"/>
    <x v="6"/>
  </r>
  <r>
    <n v="2413"/>
    <n v="53"/>
    <x v="0"/>
    <x v="14"/>
    <x v="2"/>
    <n v="51"/>
    <x v="4"/>
    <x v="2"/>
    <s v="Pink"/>
    <x v="0"/>
    <n v="4.3"/>
    <x v="1"/>
    <x v="4"/>
    <x v="1"/>
    <x v="1"/>
    <n v="8"/>
    <x v="4"/>
    <x v="4"/>
  </r>
  <r>
    <n v="2414"/>
    <n v="69"/>
    <x v="0"/>
    <x v="6"/>
    <x v="0"/>
    <n v="95"/>
    <x v="38"/>
    <x v="3"/>
    <s v="Violet"/>
    <x v="3"/>
    <n v="2.7"/>
    <x v="1"/>
    <x v="4"/>
    <x v="1"/>
    <x v="1"/>
    <n v="30"/>
    <x v="4"/>
    <x v="1"/>
  </r>
  <r>
    <n v="2415"/>
    <n v="26"/>
    <x v="0"/>
    <x v="20"/>
    <x v="0"/>
    <n v="26"/>
    <x v="41"/>
    <x v="2"/>
    <s v="Lavender"/>
    <x v="2"/>
    <n v="3.7"/>
    <x v="1"/>
    <x v="2"/>
    <x v="1"/>
    <x v="1"/>
    <n v="14"/>
    <x v="2"/>
    <x v="4"/>
  </r>
  <r>
    <n v="2416"/>
    <n v="21"/>
    <x v="0"/>
    <x v="7"/>
    <x v="2"/>
    <n v="34"/>
    <x v="11"/>
    <x v="3"/>
    <s v="Lavender"/>
    <x v="3"/>
    <n v="4.3"/>
    <x v="1"/>
    <x v="3"/>
    <x v="1"/>
    <x v="1"/>
    <n v="30"/>
    <x v="4"/>
    <x v="1"/>
  </r>
  <r>
    <n v="2417"/>
    <n v="59"/>
    <x v="0"/>
    <x v="3"/>
    <x v="1"/>
    <n v="83"/>
    <x v="43"/>
    <x v="1"/>
    <s v="Black"/>
    <x v="2"/>
    <n v="4"/>
    <x v="1"/>
    <x v="2"/>
    <x v="1"/>
    <x v="1"/>
    <n v="26"/>
    <x v="2"/>
    <x v="6"/>
  </r>
  <r>
    <n v="2418"/>
    <n v="21"/>
    <x v="0"/>
    <x v="21"/>
    <x v="3"/>
    <n v="24"/>
    <x v="29"/>
    <x v="2"/>
    <s v="Olive"/>
    <x v="3"/>
    <n v="3.3"/>
    <x v="1"/>
    <x v="3"/>
    <x v="1"/>
    <x v="1"/>
    <n v="32"/>
    <x v="0"/>
    <x v="0"/>
  </r>
  <r>
    <n v="2419"/>
    <n v="22"/>
    <x v="0"/>
    <x v="13"/>
    <x v="0"/>
    <n v="69"/>
    <x v="49"/>
    <x v="1"/>
    <s v="Indigo"/>
    <x v="3"/>
    <n v="4"/>
    <x v="1"/>
    <x v="2"/>
    <x v="1"/>
    <x v="1"/>
    <n v="47"/>
    <x v="1"/>
    <x v="6"/>
  </r>
  <r>
    <n v="2420"/>
    <n v="26"/>
    <x v="0"/>
    <x v="1"/>
    <x v="0"/>
    <n v="40"/>
    <x v="17"/>
    <x v="2"/>
    <s v="Blue"/>
    <x v="3"/>
    <n v="2.7"/>
    <x v="1"/>
    <x v="2"/>
    <x v="1"/>
    <x v="1"/>
    <n v="11"/>
    <x v="2"/>
    <x v="6"/>
  </r>
  <r>
    <n v="2421"/>
    <n v="41"/>
    <x v="0"/>
    <x v="14"/>
    <x v="2"/>
    <n v="87"/>
    <x v="17"/>
    <x v="1"/>
    <s v="Green"/>
    <x v="0"/>
    <n v="4.2"/>
    <x v="1"/>
    <x v="1"/>
    <x v="1"/>
    <x v="1"/>
    <n v="28"/>
    <x v="3"/>
    <x v="2"/>
  </r>
  <r>
    <n v="2422"/>
    <n v="37"/>
    <x v="0"/>
    <x v="4"/>
    <x v="1"/>
    <n v="46"/>
    <x v="46"/>
    <x v="0"/>
    <s v="Pink"/>
    <x v="1"/>
    <n v="4.5999999999999996"/>
    <x v="1"/>
    <x v="3"/>
    <x v="1"/>
    <x v="1"/>
    <n v="2"/>
    <x v="5"/>
    <x v="6"/>
  </r>
  <r>
    <n v="2423"/>
    <n v="30"/>
    <x v="0"/>
    <x v="16"/>
    <x v="3"/>
    <n v="82"/>
    <x v="42"/>
    <x v="2"/>
    <s v="Peach"/>
    <x v="0"/>
    <n v="4.8"/>
    <x v="1"/>
    <x v="5"/>
    <x v="1"/>
    <x v="1"/>
    <n v="45"/>
    <x v="2"/>
    <x v="1"/>
  </r>
  <r>
    <n v="2424"/>
    <n v="49"/>
    <x v="0"/>
    <x v="21"/>
    <x v="3"/>
    <n v="81"/>
    <x v="8"/>
    <x v="2"/>
    <s v="Purple"/>
    <x v="2"/>
    <n v="2.8"/>
    <x v="1"/>
    <x v="1"/>
    <x v="1"/>
    <x v="1"/>
    <n v="7"/>
    <x v="2"/>
    <x v="6"/>
  </r>
  <r>
    <n v="2425"/>
    <n v="49"/>
    <x v="0"/>
    <x v="16"/>
    <x v="3"/>
    <n v="57"/>
    <x v="12"/>
    <x v="2"/>
    <s v="Peach"/>
    <x v="0"/>
    <n v="4.5"/>
    <x v="1"/>
    <x v="2"/>
    <x v="1"/>
    <x v="1"/>
    <n v="28"/>
    <x v="4"/>
    <x v="4"/>
  </r>
  <r>
    <n v="2426"/>
    <n v="58"/>
    <x v="0"/>
    <x v="9"/>
    <x v="1"/>
    <n v="49"/>
    <x v="25"/>
    <x v="1"/>
    <s v="Olive"/>
    <x v="2"/>
    <n v="3"/>
    <x v="1"/>
    <x v="4"/>
    <x v="1"/>
    <x v="1"/>
    <n v="34"/>
    <x v="4"/>
    <x v="3"/>
  </r>
  <r>
    <n v="2427"/>
    <n v="70"/>
    <x v="0"/>
    <x v="14"/>
    <x v="2"/>
    <n v="42"/>
    <x v="20"/>
    <x v="2"/>
    <s v="Olive"/>
    <x v="3"/>
    <n v="4.5999999999999996"/>
    <x v="1"/>
    <x v="1"/>
    <x v="1"/>
    <x v="1"/>
    <n v="26"/>
    <x v="5"/>
    <x v="6"/>
  </r>
  <r>
    <n v="2428"/>
    <n v="27"/>
    <x v="0"/>
    <x v="14"/>
    <x v="2"/>
    <n v="26"/>
    <x v="4"/>
    <x v="2"/>
    <s v="Purple"/>
    <x v="1"/>
    <n v="3.3"/>
    <x v="1"/>
    <x v="3"/>
    <x v="1"/>
    <x v="1"/>
    <n v="45"/>
    <x v="1"/>
    <x v="3"/>
  </r>
  <r>
    <n v="2429"/>
    <n v="65"/>
    <x v="0"/>
    <x v="17"/>
    <x v="0"/>
    <n v="38"/>
    <x v="37"/>
    <x v="2"/>
    <s v="Violet"/>
    <x v="1"/>
    <n v="4.4000000000000004"/>
    <x v="1"/>
    <x v="2"/>
    <x v="1"/>
    <x v="1"/>
    <n v="34"/>
    <x v="5"/>
    <x v="2"/>
  </r>
  <r>
    <n v="2430"/>
    <n v="57"/>
    <x v="0"/>
    <x v="4"/>
    <x v="1"/>
    <n v="57"/>
    <x v="41"/>
    <x v="3"/>
    <s v="Maroon"/>
    <x v="2"/>
    <n v="4.4000000000000004"/>
    <x v="1"/>
    <x v="3"/>
    <x v="1"/>
    <x v="1"/>
    <n v="47"/>
    <x v="2"/>
    <x v="0"/>
  </r>
  <r>
    <n v="2431"/>
    <n v="20"/>
    <x v="0"/>
    <x v="14"/>
    <x v="2"/>
    <n v="100"/>
    <x v="25"/>
    <x v="3"/>
    <s v="White"/>
    <x v="2"/>
    <n v="4.3"/>
    <x v="1"/>
    <x v="0"/>
    <x v="1"/>
    <x v="1"/>
    <n v="42"/>
    <x v="1"/>
    <x v="3"/>
  </r>
  <r>
    <n v="2432"/>
    <n v="34"/>
    <x v="0"/>
    <x v="15"/>
    <x v="0"/>
    <n v="73"/>
    <x v="15"/>
    <x v="1"/>
    <s v="Olive"/>
    <x v="3"/>
    <n v="3.4"/>
    <x v="1"/>
    <x v="0"/>
    <x v="1"/>
    <x v="1"/>
    <n v="27"/>
    <x v="4"/>
    <x v="6"/>
  </r>
  <r>
    <n v="2433"/>
    <n v="59"/>
    <x v="0"/>
    <x v="14"/>
    <x v="2"/>
    <n v="66"/>
    <x v="11"/>
    <x v="2"/>
    <s v="Peach"/>
    <x v="0"/>
    <n v="2.8"/>
    <x v="1"/>
    <x v="5"/>
    <x v="1"/>
    <x v="1"/>
    <n v="43"/>
    <x v="0"/>
    <x v="5"/>
  </r>
  <r>
    <n v="2434"/>
    <n v="54"/>
    <x v="0"/>
    <x v="17"/>
    <x v="0"/>
    <n v="73"/>
    <x v="4"/>
    <x v="2"/>
    <s v="Blue"/>
    <x v="1"/>
    <n v="3.4"/>
    <x v="1"/>
    <x v="3"/>
    <x v="1"/>
    <x v="1"/>
    <n v="16"/>
    <x v="1"/>
    <x v="4"/>
  </r>
  <r>
    <n v="2435"/>
    <n v="36"/>
    <x v="0"/>
    <x v="24"/>
    <x v="3"/>
    <n v="45"/>
    <x v="40"/>
    <x v="2"/>
    <s v="Brown"/>
    <x v="1"/>
    <n v="5"/>
    <x v="1"/>
    <x v="5"/>
    <x v="1"/>
    <x v="1"/>
    <n v="40"/>
    <x v="2"/>
    <x v="5"/>
  </r>
  <r>
    <n v="2436"/>
    <n v="21"/>
    <x v="0"/>
    <x v="4"/>
    <x v="1"/>
    <n v="27"/>
    <x v="11"/>
    <x v="1"/>
    <s v="Black"/>
    <x v="3"/>
    <n v="4.5"/>
    <x v="1"/>
    <x v="1"/>
    <x v="1"/>
    <x v="1"/>
    <n v="29"/>
    <x v="1"/>
    <x v="4"/>
  </r>
  <r>
    <n v="2437"/>
    <n v="52"/>
    <x v="0"/>
    <x v="17"/>
    <x v="0"/>
    <n v="24"/>
    <x v="39"/>
    <x v="2"/>
    <s v="Yellow"/>
    <x v="3"/>
    <n v="2.7"/>
    <x v="1"/>
    <x v="5"/>
    <x v="1"/>
    <x v="1"/>
    <n v="38"/>
    <x v="2"/>
    <x v="3"/>
  </r>
  <r>
    <n v="2438"/>
    <n v="43"/>
    <x v="0"/>
    <x v="4"/>
    <x v="1"/>
    <n v="59"/>
    <x v="5"/>
    <x v="3"/>
    <s v="Magenta"/>
    <x v="0"/>
    <n v="3.4"/>
    <x v="1"/>
    <x v="5"/>
    <x v="1"/>
    <x v="1"/>
    <n v="34"/>
    <x v="2"/>
    <x v="1"/>
  </r>
  <r>
    <n v="2439"/>
    <n v="32"/>
    <x v="0"/>
    <x v="2"/>
    <x v="0"/>
    <n v="20"/>
    <x v="12"/>
    <x v="1"/>
    <s v="Cyan"/>
    <x v="0"/>
    <n v="3.4"/>
    <x v="1"/>
    <x v="0"/>
    <x v="1"/>
    <x v="1"/>
    <n v="30"/>
    <x v="0"/>
    <x v="1"/>
  </r>
  <r>
    <n v="2440"/>
    <n v="55"/>
    <x v="0"/>
    <x v="8"/>
    <x v="3"/>
    <n v="44"/>
    <x v="10"/>
    <x v="2"/>
    <s v="Maroon"/>
    <x v="2"/>
    <n v="2.8"/>
    <x v="1"/>
    <x v="3"/>
    <x v="1"/>
    <x v="1"/>
    <n v="45"/>
    <x v="4"/>
    <x v="2"/>
  </r>
  <r>
    <n v="2441"/>
    <n v="31"/>
    <x v="0"/>
    <x v="20"/>
    <x v="0"/>
    <n v="90"/>
    <x v="27"/>
    <x v="2"/>
    <s v="Red"/>
    <x v="1"/>
    <n v="4.7"/>
    <x v="1"/>
    <x v="3"/>
    <x v="1"/>
    <x v="1"/>
    <n v="47"/>
    <x v="4"/>
    <x v="2"/>
  </r>
  <r>
    <n v="2442"/>
    <n v="45"/>
    <x v="0"/>
    <x v="16"/>
    <x v="3"/>
    <n v="36"/>
    <x v="18"/>
    <x v="2"/>
    <s v="Black"/>
    <x v="3"/>
    <n v="4.7"/>
    <x v="1"/>
    <x v="1"/>
    <x v="1"/>
    <x v="1"/>
    <n v="5"/>
    <x v="2"/>
    <x v="5"/>
  </r>
  <r>
    <n v="2443"/>
    <n v="53"/>
    <x v="0"/>
    <x v="0"/>
    <x v="0"/>
    <n v="95"/>
    <x v="5"/>
    <x v="0"/>
    <s v="Violet"/>
    <x v="0"/>
    <n v="4.7"/>
    <x v="1"/>
    <x v="1"/>
    <x v="1"/>
    <x v="1"/>
    <n v="50"/>
    <x v="5"/>
    <x v="4"/>
  </r>
  <r>
    <n v="2444"/>
    <n v="24"/>
    <x v="0"/>
    <x v="21"/>
    <x v="3"/>
    <n v="30"/>
    <x v="45"/>
    <x v="2"/>
    <s v="Green"/>
    <x v="1"/>
    <n v="3.4"/>
    <x v="1"/>
    <x v="4"/>
    <x v="1"/>
    <x v="1"/>
    <n v="24"/>
    <x v="4"/>
    <x v="4"/>
  </r>
  <r>
    <n v="2445"/>
    <n v="47"/>
    <x v="0"/>
    <x v="18"/>
    <x v="3"/>
    <n v="65"/>
    <x v="8"/>
    <x v="1"/>
    <s v="Gold"/>
    <x v="3"/>
    <n v="3.7"/>
    <x v="1"/>
    <x v="0"/>
    <x v="1"/>
    <x v="1"/>
    <n v="15"/>
    <x v="5"/>
    <x v="4"/>
  </r>
  <r>
    <n v="2446"/>
    <n v="63"/>
    <x v="0"/>
    <x v="18"/>
    <x v="3"/>
    <n v="96"/>
    <x v="30"/>
    <x v="2"/>
    <s v="Brown"/>
    <x v="2"/>
    <n v="4.0999999999999996"/>
    <x v="1"/>
    <x v="5"/>
    <x v="1"/>
    <x v="1"/>
    <n v="50"/>
    <x v="1"/>
    <x v="1"/>
  </r>
  <r>
    <n v="2447"/>
    <n v="38"/>
    <x v="0"/>
    <x v="5"/>
    <x v="0"/>
    <n v="65"/>
    <x v="29"/>
    <x v="0"/>
    <s v="Peach"/>
    <x v="1"/>
    <n v="2.9"/>
    <x v="1"/>
    <x v="4"/>
    <x v="1"/>
    <x v="1"/>
    <n v="7"/>
    <x v="2"/>
    <x v="5"/>
  </r>
  <r>
    <n v="2448"/>
    <n v="59"/>
    <x v="0"/>
    <x v="13"/>
    <x v="0"/>
    <n v="47"/>
    <x v="45"/>
    <x v="0"/>
    <s v="Peach"/>
    <x v="3"/>
    <n v="3.2"/>
    <x v="1"/>
    <x v="5"/>
    <x v="1"/>
    <x v="1"/>
    <n v="10"/>
    <x v="0"/>
    <x v="0"/>
  </r>
  <r>
    <n v="2449"/>
    <n v="54"/>
    <x v="0"/>
    <x v="19"/>
    <x v="3"/>
    <n v="25"/>
    <x v="30"/>
    <x v="1"/>
    <s v="Violet"/>
    <x v="3"/>
    <n v="3"/>
    <x v="1"/>
    <x v="1"/>
    <x v="1"/>
    <x v="1"/>
    <n v="38"/>
    <x v="3"/>
    <x v="4"/>
  </r>
  <r>
    <n v="2450"/>
    <n v="26"/>
    <x v="0"/>
    <x v="7"/>
    <x v="2"/>
    <n v="56"/>
    <x v="15"/>
    <x v="1"/>
    <s v="Violet"/>
    <x v="3"/>
    <n v="4.0999999999999996"/>
    <x v="1"/>
    <x v="0"/>
    <x v="1"/>
    <x v="1"/>
    <n v="31"/>
    <x v="0"/>
    <x v="0"/>
  </r>
  <r>
    <n v="2451"/>
    <n v="68"/>
    <x v="0"/>
    <x v="17"/>
    <x v="0"/>
    <n v="76"/>
    <x v="17"/>
    <x v="2"/>
    <s v="Magenta"/>
    <x v="3"/>
    <n v="4.5"/>
    <x v="1"/>
    <x v="3"/>
    <x v="1"/>
    <x v="1"/>
    <n v="7"/>
    <x v="0"/>
    <x v="3"/>
  </r>
  <r>
    <n v="2452"/>
    <n v="41"/>
    <x v="0"/>
    <x v="20"/>
    <x v="0"/>
    <n v="60"/>
    <x v="19"/>
    <x v="2"/>
    <s v="Purple"/>
    <x v="3"/>
    <n v="3.4"/>
    <x v="1"/>
    <x v="5"/>
    <x v="1"/>
    <x v="1"/>
    <n v="27"/>
    <x v="0"/>
    <x v="5"/>
  </r>
  <r>
    <n v="2453"/>
    <n v="68"/>
    <x v="0"/>
    <x v="5"/>
    <x v="0"/>
    <n v="67"/>
    <x v="14"/>
    <x v="0"/>
    <s v="Purple"/>
    <x v="0"/>
    <n v="4.0999999999999996"/>
    <x v="1"/>
    <x v="0"/>
    <x v="1"/>
    <x v="1"/>
    <n v="45"/>
    <x v="4"/>
    <x v="6"/>
  </r>
  <r>
    <n v="2454"/>
    <n v="21"/>
    <x v="0"/>
    <x v="1"/>
    <x v="0"/>
    <n v="95"/>
    <x v="44"/>
    <x v="3"/>
    <s v="Cyan"/>
    <x v="1"/>
    <n v="4.5999999999999996"/>
    <x v="1"/>
    <x v="5"/>
    <x v="1"/>
    <x v="1"/>
    <n v="13"/>
    <x v="1"/>
    <x v="2"/>
  </r>
  <r>
    <n v="2455"/>
    <n v="32"/>
    <x v="0"/>
    <x v="24"/>
    <x v="3"/>
    <n v="72"/>
    <x v="29"/>
    <x v="2"/>
    <s v="Magenta"/>
    <x v="0"/>
    <n v="4.5999999999999996"/>
    <x v="1"/>
    <x v="0"/>
    <x v="1"/>
    <x v="1"/>
    <n v="33"/>
    <x v="0"/>
    <x v="2"/>
  </r>
  <r>
    <n v="2456"/>
    <n v="20"/>
    <x v="0"/>
    <x v="22"/>
    <x v="3"/>
    <n v="98"/>
    <x v="29"/>
    <x v="0"/>
    <s v="Lavender"/>
    <x v="1"/>
    <n v="3.4"/>
    <x v="1"/>
    <x v="0"/>
    <x v="1"/>
    <x v="1"/>
    <n v="25"/>
    <x v="1"/>
    <x v="6"/>
  </r>
  <r>
    <n v="2457"/>
    <n v="59"/>
    <x v="0"/>
    <x v="2"/>
    <x v="0"/>
    <n v="83"/>
    <x v="43"/>
    <x v="2"/>
    <s v="Green"/>
    <x v="0"/>
    <n v="3.3"/>
    <x v="1"/>
    <x v="4"/>
    <x v="1"/>
    <x v="1"/>
    <n v="5"/>
    <x v="3"/>
    <x v="5"/>
  </r>
  <r>
    <n v="2458"/>
    <n v="53"/>
    <x v="0"/>
    <x v="8"/>
    <x v="3"/>
    <n v="37"/>
    <x v="12"/>
    <x v="2"/>
    <s v="Maroon"/>
    <x v="3"/>
    <n v="3.6"/>
    <x v="1"/>
    <x v="4"/>
    <x v="1"/>
    <x v="1"/>
    <n v="23"/>
    <x v="1"/>
    <x v="3"/>
  </r>
  <r>
    <n v="2459"/>
    <n v="66"/>
    <x v="0"/>
    <x v="17"/>
    <x v="0"/>
    <n v="85"/>
    <x v="21"/>
    <x v="0"/>
    <s v="Turquoise"/>
    <x v="3"/>
    <n v="4.5999999999999996"/>
    <x v="1"/>
    <x v="1"/>
    <x v="1"/>
    <x v="1"/>
    <n v="17"/>
    <x v="4"/>
    <x v="1"/>
  </r>
  <r>
    <n v="2460"/>
    <n v="47"/>
    <x v="0"/>
    <x v="20"/>
    <x v="0"/>
    <n v="36"/>
    <x v="9"/>
    <x v="0"/>
    <s v="Violet"/>
    <x v="3"/>
    <n v="4.3"/>
    <x v="1"/>
    <x v="4"/>
    <x v="1"/>
    <x v="1"/>
    <n v="14"/>
    <x v="1"/>
    <x v="1"/>
  </r>
  <r>
    <n v="2461"/>
    <n v="58"/>
    <x v="0"/>
    <x v="2"/>
    <x v="0"/>
    <n v="36"/>
    <x v="1"/>
    <x v="1"/>
    <s v="Lavender"/>
    <x v="0"/>
    <n v="4"/>
    <x v="1"/>
    <x v="5"/>
    <x v="1"/>
    <x v="1"/>
    <n v="28"/>
    <x v="2"/>
    <x v="2"/>
  </r>
  <r>
    <n v="2462"/>
    <n v="28"/>
    <x v="0"/>
    <x v="18"/>
    <x v="3"/>
    <n v="86"/>
    <x v="38"/>
    <x v="0"/>
    <s v="Red"/>
    <x v="2"/>
    <n v="4.8"/>
    <x v="1"/>
    <x v="2"/>
    <x v="1"/>
    <x v="1"/>
    <n v="19"/>
    <x v="2"/>
    <x v="1"/>
  </r>
  <r>
    <n v="2463"/>
    <n v="68"/>
    <x v="0"/>
    <x v="13"/>
    <x v="0"/>
    <n v="99"/>
    <x v="9"/>
    <x v="3"/>
    <s v="Orange"/>
    <x v="1"/>
    <n v="4.3"/>
    <x v="1"/>
    <x v="3"/>
    <x v="1"/>
    <x v="1"/>
    <n v="31"/>
    <x v="4"/>
    <x v="4"/>
  </r>
  <r>
    <n v="2464"/>
    <n v="60"/>
    <x v="0"/>
    <x v="0"/>
    <x v="0"/>
    <n v="21"/>
    <x v="16"/>
    <x v="3"/>
    <s v="Indigo"/>
    <x v="2"/>
    <n v="3.3"/>
    <x v="1"/>
    <x v="3"/>
    <x v="1"/>
    <x v="1"/>
    <n v="25"/>
    <x v="1"/>
    <x v="4"/>
  </r>
  <r>
    <n v="2465"/>
    <n v="47"/>
    <x v="0"/>
    <x v="14"/>
    <x v="2"/>
    <n v="84"/>
    <x v="11"/>
    <x v="0"/>
    <s v="Teal"/>
    <x v="0"/>
    <n v="2.8"/>
    <x v="1"/>
    <x v="0"/>
    <x v="1"/>
    <x v="1"/>
    <n v="4"/>
    <x v="1"/>
    <x v="4"/>
  </r>
  <r>
    <n v="2466"/>
    <n v="18"/>
    <x v="0"/>
    <x v="3"/>
    <x v="1"/>
    <n v="63"/>
    <x v="21"/>
    <x v="2"/>
    <s v="Brown"/>
    <x v="1"/>
    <n v="4.4000000000000004"/>
    <x v="1"/>
    <x v="1"/>
    <x v="1"/>
    <x v="1"/>
    <n v="20"/>
    <x v="4"/>
    <x v="1"/>
  </r>
  <r>
    <n v="2467"/>
    <n v="32"/>
    <x v="0"/>
    <x v="6"/>
    <x v="0"/>
    <n v="84"/>
    <x v="45"/>
    <x v="1"/>
    <s v="Pink"/>
    <x v="2"/>
    <n v="3.7"/>
    <x v="1"/>
    <x v="0"/>
    <x v="1"/>
    <x v="1"/>
    <n v="37"/>
    <x v="1"/>
    <x v="2"/>
  </r>
  <r>
    <n v="2468"/>
    <n v="27"/>
    <x v="0"/>
    <x v="6"/>
    <x v="0"/>
    <n v="72"/>
    <x v="32"/>
    <x v="2"/>
    <s v="Lavender"/>
    <x v="1"/>
    <n v="3.6"/>
    <x v="1"/>
    <x v="0"/>
    <x v="1"/>
    <x v="1"/>
    <n v="28"/>
    <x v="2"/>
    <x v="2"/>
  </r>
  <r>
    <n v="2469"/>
    <n v="65"/>
    <x v="0"/>
    <x v="11"/>
    <x v="0"/>
    <n v="21"/>
    <x v="39"/>
    <x v="0"/>
    <s v="Cyan"/>
    <x v="0"/>
    <n v="3.7"/>
    <x v="1"/>
    <x v="4"/>
    <x v="1"/>
    <x v="1"/>
    <n v="6"/>
    <x v="0"/>
    <x v="1"/>
  </r>
  <r>
    <n v="2470"/>
    <n v="68"/>
    <x v="0"/>
    <x v="3"/>
    <x v="1"/>
    <n v="92"/>
    <x v="33"/>
    <x v="2"/>
    <s v="Yellow"/>
    <x v="3"/>
    <n v="5"/>
    <x v="1"/>
    <x v="3"/>
    <x v="1"/>
    <x v="1"/>
    <n v="27"/>
    <x v="3"/>
    <x v="2"/>
  </r>
  <r>
    <n v="2471"/>
    <n v="55"/>
    <x v="0"/>
    <x v="0"/>
    <x v="0"/>
    <n v="72"/>
    <x v="28"/>
    <x v="3"/>
    <s v="Pink"/>
    <x v="3"/>
    <n v="2.7"/>
    <x v="1"/>
    <x v="2"/>
    <x v="1"/>
    <x v="1"/>
    <n v="29"/>
    <x v="2"/>
    <x v="0"/>
  </r>
  <r>
    <n v="2472"/>
    <n v="30"/>
    <x v="0"/>
    <x v="3"/>
    <x v="1"/>
    <n v="83"/>
    <x v="19"/>
    <x v="2"/>
    <s v="Gray"/>
    <x v="1"/>
    <n v="4.3"/>
    <x v="1"/>
    <x v="5"/>
    <x v="1"/>
    <x v="1"/>
    <n v="1"/>
    <x v="1"/>
    <x v="2"/>
  </r>
  <r>
    <n v="2473"/>
    <n v="24"/>
    <x v="0"/>
    <x v="5"/>
    <x v="0"/>
    <n v="73"/>
    <x v="40"/>
    <x v="2"/>
    <s v="Peach"/>
    <x v="2"/>
    <n v="4.0999999999999996"/>
    <x v="1"/>
    <x v="3"/>
    <x v="1"/>
    <x v="1"/>
    <n v="31"/>
    <x v="2"/>
    <x v="2"/>
  </r>
  <r>
    <n v="2474"/>
    <n v="57"/>
    <x v="0"/>
    <x v="20"/>
    <x v="0"/>
    <n v="98"/>
    <x v="10"/>
    <x v="2"/>
    <s v="Red"/>
    <x v="0"/>
    <n v="2.6"/>
    <x v="1"/>
    <x v="2"/>
    <x v="1"/>
    <x v="1"/>
    <n v="28"/>
    <x v="1"/>
    <x v="3"/>
  </r>
  <r>
    <n v="2475"/>
    <n v="23"/>
    <x v="0"/>
    <x v="17"/>
    <x v="0"/>
    <n v="76"/>
    <x v="17"/>
    <x v="2"/>
    <s v="Olive"/>
    <x v="3"/>
    <n v="3.2"/>
    <x v="1"/>
    <x v="5"/>
    <x v="1"/>
    <x v="1"/>
    <n v="19"/>
    <x v="4"/>
    <x v="3"/>
  </r>
  <r>
    <n v="2476"/>
    <n v="69"/>
    <x v="0"/>
    <x v="10"/>
    <x v="0"/>
    <n v="43"/>
    <x v="18"/>
    <x v="1"/>
    <s v="Lavender"/>
    <x v="2"/>
    <n v="3.5"/>
    <x v="1"/>
    <x v="2"/>
    <x v="1"/>
    <x v="1"/>
    <n v="36"/>
    <x v="0"/>
    <x v="5"/>
  </r>
  <r>
    <n v="2477"/>
    <n v="60"/>
    <x v="0"/>
    <x v="19"/>
    <x v="3"/>
    <n v="60"/>
    <x v="24"/>
    <x v="2"/>
    <s v="Turquoise"/>
    <x v="2"/>
    <n v="3.7"/>
    <x v="1"/>
    <x v="2"/>
    <x v="1"/>
    <x v="1"/>
    <n v="28"/>
    <x v="1"/>
    <x v="5"/>
  </r>
  <r>
    <n v="2478"/>
    <n v="25"/>
    <x v="0"/>
    <x v="24"/>
    <x v="3"/>
    <n v="40"/>
    <x v="18"/>
    <x v="0"/>
    <s v="Turquoise"/>
    <x v="1"/>
    <n v="3.8"/>
    <x v="1"/>
    <x v="4"/>
    <x v="1"/>
    <x v="1"/>
    <n v="29"/>
    <x v="3"/>
    <x v="1"/>
  </r>
  <r>
    <n v="2479"/>
    <n v="18"/>
    <x v="0"/>
    <x v="20"/>
    <x v="0"/>
    <n v="93"/>
    <x v="34"/>
    <x v="1"/>
    <s v="Maroon"/>
    <x v="0"/>
    <n v="4.8"/>
    <x v="1"/>
    <x v="4"/>
    <x v="1"/>
    <x v="1"/>
    <n v="9"/>
    <x v="4"/>
    <x v="6"/>
  </r>
  <r>
    <n v="2480"/>
    <n v="37"/>
    <x v="0"/>
    <x v="10"/>
    <x v="0"/>
    <n v="98"/>
    <x v="23"/>
    <x v="1"/>
    <s v="Olive"/>
    <x v="3"/>
    <n v="4.2"/>
    <x v="1"/>
    <x v="3"/>
    <x v="1"/>
    <x v="1"/>
    <n v="26"/>
    <x v="2"/>
    <x v="6"/>
  </r>
  <r>
    <n v="2481"/>
    <n v="61"/>
    <x v="0"/>
    <x v="20"/>
    <x v="0"/>
    <n v="91"/>
    <x v="31"/>
    <x v="3"/>
    <s v="Maroon"/>
    <x v="2"/>
    <n v="2.9"/>
    <x v="1"/>
    <x v="2"/>
    <x v="1"/>
    <x v="1"/>
    <n v="7"/>
    <x v="2"/>
    <x v="0"/>
  </r>
  <r>
    <n v="2482"/>
    <n v="41"/>
    <x v="0"/>
    <x v="22"/>
    <x v="3"/>
    <n v="92"/>
    <x v="32"/>
    <x v="3"/>
    <s v="Cyan"/>
    <x v="3"/>
    <n v="2.9"/>
    <x v="1"/>
    <x v="1"/>
    <x v="1"/>
    <x v="1"/>
    <n v="35"/>
    <x v="5"/>
    <x v="1"/>
  </r>
  <r>
    <n v="2483"/>
    <n v="69"/>
    <x v="0"/>
    <x v="8"/>
    <x v="3"/>
    <n v="87"/>
    <x v="28"/>
    <x v="1"/>
    <s v="Peach"/>
    <x v="0"/>
    <n v="4.8"/>
    <x v="1"/>
    <x v="2"/>
    <x v="1"/>
    <x v="1"/>
    <n v="46"/>
    <x v="2"/>
    <x v="6"/>
  </r>
  <r>
    <n v="2484"/>
    <n v="32"/>
    <x v="0"/>
    <x v="11"/>
    <x v="0"/>
    <n v="96"/>
    <x v="28"/>
    <x v="1"/>
    <s v="Teal"/>
    <x v="3"/>
    <n v="2.9"/>
    <x v="1"/>
    <x v="3"/>
    <x v="1"/>
    <x v="1"/>
    <n v="8"/>
    <x v="5"/>
    <x v="5"/>
  </r>
  <r>
    <n v="2485"/>
    <n v="60"/>
    <x v="0"/>
    <x v="15"/>
    <x v="0"/>
    <n v="97"/>
    <x v="13"/>
    <x v="2"/>
    <s v="Green"/>
    <x v="2"/>
    <n v="4.8"/>
    <x v="1"/>
    <x v="4"/>
    <x v="1"/>
    <x v="1"/>
    <n v="50"/>
    <x v="1"/>
    <x v="6"/>
  </r>
  <r>
    <n v="2486"/>
    <n v="43"/>
    <x v="0"/>
    <x v="0"/>
    <x v="0"/>
    <n v="55"/>
    <x v="7"/>
    <x v="2"/>
    <s v="Beige"/>
    <x v="1"/>
    <n v="4.5999999999999996"/>
    <x v="1"/>
    <x v="4"/>
    <x v="1"/>
    <x v="1"/>
    <n v="37"/>
    <x v="4"/>
    <x v="2"/>
  </r>
  <r>
    <n v="2487"/>
    <n v="61"/>
    <x v="0"/>
    <x v="2"/>
    <x v="0"/>
    <n v="58"/>
    <x v="21"/>
    <x v="0"/>
    <s v="Magenta"/>
    <x v="1"/>
    <n v="4.4000000000000004"/>
    <x v="1"/>
    <x v="5"/>
    <x v="1"/>
    <x v="1"/>
    <n v="6"/>
    <x v="2"/>
    <x v="0"/>
  </r>
  <r>
    <n v="2488"/>
    <n v="57"/>
    <x v="0"/>
    <x v="23"/>
    <x v="1"/>
    <n v="21"/>
    <x v="6"/>
    <x v="0"/>
    <s v="Violet"/>
    <x v="1"/>
    <n v="3"/>
    <x v="1"/>
    <x v="2"/>
    <x v="1"/>
    <x v="1"/>
    <n v="16"/>
    <x v="3"/>
    <x v="4"/>
  </r>
  <r>
    <n v="2489"/>
    <n v="56"/>
    <x v="0"/>
    <x v="8"/>
    <x v="3"/>
    <n v="82"/>
    <x v="13"/>
    <x v="3"/>
    <s v="Charcoal"/>
    <x v="2"/>
    <n v="4.4000000000000004"/>
    <x v="1"/>
    <x v="0"/>
    <x v="1"/>
    <x v="1"/>
    <n v="30"/>
    <x v="3"/>
    <x v="5"/>
  </r>
  <r>
    <n v="2490"/>
    <n v="66"/>
    <x v="0"/>
    <x v="7"/>
    <x v="2"/>
    <n v="34"/>
    <x v="45"/>
    <x v="2"/>
    <s v="Green"/>
    <x v="0"/>
    <n v="3.9"/>
    <x v="1"/>
    <x v="0"/>
    <x v="1"/>
    <x v="1"/>
    <n v="50"/>
    <x v="0"/>
    <x v="3"/>
  </r>
  <r>
    <n v="2491"/>
    <n v="52"/>
    <x v="0"/>
    <x v="0"/>
    <x v="0"/>
    <n v="78"/>
    <x v="6"/>
    <x v="2"/>
    <s v="Gray"/>
    <x v="1"/>
    <n v="4"/>
    <x v="1"/>
    <x v="1"/>
    <x v="1"/>
    <x v="1"/>
    <n v="5"/>
    <x v="1"/>
    <x v="6"/>
  </r>
  <r>
    <n v="2492"/>
    <n v="63"/>
    <x v="0"/>
    <x v="8"/>
    <x v="3"/>
    <n v="47"/>
    <x v="17"/>
    <x v="2"/>
    <s v="Magenta"/>
    <x v="1"/>
    <n v="2.5"/>
    <x v="1"/>
    <x v="0"/>
    <x v="1"/>
    <x v="1"/>
    <n v="15"/>
    <x v="4"/>
    <x v="5"/>
  </r>
  <r>
    <n v="2493"/>
    <n v="50"/>
    <x v="0"/>
    <x v="12"/>
    <x v="3"/>
    <n v="96"/>
    <x v="45"/>
    <x v="1"/>
    <s v="Silver"/>
    <x v="2"/>
    <n v="4.0999999999999996"/>
    <x v="1"/>
    <x v="2"/>
    <x v="1"/>
    <x v="1"/>
    <n v="34"/>
    <x v="4"/>
    <x v="4"/>
  </r>
  <r>
    <n v="2494"/>
    <n v="21"/>
    <x v="0"/>
    <x v="20"/>
    <x v="0"/>
    <n v="23"/>
    <x v="1"/>
    <x v="1"/>
    <s v="Beige"/>
    <x v="3"/>
    <n v="4.8"/>
    <x v="1"/>
    <x v="4"/>
    <x v="1"/>
    <x v="1"/>
    <n v="6"/>
    <x v="0"/>
    <x v="6"/>
  </r>
  <r>
    <n v="2495"/>
    <n v="42"/>
    <x v="0"/>
    <x v="9"/>
    <x v="1"/>
    <n v="27"/>
    <x v="19"/>
    <x v="1"/>
    <s v="Peach"/>
    <x v="0"/>
    <n v="2.6"/>
    <x v="1"/>
    <x v="5"/>
    <x v="1"/>
    <x v="1"/>
    <n v="26"/>
    <x v="5"/>
    <x v="2"/>
  </r>
  <r>
    <n v="2496"/>
    <n v="40"/>
    <x v="0"/>
    <x v="21"/>
    <x v="3"/>
    <n v="37"/>
    <x v="43"/>
    <x v="3"/>
    <s v="Orange"/>
    <x v="1"/>
    <n v="3.1"/>
    <x v="1"/>
    <x v="1"/>
    <x v="1"/>
    <x v="1"/>
    <n v="34"/>
    <x v="2"/>
    <x v="6"/>
  </r>
  <r>
    <n v="2497"/>
    <n v="67"/>
    <x v="0"/>
    <x v="18"/>
    <x v="3"/>
    <n v="79"/>
    <x v="26"/>
    <x v="1"/>
    <s v="Yellow"/>
    <x v="2"/>
    <n v="3.2"/>
    <x v="1"/>
    <x v="5"/>
    <x v="1"/>
    <x v="1"/>
    <n v="37"/>
    <x v="2"/>
    <x v="1"/>
  </r>
  <r>
    <n v="2498"/>
    <n v="35"/>
    <x v="0"/>
    <x v="21"/>
    <x v="3"/>
    <n v="40"/>
    <x v="24"/>
    <x v="2"/>
    <s v="Violet"/>
    <x v="2"/>
    <n v="4.2"/>
    <x v="1"/>
    <x v="3"/>
    <x v="1"/>
    <x v="1"/>
    <n v="28"/>
    <x v="4"/>
    <x v="2"/>
  </r>
  <r>
    <n v="2499"/>
    <n v="18"/>
    <x v="0"/>
    <x v="7"/>
    <x v="2"/>
    <n v="39"/>
    <x v="2"/>
    <x v="1"/>
    <s v="Green"/>
    <x v="3"/>
    <n v="2.6"/>
    <x v="1"/>
    <x v="2"/>
    <x v="1"/>
    <x v="1"/>
    <n v="38"/>
    <x v="1"/>
    <x v="0"/>
  </r>
  <r>
    <n v="2500"/>
    <n v="52"/>
    <x v="0"/>
    <x v="15"/>
    <x v="0"/>
    <n v="73"/>
    <x v="7"/>
    <x v="0"/>
    <s v="Pink"/>
    <x v="2"/>
    <n v="3.1"/>
    <x v="1"/>
    <x v="2"/>
    <x v="1"/>
    <x v="1"/>
    <n v="2"/>
    <x v="1"/>
    <x v="3"/>
  </r>
  <r>
    <n v="2501"/>
    <n v="59"/>
    <x v="0"/>
    <x v="24"/>
    <x v="3"/>
    <n v="84"/>
    <x v="2"/>
    <x v="2"/>
    <s v="Violet"/>
    <x v="3"/>
    <n v="2.9"/>
    <x v="1"/>
    <x v="5"/>
    <x v="1"/>
    <x v="1"/>
    <n v="32"/>
    <x v="1"/>
    <x v="4"/>
  </r>
  <r>
    <n v="2502"/>
    <n v="49"/>
    <x v="0"/>
    <x v="6"/>
    <x v="0"/>
    <n v="94"/>
    <x v="8"/>
    <x v="2"/>
    <s v="Violet"/>
    <x v="3"/>
    <n v="4.5999999999999996"/>
    <x v="1"/>
    <x v="1"/>
    <x v="1"/>
    <x v="1"/>
    <n v="30"/>
    <x v="0"/>
    <x v="4"/>
  </r>
  <r>
    <n v="2503"/>
    <n v="46"/>
    <x v="0"/>
    <x v="11"/>
    <x v="0"/>
    <n v="47"/>
    <x v="37"/>
    <x v="0"/>
    <s v="Pink"/>
    <x v="1"/>
    <n v="4.0999999999999996"/>
    <x v="1"/>
    <x v="3"/>
    <x v="1"/>
    <x v="1"/>
    <n v="17"/>
    <x v="3"/>
    <x v="6"/>
  </r>
  <r>
    <n v="2504"/>
    <n v="69"/>
    <x v="0"/>
    <x v="23"/>
    <x v="1"/>
    <n v="77"/>
    <x v="31"/>
    <x v="2"/>
    <s v="Violet"/>
    <x v="2"/>
    <n v="2.5"/>
    <x v="1"/>
    <x v="5"/>
    <x v="1"/>
    <x v="1"/>
    <n v="5"/>
    <x v="5"/>
    <x v="4"/>
  </r>
  <r>
    <n v="2505"/>
    <n v="56"/>
    <x v="0"/>
    <x v="6"/>
    <x v="0"/>
    <n v="94"/>
    <x v="3"/>
    <x v="2"/>
    <s v="Turquoise"/>
    <x v="0"/>
    <n v="4"/>
    <x v="1"/>
    <x v="5"/>
    <x v="1"/>
    <x v="1"/>
    <n v="31"/>
    <x v="1"/>
    <x v="4"/>
  </r>
  <r>
    <n v="2506"/>
    <n v="27"/>
    <x v="0"/>
    <x v="8"/>
    <x v="3"/>
    <n v="75"/>
    <x v="26"/>
    <x v="2"/>
    <s v="Cyan"/>
    <x v="2"/>
    <n v="3.5"/>
    <x v="1"/>
    <x v="0"/>
    <x v="1"/>
    <x v="1"/>
    <n v="43"/>
    <x v="3"/>
    <x v="3"/>
  </r>
  <r>
    <n v="2507"/>
    <n v="57"/>
    <x v="0"/>
    <x v="10"/>
    <x v="0"/>
    <n v="82"/>
    <x v="14"/>
    <x v="3"/>
    <s v="Orange"/>
    <x v="1"/>
    <n v="4.4000000000000004"/>
    <x v="1"/>
    <x v="1"/>
    <x v="1"/>
    <x v="1"/>
    <n v="19"/>
    <x v="0"/>
    <x v="2"/>
  </r>
  <r>
    <n v="2508"/>
    <n v="58"/>
    <x v="0"/>
    <x v="9"/>
    <x v="1"/>
    <n v="36"/>
    <x v="7"/>
    <x v="2"/>
    <s v="Cyan"/>
    <x v="3"/>
    <n v="2.9"/>
    <x v="1"/>
    <x v="5"/>
    <x v="1"/>
    <x v="1"/>
    <n v="32"/>
    <x v="2"/>
    <x v="6"/>
  </r>
  <r>
    <n v="2509"/>
    <n v="23"/>
    <x v="0"/>
    <x v="4"/>
    <x v="1"/>
    <n v="90"/>
    <x v="18"/>
    <x v="3"/>
    <s v="Indigo"/>
    <x v="1"/>
    <n v="3.1"/>
    <x v="1"/>
    <x v="4"/>
    <x v="1"/>
    <x v="1"/>
    <n v="5"/>
    <x v="5"/>
    <x v="4"/>
  </r>
  <r>
    <n v="2510"/>
    <n v="19"/>
    <x v="0"/>
    <x v="20"/>
    <x v="0"/>
    <n v="48"/>
    <x v="47"/>
    <x v="2"/>
    <s v="Black"/>
    <x v="1"/>
    <n v="4.4000000000000004"/>
    <x v="1"/>
    <x v="1"/>
    <x v="1"/>
    <x v="1"/>
    <n v="9"/>
    <x v="4"/>
    <x v="3"/>
  </r>
  <r>
    <n v="2511"/>
    <n v="40"/>
    <x v="0"/>
    <x v="14"/>
    <x v="2"/>
    <n v="42"/>
    <x v="45"/>
    <x v="0"/>
    <s v="Purple"/>
    <x v="0"/>
    <n v="4.4000000000000004"/>
    <x v="1"/>
    <x v="3"/>
    <x v="1"/>
    <x v="1"/>
    <n v="48"/>
    <x v="2"/>
    <x v="1"/>
  </r>
  <r>
    <n v="2512"/>
    <n v="54"/>
    <x v="0"/>
    <x v="21"/>
    <x v="3"/>
    <n v="33"/>
    <x v="37"/>
    <x v="2"/>
    <s v="Cyan"/>
    <x v="2"/>
    <n v="2.7"/>
    <x v="1"/>
    <x v="5"/>
    <x v="1"/>
    <x v="1"/>
    <n v="1"/>
    <x v="3"/>
    <x v="3"/>
  </r>
  <r>
    <n v="2513"/>
    <n v="50"/>
    <x v="0"/>
    <x v="20"/>
    <x v="0"/>
    <n v="63"/>
    <x v="25"/>
    <x v="2"/>
    <s v="Green"/>
    <x v="2"/>
    <n v="4.9000000000000004"/>
    <x v="1"/>
    <x v="1"/>
    <x v="1"/>
    <x v="1"/>
    <n v="20"/>
    <x v="2"/>
    <x v="5"/>
  </r>
  <r>
    <n v="2514"/>
    <n v="69"/>
    <x v="0"/>
    <x v="8"/>
    <x v="3"/>
    <n v="53"/>
    <x v="47"/>
    <x v="0"/>
    <s v="Teal"/>
    <x v="0"/>
    <n v="3.5"/>
    <x v="1"/>
    <x v="4"/>
    <x v="1"/>
    <x v="1"/>
    <n v="42"/>
    <x v="1"/>
    <x v="2"/>
  </r>
  <r>
    <n v="2515"/>
    <n v="42"/>
    <x v="0"/>
    <x v="19"/>
    <x v="3"/>
    <n v="37"/>
    <x v="29"/>
    <x v="0"/>
    <s v="Teal"/>
    <x v="1"/>
    <n v="4.8"/>
    <x v="1"/>
    <x v="1"/>
    <x v="1"/>
    <x v="1"/>
    <n v="45"/>
    <x v="3"/>
    <x v="4"/>
  </r>
  <r>
    <n v="2516"/>
    <n v="37"/>
    <x v="0"/>
    <x v="0"/>
    <x v="0"/>
    <n v="92"/>
    <x v="23"/>
    <x v="2"/>
    <s v="Magenta"/>
    <x v="2"/>
    <n v="4.2"/>
    <x v="1"/>
    <x v="4"/>
    <x v="1"/>
    <x v="1"/>
    <n v="41"/>
    <x v="1"/>
    <x v="5"/>
  </r>
  <r>
    <n v="2517"/>
    <n v="46"/>
    <x v="0"/>
    <x v="6"/>
    <x v="0"/>
    <n v="73"/>
    <x v="40"/>
    <x v="3"/>
    <s v="Brown"/>
    <x v="1"/>
    <n v="4.5999999999999996"/>
    <x v="1"/>
    <x v="3"/>
    <x v="1"/>
    <x v="1"/>
    <n v="36"/>
    <x v="5"/>
    <x v="3"/>
  </r>
  <r>
    <n v="2518"/>
    <n v="64"/>
    <x v="0"/>
    <x v="5"/>
    <x v="0"/>
    <n v="38"/>
    <x v="5"/>
    <x v="0"/>
    <s v="Orange"/>
    <x v="1"/>
    <n v="2.9"/>
    <x v="1"/>
    <x v="3"/>
    <x v="1"/>
    <x v="1"/>
    <n v="10"/>
    <x v="0"/>
    <x v="2"/>
  </r>
  <r>
    <n v="2519"/>
    <n v="20"/>
    <x v="0"/>
    <x v="23"/>
    <x v="1"/>
    <n v="51"/>
    <x v="1"/>
    <x v="3"/>
    <s v="Blue"/>
    <x v="3"/>
    <n v="4"/>
    <x v="1"/>
    <x v="5"/>
    <x v="1"/>
    <x v="1"/>
    <n v="31"/>
    <x v="0"/>
    <x v="2"/>
  </r>
  <r>
    <n v="2520"/>
    <n v="40"/>
    <x v="0"/>
    <x v="14"/>
    <x v="2"/>
    <n v="90"/>
    <x v="49"/>
    <x v="0"/>
    <s v="Magenta"/>
    <x v="1"/>
    <n v="4.9000000000000004"/>
    <x v="1"/>
    <x v="3"/>
    <x v="1"/>
    <x v="1"/>
    <n v="21"/>
    <x v="2"/>
    <x v="3"/>
  </r>
  <r>
    <n v="2521"/>
    <n v="64"/>
    <x v="0"/>
    <x v="14"/>
    <x v="2"/>
    <n v="56"/>
    <x v="26"/>
    <x v="0"/>
    <s v="Magenta"/>
    <x v="2"/>
    <n v="3.1"/>
    <x v="1"/>
    <x v="2"/>
    <x v="1"/>
    <x v="1"/>
    <n v="16"/>
    <x v="1"/>
    <x v="6"/>
  </r>
  <r>
    <n v="2522"/>
    <n v="29"/>
    <x v="0"/>
    <x v="8"/>
    <x v="3"/>
    <n v="33"/>
    <x v="46"/>
    <x v="2"/>
    <s v="Magenta"/>
    <x v="3"/>
    <n v="4.4000000000000004"/>
    <x v="1"/>
    <x v="3"/>
    <x v="1"/>
    <x v="1"/>
    <n v="18"/>
    <x v="3"/>
    <x v="6"/>
  </r>
  <r>
    <n v="2523"/>
    <n v="20"/>
    <x v="0"/>
    <x v="22"/>
    <x v="3"/>
    <n v="53"/>
    <x v="2"/>
    <x v="1"/>
    <s v="Olive"/>
    <x v="0"/>
    <n v="2.5"/>
    <x v="1"/>
    <x v="4"/>
    <x v="1"/>
    <x v="1"/>
    <n v="20"/>
    <x v="5"/>
    <x v="1"/>
  </r>
  <r>
    <n v="2524"/>
    <n v="43"/>
    <x v="0"/>
    <x v="8"/>
    <x v="3"/>
    <n v="24"/>
    <x v="32"/>
    <x v="1"/>
    <s v="Cyan"/>
    <x v="1"/>
    <n v="3.4"/>
    <x v="1"/>
    <x v="0"/>
    <x v="1"/>
    <x v="1"/>
    <n v="21"/>
    <x v="4"/>
    <x v="2"/>
  </r>
  <r>
    <n v="2525"/>
    <n v="60"/>
    <x v="0"/>
    <x v="7"/>
    <x v="2"/>
    <n v="59"/>
    <x v="23"/>
    <x v="2"/>
    <s v="Purple"/>
    <x v="1"/>
    <n v="3.7"/>
    <x v="1"/>
    <x v="0"/>
    <x v="1"/>
    <x v="1"/>
    <n v="23"/>
    <x v="2"/>
    <x v="3"/>
  </r>
  <r>
    <n v="2526"/>
    <n v="39"/>
    <x v="0"/>
    <x v="1"/>
    <x v="0"/>
    <n v="72"/>
    <x v="0"/>
    <x v="2"/>
    <s v="Purple"/>
    <x v="0"/>
    <n v="4.2"/>
    <x v="1"/>
    <x v="3"/>
    <x v="1"/>
    <x v="1"/>
    <n v="20"/>
    <x v="3"/>
    <x v="1"/>
  </r>
  <r>
    <n v="2527"/>
    <n v="47"/>
    <x v="0"/>
    <x v="6"/>
    <x v="0"/>
    <n v="28"/>
    <x v="3"/>
    <x v="1"/>
    <s v="Peach"/>
    <x v="1"/>
    <n v="3.4"/>
    <x v="1"/>
    <x v="0"/>
    <x v="1"/>
    <x v="1"/>
    <n v="30"/>
    <x v="3"/>
    <x v="4"/>
  </r>
  <r>
    <n v="2528"/>
    <n v="19"/>
    <x v="0"/>
    <x v="13"/>
    <x v="0"/>
    <n v="36"/>
    <x v="26"/>
    <x v="2"/>
    <s v="Gold"/>
    <x v="3"/>
    <n v="3.6"/>
    <x v="1"/>
    <x v="0"/>
    <x v="1"/>
    <x v="1"/>
    <n v="33"/>
    <x v="4"/>
    <x v="6"/>
  </r>
  <r>
    <n v="2529"/>
    <n v="52"/>
    <x v="0"/>
    <x v="16"/>
    <x v="3"/>
    <n v="47"/>
    <x v="15"/>
    <x v="1"/>
    <s v="Peach"/>
    <x v="3"/>
    <n v="4.7"/>
    <x v="1"/>
    <x v="4"/>
    <x v="1"/>
    <x v="1"/>
    <n v="31"/>
    <x v="5"/>
    <x v="5"/>
  </r>
  <r>
    <n v="2530"/>
    <n v="34"/>
    <x v="0"/>
    <x v="24"/>
    <x v="3"/>
    <n v="62"/>
    <x v="30"/>
    <x v="2"/>
    <s v="Magenta"/>
    <x v="1"/>
    <n v="4.7"/>
    <x v="1"/>
    <x v="2"/>
    <x v="1"/>
    <x v="1"/>
    <n v="48"/>
    <x v="4"/>
    <x v="5"/>
  </r>
  <r>
    <n v="2531"/>
    <n v="25"/>
    <x v="0"/>
    <x v="11"/>
    <x v="0"/>
    <n v="98"/>
    <x v="2"/>
    <x v="1"/>
    <s v="Cyan"/>
    <x v="1"/>
    <n v="3.6"/>
    <x v="1"/>
    <x v="1"/>
    <x v="1"/>
    <x v="1"/>
    <n v="28"/>
    <x v="5"/>
    <x v="1"/>
  </r>
  <r>
    <n v="2532"/>
    <n v="43"/>
    <x v="0"/>
    <x v="3"/>
    <x v="1"/>
    <n v="28"/>
    <x v="21"/>
    <x v="2"/>
    <s v="Violet"/>
    <x v="2"/>
    <n v="4.5999999999999996"/>
    <x v="1"/>
    <x v="1"/>
    <x v="1"/>
    <x v="1"/>
    <n v="7"/>
    <x v="1"/>
    <x v="6"/>
  </r>
  <r>
    <n v="2533"/>
    <n v="55"/>
    <x v="0"/>
    <x v="20"/>
    <x v="0"/>
    <n v="86"/>
    <x v="43"/>
    <x v="1"/>
    <s v="Charcoal"/>
    <x v="2"/>
    <n v="2.6"/>
    <x v="1"/>
    <x v="2"/>
    <x v="1"/>
    <x v="1"/>
    <n v="4"/>
    <x v="5"/>
    <x v="1"/>
  </r>
  <r>
    <n v="2534"/>
    <n v="66"/>
    <x v="0"/>
    <x v="16"/>
    <x v="3"/>
    <n v="46"/>
    <x v="38"/>
    <x v="1"/>
    <s v="Blue"/>
    <x v="2"/>
    <n v="3.1"/>
    <x v="1"/>
    <x v="3"/>
    <x v="1"/>
    <x v="1"/>
    <n v="49"/>
    <x v="1"/>
    <x v="4"/>
  </r>
  <r>
    <n v="2535"/>
    <n v="41"/>
    <x v="0"/>
    <x v="12"/>
    <x v="3"/>
    <n v="42"/>
    <x v="41"/>
    <x v="3"/>
    <s v="Red"/>
    <x v="3"/>
    <n v="3.2"/>
    <x v="1"/>
    <x v="1"/>
    <x v="1"/>
    <x v="1"/>
    <n v="22"/>
    <x v="1"/>
    <x v="1"/>
  </r>
  <r>
    <n v="2536"/>
    <n v="47"/>
    <x v="0"/>
    <x v="7"/>
    <x v="2"/>
    <n v="80"/>
    <x v="34"/>
    <x v="1"/>
    <s v="Purple"/>
    <x v="0"/>
    <n v="3.9"/>
    <x v="1"/>
    <x v="0"/>
    <x v="1"/>
    <x v="1"/>
    <n v="39"/>
    <x v="4"/>
    <x v="0"/>
  </r>
  <r>
    <n v="2537"/>
    <n v="51"/>
    <x v="0"/>
    <x v="22"/>
    <x v="3"/>
    <n v="39"/>
    <x v="19"/>
    <x v="0"/>
    <s v="Gray"/>
    <x v="1"/>
    <n v="4.9000000000000004"/>
    <x v="1"/>
    <x v="0"/>
    <x v="1"/>
    <x v="1"/>
    <n v="45"/>
    <x v="3"/>
    <x v="6"/>
  </r>
  <r>
    <n v="2538"/>
    <n v="44"/>
    <x v="0"/>
    <x v="7"/>
    <x v="2"/>
    <n v="49"/>
    <x v="1"/>
    <x v="2"/>
    <s v="Purple"/>
    <x v="2"/>
    <n v="4.0999999999999996"/>
    <x v="1"/>
    <x v="4"/>
    <x v="1"/>
    <x v="1"/>
    <n v="30"/>
    <x v="3"/>
    <x v="0"/>
  </r>
  <r>
    <n v="2539"/>
    <n v="18"/>
    <x v="0"/>
    <x v="18"/>
    <x v="3"/>
    <n v="32"/>
    <x v="32"/>
    <x v="2"/>
    <s v="Silver"/>
    <x v="2"/>
    <n v="4.2"/>
    <x v="1"/>
    <x v="2"/>
    <x v="1"/>
    <x v="1"/>
    <n v="33"/>
    <x v="2"/>
    <x v="4"/>
  </r>
  <r>
    <n v="2540"/>
    <n v="33"/>
    <x v="0"/>
    <x v="3"/>
    <x v="1"/>
    <n v="73"/>
    <x v="2"/>
    <x v="2"/>
    <s v="Purple"/>
    <x v="3"/>
    <n v="4.0999999999999996"/>
    <x v="1"/>
    <x v="2"/>
    <x v="1"/>
    <x v="1"/>
    <n v="24"/>
    <x v="1"/>
    <x v="4"/>
  </r>
  <r>
    <n v="2541"/>
    <n v="24"/>
    <x v="0"/>
    <x v="22"/>
    <x v="3"/>
    <n v="42"/>
    <x v="32"/>
    <x v="2"/>
    <s v="Charcoal"/>
    <x v="2"/>
    <n v="3.9"/>
    <x v="1"/>
    <x v="1"/>
    <x v="1"/>
    <x v="1"/>
    <n v="11"/>
    <x v="5"/>
    <x v="3"/>
  </r>
  <r>
    <n v="2542"/>
    <n v="33"/>
    <x v="0"/>
    <x v="18"/>
    <x v="3"/>
    <n v="58"/>
    <x v="47"/>
    <x v="2"/>
    <s v="Silver"/>
    <x v="1"/>
    <n v="2.7"/>
    <x v="1"/>
    <x v="2"/>
    <x v="1"/>
    <x v="1"/>
    <n v="13"/>
    <x v="0"/>
    <x v="6"/>
  </r>
  <r>
    <n v="2543"/>
    <n v="61"/>
    <x v="0"/>
    <x v="16"/>
    <x v="3"/>
    <n v="22"/>
    <x v="10"/>
    <x v="2"/>
    <s v="White"/>
    <x v="0"/>
    <n v="3.7"/>
    <x v="1"/>
    <x v="0"/>
    <x v="1"/>
    <x v="1"/>
    <n v="27"/>
    <x v="3"/>
    <x v="2"/>
  </r>
  <r>
    <n v="2544"/>
    <n v="27"/>
    <x v="0"/>
    <x v="18"/>
    <x v="3"/>
    <n v="56"/>
    <x v="8"/>
    <x v="0"/>
    <s v="Peach"/>
    <x v="1"/>
    <n v="2.7"/>
    <x v="1"/>
    <x v="2"/>
    <x v="1"/>
    <x v="1"/>
    <n v="30"/>
    <x v="3"/>
    <x v="4"/>
  </r>
  <r>
    <n v="2545"/>
    <n v="46"/>
    <x v="0"/>
    <x v="13"/>
    <x v="0"/>
    <n v="70"/>
    <x v="12"/>
    <x v="2"/>
    <s v="Red"/>
    <x v="1"/>
    <n v="2.5"/>
    <x v="1"/>
    <x v="2"/>
    <x v="1"/>
    <x v="1"/>
    <n v="39"/>
    <x v="0"/>
    <x v="3"/>
  </r>
  <r>
    <n v="2546"/>
    <n v="38"/>
    <x v="0"/>
    <x v="9"/>
    <x v="1"/>
    <n v="50"/>
    <x v="21"/>
    <x v="0"/>
    <s v="Olive"/>
    <x v="1"/>
    <n v="3.9"/>
    <x v="1"/>
    <x v="1"/>
    <x v="1"/>
    <x v="1"/>
    <n v="10"/>
    <x v="5"/>
    <x v="2"/>
  </r>
  <r>
    <n v="2547"/>
    <n v="63"/>
    <x v="0"/>
    <x v="23"/>
    <x v="1"/>
    <n v="21"/>
    <x v="21"/>
    <x v="0"/>
    <s v="Gray"/>
    <x v="2"/>
    <n v="3"/>
    <x v="1"/>
    <x v="0"/>
    <x v="1"/>
    <x v="1"/>
    <n v="4"/>
    <x v="2"/>
    <x v="3"/>
  </r>
  <r>
    <n v="2548"/>
    <n v="47"/>
    <x v="0"/>
    <x v="14"/>
    <x v="2"/>
    <n v="97"/>
    <x v="16"/>
    <x v="2"/>
    <s v="Beige"/>
    <x v="2"/>
    <n v="3.2"/>
    <x v="1"/>
    <x v="4"/>
    <x v="1"/>
    <x v="1"/>
    <n v="16"/>
    <x v="1"/>
    <x v="1"/>
  </r>
  <r>
    <n v="2549"/>
    <n v="42"/>
    <x v="0"/>
    <x v="21"/>
    <x v="3"/>
    <n v="63"/>
    <x v="21"/>
    <x v="0"/>
    <s v="Pink"/>
    <x v="0"/>
    <n v="3.8"/>
    <x v="1"/>
    <x v="3"/>
    <x v="1"/>
    <x v="1"/>
    <n v="34"/>
    <x v="2"/>
    <x v="5"/>
  </r>
  <r>
    <n v="2550"/>
    <n v="41"/>
    <x v="0"/>
    <x v="14"/>
    <x v="2"/>
    <n v="60"/>
    <x v="41"/>
    <x v="2"/>
    <s v="Red"/>
    <x v="3"/>
    <n v="2.7"/>
    <x v="1"/>
    <x v="3"/>
    <x v="1"/>
    <x v="1"/>
    <n v="11"/>
    <x v="5"/>
    <x v="6"/>
  </r>
  <r>
    <n v="2551"/>
    <n v="53"/>
    <x v="0"/>
    <x v="23"/>
    <x v="1"/>
    <n v="52"/>
    <x v="13"/>
    <x v="3"/>
    <s v="Peach"/>
    <x v="3"/>
    <n v="3"/>
    <x v="1"/>
    <x v="5"/>
    <x v="1"/>
    <x v="1"/>
    <n v="30"/>
    <x v="5"/>
    <x v="0"/>
  </r>
  <r>
    <n v="2552"/>
    <n v="29"/>
    <x v="0"/>
    <x v="9"/>
    <x v="1"/>
    <n v="32"/>
    <x v="46"/>
    <x v="2"/>
    <s v="Maroon"/>
    <x v="0"/>
    <n v="4.0999999999999996"/>
    <x v="1"/>
    <x v="2"/>
    <x v="1"/>
    <x v="1"/>
    <n v="40"/>
    <x v="5"/>
    <x v="2"/>
  </r>
  <r>
    <n v="2553"/>
    <n v="61"/>
    <x v="0"/>
    <x v="22"/>
    <x v="3"/>
    <n v="48"/>
    <x v="33"/>
    <x v="3"/>
    <s v="Purple"/>
    <x v="1"/>
    <n v="3.2"/>
    <x v="1"/>
    <x v="4"/>
    <x v="1"/>
    <x v="1"/>
    <n v="13"/>
    <x v="2"/>
    <x v="2"/>
  </r>
  <r>
    <n v="2554"/>
    <n v="69"/>
    <x v="0"/>
    <x v="16"/>
    <x v="3"/>
    <n v="25"/>
    <x v="34"/>
    <x v="2"/>
    <s v="Maroon"/>
    <x v="2"/>
    <n v="4.5"/>
    <x v="1"/>
    <x v="5"/>
    <x v="1"/>
    <x v="1"/>
    <n v="28"/>
    <x v="0"/>
    <x v="6"/>
  </r>
  <r>
    <n v="2555"/>
    <n v="51"/>
    <x v="0"/>
    <x v="16"/>
    <x v="3"/>
    <n v="68"/>
    <x v="23"/>
    <x v="2"/>
    <s v="Gray"/>
    <x v="2"/>
    <n v="4.3"/>
    <x v="1"/>
    <x v="5"/>
    <x v="1"/>
    <x v="1"/>
    <n v="49"/>
    <x v="5"/>
    <x v="4"/>
  </r>
  <r>
    <n v="2556"/>
    <n v="24"/>
    <x v="0"/>
    <x v="13"/>
    <x v="0"/>
    <n v="74"/>
    <x v="37"/>
    <x v="2"/>
    <s v="Gray"/>
    <x v="3"/>
    <n v="3.5"/>
    <x v="1"/>
    <x v="3"/>
    <x v="1"/>
    <x v="1"/>
    <n v="23"/>
    <x v="2"/>
    <x v="1"/>
  </r>
  <r>
    <n v="2557"/>
    <n v="24"/>
    <x v="0"/>
    <x v="17"/>
    <x v="0"/>
    <n v="88"/>
    <x v="6"/>
    <x v="3"/>
    <s v="Magenta"/>
    <x v="3"/>
    <n v="3.1"/>
    <x v="1"/>
    <x v="3"/>
    <x v="1"/>
    <x v="1"/>
    <n v="4"/>
    <x v="4"/>
    <x v="3"/>
  </r>
  <r>
    <n v="2558"/>
    <n v="70"/>
    <x v="0"/>
    <x v="6"/>
    <x v="0"/>
    <n v="23"/>
    <x v="19"/>
    <x v="0"/>
    <s v="Cyan"/>
    <x v="1"/>
    <n v="3.9"/>
    <x v="1"/>
    <x v="3"/>
    <x v="1"/>
    <x v="1"/>
    <n v="17"/>
    <x v="3"/>
    <x v="0"/>
  </r>
  <r>
    <n v="2559"/>
    <n v="49"/>
    <x v="0"/>
    <x v="15"/>
    <x v="0"/>
    <n v="32"/>
    <x v="18"/>
    <x v="2"/>
    <s v="Silver"/>
    <x v="3"/>
    <n v="2.7"/>
    <x v="1"/>
    <x v="0"/>
    <x v="1"/>
    <x v="1"/>
    <n v="24"/>
    <x v="3"/>
    <x v="0"/>
  </r>
  <r>
    <n v="2560"/>
    <n v="48"/>
    <x v="0"/>
    <x v="22"/>
    <x v="3"/>
    <n v="71"/>
    <x v="16"/>
    <x v="1"/>
    <s v="Green"/>
    <x v="0"/>
    <n v="4"/>
    <x v="1"/>
    <x v="1"/>
    <x v="1"/>
    <x v="1"/>
    <n v="21"/>
    <x v="5"/>
    <x v="6"/>
  </r>
  <r>
    <n v="2561"/>
    <n v="58"/>
    <x v="0"/>
    <x v="23"/>
    <x v="1"/>
    <n v="62"/>
    <x v="18"/>
    <x v="2"/>
    <s v="Violet"/>
    <x v="1"/>
    <n v="2.7"/>
    <x v="1"/>
    <x v="2"/>
    <x v="1"/>
    <x v="1"/>
    <n v="17"/>
    <x v="5"/>
    <x v="4"/>
  </r>
  <r>
    <n v="2562"/>
    <n v="32"/>
    <x v="0"/>
    <x v="15"/>
    <x v="0"/>
    <n v="20"/>
    <x v="14"/>
    <x v="0"/>
    <s v="Magenta"/>
    <x v="1"/>
    <n v="2.7"/>
    <x v="1"/>
    <x v="1"/>
    <x v="1"/>
    <x v="1"/>
    <n v="22"/>
    <x v="5"/>
    <x v="3"/>
  </r>
  <r>
    <n v="2563"/>
    <n v="57"/>
    <x v="0"/>
    <x v="6"/>
    <x v="0"/>
    <n v="62"/>
    <x v="28"/>
    <x v="3"/>
    <s v="Yellow"/>
    <x v="1"/>
    <n v="4.7"/>
    <x v="1"/>
    <x v="3"/>
    <x v="1"/>
    <x v="1"/>
    <n v="27"/>
    <x v="1"/>
    <x v="0"/>
  </r>
  <r>
    <n v="2564"/>
    <n v="69"/>
    <x v="0"/>
    <x v="21"/>
    <x v="3"/>
    <n v="81"/>
    <x v="2"/>
    <x v="3"/>
    <s v="Gray"/>
    <x v="0"/>
    <n v="4.5"/>
    <x v="1"/>
    <x v="3"/>
    <x v="1"/>
    <x v="1"/>
    <n v="1"/>
    <x v="0"/>
    <x v="6"/>
  </r>
  <r>
    <n v="2565"/>
    <n v="42"/>
    <x v="0"/>
    <x v="18"/>
    <x v="3"/>
    <n v="90"/>
    <x v="0"/>
    <x v="0"/>
    <s v="Indigo"/>
    <x v="0"/>
    <n v="3"/>
    <x v="1"/>
    <x v="4"/>
    <x v="1"/>
    <x v="1"/>
    <n v="27"/>
    <x v="4"/>
    <x v="1"/>
  </r>
  <r>
    <n v="2566"/>
    <n v="30"/>
    <x v="0"/>
    <x v="20"/>
    <x v="0"/>
    <n v="43"/>
    <x v="34"/>
    <x v="1"/>
    <s v="Indigo"/>
    <x v="3"/>
    <n v="3.6"/>
    <x v="1"/>
    <x v="5"/>
    <x v="1"/>
    <x v="1"/>
    <n v="8"/>
    <x v="0"/>
    <x v="3"/>
  </r>
  <r>
    <n v="2567"/>
    <n v="35"/>
    <x v="0"/>
    <x v="8"/>
    <x v="3"/>
    <n v="38"/>
    <x v="9"/>
    <x v="1"/>
    <s v="Yellow"/>
    <x v="3"/>
    <n v="3.3"/>
    <x v="1"/>
    <x v="3"/>
    <x v="1"/>
    <x v="1"/>
    <n v="43"/>
    <x v="3"/>
    <x v="3"/>
  </r>
  <r>
    <n v="2568"/>
    <n v="19"/>
    <x v="0"/>
    <x v="12"/>
    <x v="3"/>
    <n v="25"/>
    <x v="49"/>
    <x v="3"/>
    <s v="Gold"/>
    <x v="1"/>
    <n v="4.3"/>
    <x v="1"/>
    <x v="5"/>
    <x v="1"/>
    <x v="1"/>
    <n v="24"/>
    <x v="1"/>
    <x v="0"/>
  </r>
  <r>
    <n v="2569"/>
    <n v="52"/>
    <x v="0"/>
    <x v="17"/>
    <x v="0"/>
    <n v="98"/>
    <x v="21"/>
    <x v="3"/>
    <s v="Green"/>
    <x v="0"/>
    <n v="4.3"/>
    <x v="1"/>
    <x v="0"/>
    <x v="1"/>
    <x v="1"/>
    <n v="29"/>
    <x v="3"/>
    <x v="0"/>
  </r>
  <r>
    <n v="2570"/>
    <n v="42"/>
    <x v="0"/>
    <x v="10"/>
    <x v="0"/>
    <n v="75"/>
    <x v="14"/>
    <x v="2"/>
    <s v="Charcoal"/>
    <x v="1"/>
    <n v="4.8"/>
    <x v="1"/>
    <x v="1"/>
    <x v="1"/>
    <x v="1"/>
    <n v="10"/>
    <x v="4"/>
    <x v="4"/>
  </r>
  <r>
    <n v="2571"/>
    <n v="36"/>
    <x v="0"/>
    <x v="4"/>
    <x v="1"/>
    <n v="27"/>
    <x v="35"/>
    <x v="3"/>
    <s v="Olive"/>
    <x v="1"/>
    <n v="4"/>
    <x v="1"/>
    <x v="5"/>
    <x v="1"/>
    <x v="1"/>
    <n v="12"/>
    <x v="3"/>
    <x v="0"/>
  </r>
  <r>
    <n v="2572"/>
    <n v="45"/>
    <x v="0"/>
    <x v="12"/>
    <x v="3"/>
    <n v="27"/>
    <x v="16"/>
    <x v="0"/>
    <s v="Black"/>
    <x v="0"/>
    <n v="3.5"/>
    <x v="1"/>
    <x v="3"/>
    <x v="1"/>
    <x v="1"/>
    <n v="48"/>
    <x v="1"/>
    <x v="0"/>
  </r>
  <r>
    <n v="2573"/>
    <n v="54"/>
    <x v="0"/>
    <x v="0"/>
    <x v="0"/>
    <n v="42"/>
    <x v="47"/>
    <x v="2"/>
    <s v="Silver"/>
    <x v="3"/>
    <n v="3.9"/>
    <x v="1"/>
    <x v="2"/>
    <x v="1"/>
    <x v="1"/>
    <n v="40"/>
    <x v="4"/>
    <x v="3"/>
  </r>
  <r>
    <n v="2574"/>
    <n v="54"/>
    <x v="0"/>
    <x v="17"/>
    <x v="0"/>
    <n v="90"/>
    <x v="35"/>
    <x v="2"/>
    <s v="Red"/>
    <x v="2"/>
    <n v="4.4000000000000004"/>
    <x v="1"/>
    <x v="5"/>
    <x v="1"/>
    <x v="1"/>
    <n v="1"/>
    <x v="4"/>
    <x v="2"/>
  </r>
  <r>
    <n v="2575"/>
    <n v="27"/>
    <x v="0"/>
    <x v="19"/>
    <x v="3"/>
    <n v="63"/>
    <x v="20"/>
    <x v="2"/>
    <s v="Brown"/>
    <x v="2"/>
    <n v="4.5999999999999996"/>
    <x v="1"/>
    <x v="4"/>
    <x v="1"/>
    <x v="1"/>
    <n v="26"/>
    <x v="2"/>
    <x v="0"/>
  </r>
  <r>
    <n v="2576"/>
    <n v="53"/>
    <x v="0"/>
    <x v="6"/>
    <x v="0"/>
    <n v="96"/>
    <x v="46"/>
    <x v="2"/>
    <s v="Silver"/>
    <x v="3"/>
    <n v="4"/>
    <x v="1"/>
    <x v="0"/>
    <x v="1"/>
    <x v="1"/>
    <n v="9"/>
    <x v="3"/>
    <x v="2"/>
  </r>
  <r>
    <n v="2577"/>
    <n v="20"/>
    <x v="0"/>
    <x v="15"/>
    <x v="0"/>
    <n v="40"/>
    <x v="13"/>
    <x v="2"/>
    <s v="Silver"/>
    <x v="0"/>
    <n v="4.2"/>
    <x v="1"/>
    <x v="1"/>
    <x v="1"/>
    <x v="1"/>
    <n v="19"/>
    <x v="5"/>
    <x v="3"/>
  </r>
  <r>
    <n v="2578"/>
    <n v="52"/>
    <x v="0"/>
    <x v="20"/>
    <x v="0"/>
    <n v="39"/>
    <x v="46"/>
    <x v="0"/>
    <s v="Black"/>
    <x v="3"/>
    <n v="4.5"/>
    <x v="1"/>
    <x v="2"/>
    <x v="1"/>
    <x v="1"/>
    <n v="37"/>
    <x v="4"/>
    <x v="5"/>
  </r>
  <r>
    <n v="2579"/>
    <n v="54"/>
    <x v="0"/>
    <x v="12"/>
    <x v="3"/>
    <n v="48"/>
    <x v="34"/>
    <x v="2"/>
    <s v="Purple"/>
    <x v="3"/>
    <n v="3.9"/>
    <x v="1"/>
    <x v="1"/>
    <x v="1"/>
    <x v="1"/>
    <n v="3"/>
    <x v="1"/>
    <x v="3"/>
  </r>
  <r>
    <n v="2580"/>
    <n v="65"/>
    <x v="0"/>
    <x v="0"/>
    <x v="0"/>
    <n v="20"/>
    <x v="46"/>
    <x v="2"/>
    <s v="Purple"/>
    <x v="2"/>
    <n v="3.7"/>
    <x v="1"/>
    <x v="0"/>
    <x v="1"/>
    <x v="1"/>
    <n v="40"/>
    <x v="0"/>
    <x v="1"/>
  </r>
  <r>
    <n v="2581"/>
    <n v="43"/>
    <x v="0"/>
    <x v="2"/>
    <x v="0"/>
    <n v="29"/>
    <x v="2"/>
    <x v="1"/>
    <s v="Turquoise"/>
    <x v="2"/>
    <n v="3.6"/>
    <x v="1"/>
    <x v="5"/>
    <x v="1"/>
    <x v="1"/>
    <n v="13"/>
    <x v="4"/>
    <x v="3"/>
  </r>
  <r>
    <n v="2582"/>
    <n v="57"/>
    <x v="0"/>
    <x v="10"/>
    <x v="0"/>
    <n v="81"/>
    <x v="5"/>
    <x v="2"/>
    <s v="Gold"/>
    <x v="0"/>
    <n v="4.7"/>
    <x v="1"/>
    <x v="0"/>
    <x v="1"/>
    <x v="1"/>
    <n v="48"/>
    <x v="2"/>
    <x v="5"/>
  </r>
  <r>
    <n v="2583"/>
    <n v="19"/>
    <x v="0"/>
    <x v="10"/>
    <x v="0"/>
    <n v="98"/>
    <x v="45"/>
    <x v="1"/>
    <s v="Indigo"/>
    <x v="3"/>
    <n v="3.6"/>
    <x v="1"/>
    <x v="4"/>
    <x v="1"/>
    <x v="1"/>
    <n v="4"/>
    <x v="0"/>
    <x v="6"/>
  </r>
  <r>
    <n v="2584"/>
    <n v="69"/>
    <x v="0"/>
    <x v="2"/>
    <x v="0"/>
    <n v="93"/>
    <x v="19"/>
    <x v="2"/>
    <s v="Lavender"/>
    <x v="3"/>
    <n v="2.5"/>
    <x v="1"/>
    <x v="2"/>
    <x v="1"/>
    <x v="1"/>
    <n v="9"/>
    <x v="1"/>
    <x v="1"/>
  </r>
  <r>
    <n v="2585"/>
    <n v="26"/>
    <x v="0"/>
    <x v="20"/>
    <x v="0"/>
    <n v="30"/>
    <x v="20"/>
    <x v="0"/>
    <s v="Blue"/>
    <x v="2"/>
    <n v="2.9"/>
    <x v="1"/>
    <x v="5"/>
    <x v="1"/>
    <x v="1"/>
    <n v="26"/>
    <x v="4"/>
    <x v="4"/>
  </r>
  <r>
    <n v="2586"/>
    <n v="57"/>
    <x v="0"/>
    <x v="12"/>
    <x v="3"/>
    <n v="37"/>
    <x v="48"/>
    <x v="0"/>
    <s v="Maroon"/>
    <x v="3"/>
    <n v="4.4000000000000004"/>
    <x v="1"/>
    <x v="1"/>
    <x v="1"/>
    <x v="1"/>
    <n v="19"/>
    <x v="5"/>
    <x v="1"/>
  </r>
  <r>
    <n v="2587"/>
    <n v="20"/>
    <x v="0"/>
    <x v="7"/>
    <x v="2"/>
    <n v="28"/>
    <x v="1"/>
    <x v="0"/>
    <s v="Yellow"/>
    <x v="0"/>
    <n v="4.5999999999999996"/>
    <x v="1"/>
    <x v="0"/>
    <x v="1"/>
    <x v="1"/>
    <n v="1"/>
    <x v="2"/>
    <x v="6"/>
  </r>
  <r>
    <n v="2588"/>
    <n v="55"/>
    <x v="0"/>
    <x v="18"/>
    <x v="3"/>
    <n v="29"/>
    <x v="39"/>
    <x v="2"/>
    <s v="Purple"/>
    <x v="0"/>
    <n v="3.7"/>
    <x v="1"/>
    <x v="0"/>
    <x v="1"/>
    <x v="1"/>
    <n v="29"/>
    <x v="3"/>
    <x v="6"/>
  </r>
  <r>
    <n v="2589"/>
    <n v="44"/>
    <x v="0"/>
    <x v="21"/>
    <x v="3"/>
    <n v="49"/>
    <x v="12"/>
    <x v="2"/>
    <s v="Peach"/>
    <x v="2"/>
    <n v="3.2"/>
    <x v="1"/>
    <x v="1"/>
    <x v="1"/>
    <x v="1"/>
    <n v="38"/>
    <x v="0"/>
    <x v="4"/>
  </r>
  <r>
    <n v="2590"/>
    <n v="52"/>
    <x v="0"/>
    <x v="13"/>
    <x v="0"/>
    <n v="53"/>
    <x v="25"/>
    <x v="2"/>
    <s v="Silver"/>
    <x v="0"/>
    <n v="4.9000000000000004"/>
    <x v="1"/>
    <x v="4"/>
    <x v="1"/>
    <x v="1"/>
    <n v="31"/>
    <x v="3"/>
    <x v="2"/>
  </r>
  <r>
    <n v="2591"/>
    <n v="57"/>
    <x v="0"/>
    <x v="24"/>
    <x v="3"/>
    <n v="66"/>
    <x v="18"/>
    <x v="2"/>
    <s v="Turquoise"/>
    <x v="2"/>
    <n v="5"/>
    <x v="1"/>
    <x v="1"/>
    <x v="1"/>
    <x v="1"/>
    <n v="35"/>
    <x v="0"/>
    <x v="2"/>
  </r>
  <r>
    <n v="2592"/>
    <n v="40"/>
    <x v="0"/>
    <x v="14"/>
    <x v="2"/>
    <n v="61"/>
    <x v="35"/>
    <x v="1"/>
    <s v="Olive"/>
    <x v="1"/>
    <n v="3.3"/>
    <x v="1"/>
    <x v="0"/>
    <x v="1"/>
    <x v="1"/>
    <n v="40"/>
    <x v="1"/>
    <x v="3"/>
  </r>
  <r>
    <n v="2593"/>
    <n v="23"/>
    <x v="0"/>
    <x v="6"/>
    <x v="0"/>
    <n v="23"/>
    <x v="44"/>
    <x v="3"/>
    <s v="Peach"/>
    <x v="2"/>
    <n v="4.4000000000000004"/>
    <x v="1"/>
    <x v="5"/>
    <x v="1"/>
    <x v="1"/>
    <n v="13"/>
    <x v="0"/>
    <x v="3"/>
  </r>
  <r>
    <n v="2594"/>
    <n v="36"/>
    <x v="0"/>
    <x v="13"/>
    <x v="0"/>
    <n v="36"/>
    <x v="24"/>
    <x v="1"/>
    <s v="Indigo"/>
    <x v="3"/>
    <n v="4.7"/>
    <x v="1"/>
    <x v="5"/>
    <x v="1"/>
    <x v="1"/>
    <n v="9"/>
    <x v="4"/>
    <x v="6"/>
  </r>
  <r>
    <n v="2595"/>
    <n v="59"/>
    <x v="0"/>
    <x v="11"/>
    <x v="0"/>
    <n v="81"/>
    <x v="6"/>
    <x v="0"/>
    <s v="Indigo"/>
    <x v="3"/>
    <n v="3.6"/>
    <x v="1"/>
    <x v="1"/>
    <x v="1"/>
    <x v="1"/>
    <n v="25"/>
    <x v="1"/>
    <x v="6"/>
  </r>
  <r>
    <n v="2596"/>
    <n v="29"/>
    <x v="0"/>
    <x v="0"/>
    <x v="0"/>
    <n v="56"/>
    <x v="44"/>
    <x v="3"/>
    <s v="Maroon"/>
    <x v="2"/>
    <n v="3.2"/>
    <x v="1"/>
    <x v="1"/>
    <x v="1"/>
    <x v="1"/>
    <n v="3"/>
    <x v="4"/>
    <x v="4"/>
  </r>
  <r>
    <n v="2597"/>
    <n v="63"/>
    <x v="0"/>
    <x v="5"/>
    <x v="0"/>
    <n v="78"/>
    <x v="7"/>
    <x v="0"/>
    <s v="Black"/>
    <x v="1"/>
    <n v="3"/>
    <x v="1"/>
    <x v="2"/>
    <x v="1"/>
    <x v="1"/>
    <n v="35"/>
    <x v="2"/>
    <x v="5"/>
  </r>
  <r>
    <n v="2598"/>
    <n v="60"/>
    <x v="0"/>
    <x v="16"/>
    <x v="3"/>
    <n v="25"/>
    <x v="15"/>
    <x v="3"/>
    <s v="Teal"/>
    <x v="2"/>
    <n v="4.4000000000000004"/>
    <x v="1"/>
    <x v="5"/>
    <x v="1"/>
    <x v="1"/>
    <n v="13"/>
    <x v="0"/>
    <x v="4"/>
  </r>
  <r>
    <n v="2599"/>
    <n v="64"/>
    <x v="0"/>
    <x v="21"/>
    <x v="3"/>
    <n v="86"/>
    <x v="22"/>
    <x v="3"/>
    <s v="Olive"/>
    <x v="3"/>
    <n v="3.3"/>
    <x v="1"/>
    <x v="0"/>
    <x v="1"/>
    <x v="1"/>
    <n v="31"/>
    <x v="5"/>
    <x v="2"/>
  </r>
  <r>
    <n v="2600"/>
    <n v="63"/>
    <x v="0"/>
    <x v="16"/>
    <x v="3"/>
    <n v="99"/>
    <x v="34"/>
    <x v="2"/>
    <s v="Gold"/>
    <x v="0"/>
    <n v="3.4"/>
    <x v="1"/>
    <x v="0"/>
    <x v="1"/>
    <x v="1"/>
    <n v="48"/>
    <x v="2"/>
    <x v="5"/>
  </r>
  <r>
    <n v="2601"/>
    <n v="21"/>
    <x v="0"/>
    <x v="22"/>
    <x v="3"/>
    <n v="83"/>
    <x v="14"/>
    <x v="2"/>
    <s v="Gray"/>
    <x v="3"/>
    <n v="3.9"/>
    <x v="1"/>
    <x v="0"/>
    <x v="1"/>
    <x v="1"/>
    <n v="6"/>
    <x v="4"/>
    <x v="4"/>
  </r>
  <r>
    <n v="2602"/>
    <n v="61"/>
    <x v="0"/>
    <x v="10"/>
    <x v="0"/>
    <n v="33"/>
    <x v="16"/>
    <x v="0"/>
    <s v="Orange"/>
    <x v="0"/>
    <n v="2.9"/>
    <x v="1"/>
    <x v="5"/>
    <x v="1"/>
    <x v="1"/>
    <n v="43"/>
    <x v="1"/>
    <x v="5"/>
  </r>
  <r>
    <n v="2603"/>
    <n v="65"/>
    <x v="0"/>
    <x v="7"/>
    <x v="2"/>
    <n v="44"/>
    <x v="36"/>
    <x v="2"/>
    <s v="Black"/>
    <x v="3"/>
    <n v="2.9"/>
    <x v="1"/>
    <x v="1"/>
    <x v="1"/>
    <x v="1"/>
    <n v="1"/>
    <x v="0"/>
    <x v="3"/>
  </r>
  <r>
    <n v="2604"/>
    <n v="69"/>
    <x v="0"/>
    <x v="10"/>
    <x v="0"/>
    <n v="58"/>
    <x v="47"/>
    <x v="2"/>
    <s v="Teal"/>
    <x v="1"/>
    <n v="2.7"/>
    <x v="1"/>
    <x v="4"/>
    <x v="1"/>
    <x v="1"/>
    <n v="8"/>
    <x v="1"/>
    <x v="2"/>
  </r>
  <r>
    <n v="2605"/>
    <n v="47"/>
    <x v="0"/>
    <x v="1"/>
    <x v="0"/>
    <n v="54"/>
    <x v="24"/>
    <x v="2"/>
    <s v="Beige"/>
    <x v="1"/>
    <n v="3.4"/>
    <x v="1"/>
    <x v="5"/>
    <x v="1"/>
    <x v="1"/>
    <n v="6"/>
    <x v="5"/>
    <x v="1"/>
  </r>
  <r>
    <n v="2606"/>
    <n v="41"/>
    <x v="0"/>
    <x v="15"/>
    <x v="0"/>
    <n v="93"/>
    <x v="22"/>
    <x v="2"/>
    <s v="White"/>
    <x v="1"/>
    <n v="3.7"/>
    <x v="1"/>
    <x v="4"/>
    <x v="1"/>
    <x v="1"/>
    <n v="32"/>
    <x v="0"/>
    <x v="0"/>
  </r>
  <r>
    <n v="2607"/>
    <n v="68"/>
    <x v="0"/>
    <x v="9"/>
    <x v="1"/>
    <n v="98"/>
    <x v="22"/>
    <x v="0"/>
    <s v="Turquoise"/>
    <x v="1"/>
    <n v="4.7"/>
    <x v="1"/>
    <x v="3"/>
    <x v="1"/>
    <x v="1"/>
    <n v="46"/>
    <x v="4"/>
    <x v="4"/>
  </r>
  <r>
    <n v="2608"/>
    <n v="41"/>
    <x v="0"/>
    <x v="9"/>
    <x v="1"/>
    <n v="36"/>
    <x v="19"/>
    <x v="3"/>
    <s v="Teal"/>
    <x v="1"/>
    <n v="3.1"/>
    <x v="1"/>
    <x v="0"/>
    <x v="1"/>
    <x v="1"/>
    <n v="38"/>
    <x v="3"/>
    <x v="6"/>
  </r>
  <r>
    <n v="2609"/>
    <n v="42"/>
    <x v="0"/>
    <x v="14"/>
    <x v="2"/>
    <n v="68"/>
    <x v="16"/>
    <x v="0"/>
    <s v="Orange"/>
    <x v="3"/>
    <n v="4.2"/>
    <x v="1"/>
    <x v="4"/>
    <x v="1"/>
    <x v="1"/>
    <n v="48"/>
    <x v="2"/>
    <x v="0"/>
  </r>
  <r>
    <n v="2610"/>
    <n v="66"/>
    <x v="0"/>
    <x v="21"/>
    <x v="3"/>
    <n v="95"/>
    <x v="10"/>
    <x v="2"/>
    <s v="Black"/>
    <x v="2"/>
    <n v="3"/>
    <x v="1"/>
    <x v="5"/>
    <x v="1"/>
    <x v="1"/>
    <n v="18"/>
    <x v="5"/>
    <x v="4"/>
  </r>
  <r>
    <n v="2611"/>
    <n v="66"/>
    <x v="0"/>
    <x v="2"/>
    <x v="0"/>
    <n v="93"/>
    <x v="8"/>
    <x v="2"/>
    <s v="Violet"/>
    <x v="1"/>
    <n v="3.1"/>
    <x v="1"/>
    <x v="0"/>
    <x v="1"/>
    <x v="1"/>
    <n v="25"/>
    <x v="1"/>
    <x v="3"/>
  </r>
  <r>
    <n v="2612"/>
    <n v="33"/>
    <x v="0"/>
    <x v="14"/>
    <x v="2"/>
    <n v="99"/>
    <x v="49"/>
    <x v="0"/>
    <s v="Maroon"/>
    <x v="3"/>
    <n v="4.2"/>
    <x v="1"/>
    <x v="4"/>
    <x v="1"/>
    <x v="1"/>
    <n v="4"/>
    <x v="1"/>
    <x v="0"/>
  </r>
  <r>
    <n v="2613"/>
    <n v="55"/>
    <x v="0"/>
    <x v="12"/>
    <x v="3"/>
    <n v="22"/>
    <x v="7"/>
    <x v="2"/>
    <s v="Turquoise"/>
    <x v="0"/>
    <n v="3.8"/>
    <x v="1"/>
    <x v="2"/>
    <x v="1"/>
    <x v="1"/>
    <n v="27"/>
    <x v="0"/>
    <x v="3"/>
  </r>
  <r>
    <n v="2614"/>
    <n v="58"/>
    <x v="0"/>
    <x v="24"/>
    <x v="3"/>
    <n v="88"/>
    <x v="45"/>
    <x v="2"/>
    <s v="Gold"/>
    <x v="3"/>
    <n v="2.9"/>
    <x v="1"/>
    <x v="0"/>
    <x v="1"/>
    <x v="1"/>
    <n v="14"/>
    <x v="4"/>
    <x v="5"/>
  </r>
  <r>
    <n v="2615"/>
    <n v="18"/>
    <x v="0"/>
    <x v="14"/>
    <x v="2"/>
    <n v="65"/>
    <x v="25"/>
    <x v="2"/>
    <s v="Turquoise"/>
    <x v="1"/>
    <n v="4.2"/>
    <x v="1"/>
    <x v="0"/>
    <x v="1"/>
    <x v="1"/>
    <n v="36"/>
    <x v="4"/>
    <x v="0"/>
  </r>
  <r>
    <n v="2616"/>
    <n v="49"/>
    <x v="0"/>
    <x v="17"/>
    <x v="0"/>
    <n v="62"/>
    <x v="28"/>
    <x v="2"/>
    <s v="Maroon"/>
    <x v="3"/>
    <n v="3.1"/>
    <x v="1"/>
    <x v="4"/>
    <x v="1"/>
    <x v="1"/>
    <n v="6"/>
    <x v="5"/>
    <x v="3"/>
  </r>
  <r>
    <n v="2617"/>
    <n v="61"/>
    <x v="0"/>
    <x v="3"/>
    <x v="1"/>
    <n v="55"/>
    <x v="42"/>
    <x v="3"/>
    <s v="Purple"/>
    <x v="1"/>
    <n v="3.6"/>
    <x v="1"/>
    <x v="0"/>
    <x v="1"/>
    <x v="1"/>
    <n v="46"/>
    <x v="1"/>
    <x v="2"/>
  </r>
  <r>
    <n v="2618"/>
    <n v="31"/>
    <x v="0"/>
    <x v="6"/>
    <x v="0"/>
    <n v="97"/>
    <x v="37"/>
    <x v="1"/>
    <s v="Maroon"/>
    <x v="1"/>
    <n v="4.8"/>
    <x v="1"/>
    <x v="3"/>
    <x v="1"/>
    <x v="1"/>
    <n v="29"/>
    <x v="4"/>
    <x v="2"/>
  </r>
  <r>
    <n v="2619"/>
    <n v="70"/>
    <x v="0"/>
    <x v="8"/>
    <x v="3"/>
    <n v="77"/>
    <x v="7"/>
    <x v="0"/>
    <s v="Brown"/>
    <x v="3"/>
    <n v="4.0999999999999996"/>
    <x v="1"/>
    <x v="0"/>
    <x v="1"/>
    <x v="1"/>
    <n v="12"/>
    <x v="0"/>
    <x v="5"/>
  </r>
  <r>
    <n v="2620"/>
    <n v="68"/>
    <x v="0"/>
    <x v="13"/>
    <x v="0"/>
    <n v="40"/>
    <x v="39"/>
    <x v="0"/>
    <s v="Indigo"/>
    <x v="0"/>
    <n v="3.9"/>
    <x v="1"/>
    <x v="1"/>
    <x v="1"/>
    <x v="1"/>
    <n v="47"/>
    <x v="2"/>
    <x v="1"/>
  </r>
  <r>
    <n v="2621"/>
    <n v="27"/>
    <x v="0"/>
    <x v="0"/>
    <x v="0"/>
    <n v="23"/>
    <x v="31"/>
    <x v="1"/>
    <s v="Lavender"/>
    <x v="0"/>
    <n v="3"/>
    <x v="1"/>
    <x v="3"/>
    <x v="1"/>
    <x v="1"/>
    <n v="28"/>
    <x v="5"/>
    <x v="2"/>
  </r>
  <r>
    <n v="2622"/>
    <n v="48"/>
    <x v="0"/>
    <x v="9"/>
    <x v="1"/>
    <n v="46"/>
    <x v="1"/>
    <x v="2"/>
    <s v="Beige"/>
    <x v="0"/>
    <n v="3"/>
    <x v="1"/>
    <x v="0"/>
    <x v="1"/>
    <x v="1"/>
    <n v="21"/>
    <x v="4"/>
    <x v="2"/>
  </r>
  <r>
    <n v="2623"/>
    <n v="63"/>
    <x v="0"/>
    <x v="21"/>
    <x v="3"/>
    <n v="75"/>
    <x v="13"/>
    <x v="2"/>
    <s v="Yellow"/>
    <x v="1"/>
    <n v="4.9000000000000004"/>
    <x v="1"/>
    <x v="4"/>
    <x v="1"/>
    <x v="1"/>
    <n v="15"/>
    <x v="2"/>
    <x v="2"/>
  </r>
  <r>
    <n v="2624"/>
    <n v="49"/>
    <x v="0"/>
    <x v="9"/>
    <x v="1"/>
    <n v="76"/>
    <x v="2"/>
    <x v="2"/>
    <s v="Gold"/>
    <x v="3"/>
    <n v="4.8"/>
    <x v="1"/>
    <x v="2"/>
    <x v="1"/>
    <x v="1"/>
    <n v="38"/>
    <x v="1"/>
    <x v="2"/>
  </r>
  <r>
    <n v="2625"/>
    <n v="19"/>
    <x v="0"/>
    <x v="10"/>
    <x v="0"/>
    <n v="59"/>
    <x v="45"/>
    <x v="2"/>
    <s v="Indigo"/>
    <x v="2"/>
    <n v="3.3"/>
    <x v="1"/>
    <x v="3"/>
    <x v="1"/>
    <x v="1"/>
    <n v="19"/>
    <x v="2"/>
    <x v="2"/>
  </r>
  <r>
    <n v="2626"/>
    <n v="30"/>
    <x v="0"/>
    <x v="11"/>
    <x v="0"/>
    <n v="51"/>
    <x v="24"/>
    <x v="0"/>
    <s v="Cyan"/>
    <x v="2"/>
    <n v="2.7"/>
    <x v="1"/>
    <x v="3"/>
    <x v="1"/>
    <x v="1"/>
    <n v="31"/>
    <x v="2"/>
    <x v="1"/>
  </r>
  <r>
    <n v="2627"/>
    <n v="50"/>
    <x v="0"/>
    <x v="14"/>
    <x v="2"/>
    <n v="46"/>
    <x v="3"/>
    <x v="3"/>
    <s v="Silver"/>
    <x v="3"/>
    <n v="4.2"/>
    <x v="1"/>
    <x v="0"/>
    <x v="1"/>
    <x v="1"/>
    <n v="30"/>
    <x v="2"/>
    <x v="6"/>
  </r>
  <r>
    <n v="2628"/>
    <n v="66"/>
    <x v="0"/>
    <x v="5"/>
    <x v="0"/>
    <n v="26"/>
    <x v="9"/>
    <x v="0"/>
    <s v="Silver"/>
    <x v="3"/>
    <n v="3.6"/>
    <x v="1"/>
    <x v="2"/>
    <x v="1"/>
    <x v="1"/>
    <n v="40"/>
    <x v="4"/>
    <x v="3"/>
  </r>
  <r>
    <n v="2629"/>
    <n v="25"/>
    <x v="0"/>
    <x v="15"/>
    <x v="0"/>
    <n v="51"/>
    <x v="5"/>
    <x v="2"/>
    <s v="Silver"/>
    <x v="2"/>
    <n v="3.8"/>
    <x v="1"/>
    <x v="2"/>
    <x v="1"/>
    <x v="1"/>
    <n v="42"/>
    <x v="2"/>
    <x v="4"/>
  </r>
  <r>
    <n v="2630"/>
    <n v="61"/>
    <x v="0"/>
    <x v="18"/>
    <x v="3"/>
    <n v="44"/>
    <x v="13"/>
    <x v="2"/>
    <s v="Peach"/>
    <x v="0"/>
    <n v="3.8"/>
    <x v="1"/>
    <x v="1"/>
    <x v="1"/>
    <x v="1"/>
    <n v="25"/>
    <x v="0"/>
    <x v="2"/>
  </r>
  <r>
    <n v="2631"/>
    <n v="29"/>
    <x v="0"/>
    <x v="11"/>
    <x v="0"/>
    <n v="82"/>
    <x v="1"/>
    <x v="1"/>
    <s v="Pink"/>
    <x v="1"/>
    <n v="4.2"/>
    <x v="1"/>
    <x v="1"/>
    <x v="1"/>
    <x v="1"/>
    <n v="20"/>
    <x v="1"/>
    <x v="3"/>
  </r>
  <r>
    <n v="2632"/>
    <n v="53"/>
    <x v="0"/>
    <x v="11"/>
    <x v="0"/>
    <n v="44"/>
    <x v="39"/>
    <x v="1"/>
    <s v="Violet"/>
    <x v="2"/>
    <n v="2.7"/>
    <x v="1"/>
    <x v="0"/>
    <x v="1"/>
    <x v="1"/>
    <n v="3"/>
    <x v="1"/>
    <x v="1"/>
  </r>
  <r>
    <n v="2633"/>
    <n v="24"/>
    <x v="0"/>
    <x v="18"/>
    <x v="3"/>
    <n v="27"/>
    <x v="29"/>
    <x v="2"/>
    <s v="Black"/>
    <x v="3"/>
    <n v="5"/>
    <x v="1"/>
    <x v="2"/>
    <x v="1"/>
    <x v="1"/>
    <n v="14"/>
    <x v="1"/>
    <x v="2"/>
  </r>
  <r>
    <n v="2634"/>
    <n v="51"/>
    <x v="0"/>
    <x v="12"/>
    <x v="3"/>
    <n v="90"/>
    <x v="29"/>
    <x v="2"/>
    <s v="Purple"/>
    <x v="3"/>
    <n v="4.7"/>
    <x v="1"/>
    <x v="2"/>
    <x v="1"/>
    <x v="1"/>
    <n v="32"/>
    <x v="2"/>
    <x v="0"/>
  </r>
  <r>
    <n v="2635"/>
    <n v="26"/>
    <x v="0"/>
    <x v="3"/>
    <x v="1"/>
    <n v="58"/>
    <x v="17"/>
    <x v="1"/>
    <s v="Black"/>
    <x v="2"/>
    <n v="3.2"/>
    <x v="1"/>
    <x v="5"/>
    <x v="1"/>
    <x v="1"/>
    <n v="20"/>
    <x v="3"/>
    <x v="6"/>
  </r>
  <r>
    <n v="2636"/>
    <n v="59"/>
    <x v="0"/>
    <x v="15"/>
    <x v="0"/>
    <n v="80"/>
    <x v="24"/>
    <x v="3"/>
    <s v="Peach"/>
    <x v="1"/>
    <n v="2.9"/>
    <x v="1"/>
    <x v="4"/>
    <x v="1"/>
    <x v="1"/>
    <n v="34"/>
    <x v="3"/>
    <x v="0"/>
  </r>
  <r>
    <n v="2637"/>
    <n v="41"/>
    <x v="0"/>
    <x v="14"/>
    <x v="2"/>
    <n v="40"/>
    <x v="40"/>
    <x v="1"/>
    <s v="Magenta"/>
    <x v="0"/>
    <n v="4.2"/>
    <x v="1"/>
    <x v="5"/>
    <x v="1"/>
    <x v="1"/>
    <n v="6"/>
    <x v="0"/>
    <x v="2"/>
  </r>
  <r>
    <n v="2638"/>
    <n v="20"/>
    <x v="0"/>
    <x v="13"/>
    <x v="0"/>
    <n v="23"/>
    <x v="15"/>
    <x v="2"/>
    <s v="Magenta"/>
    <x v="1"/>
    <n v="3.7"/>
    <x v="1"/>
    <x v="5"/>
    <x v="1"/>
    <x v="1"/>
    <n v="2"/>
    <x v="3"/>
    <x v="2"/>
  </r>
  <r>
    <n v="2639"/>
    <n v="22"/>
    <x v="0"/>
    <x v="5"/>
    <x v="0"/>
    <n v="34"/>
    <x v="11"/>
    <x v="1"/>
    <s v="Black"/>
    <x v="1"/>
    <n v="4.2"/>
    <x v="1"/>
    <x v="5"/>
    <x v="1"/>
    <x v="1"/>
    <n v="35"/>
    <x v="2"/>
    <x v="2"/>
  </r>
  <r>
    <n v="2640"/>
    <n v="18"/>
    <x v="0"/>
    <x v="0"/>
    <x v="0"/>
    <n v="35"/>
    <x v="13"/>
    <x v="3"/>
    <s v="Pink"/>
    <x v="0"/>
    <n v="2.6"/>
    <x v="1"/>
    <x v="1"/>
    <x v="1"/>
    <x v="1"/>
    <n v="33"/>
    <x v="5"/>
    <x v="3"/>
  </r>
  <r>
    <n v="2641"/>
    <n v="30"/>
    <x v="0"/>
    <x v="11"/>
    <x v="0"/>
    <n v="75"/>
    <x v="27"/>
    <x v="0"/>
    <s v="Olive"/>
    <x v="2"/>
    <n v="4"/>
    <x v="1"/>
    <x v="5"/>
    <x v="1"/>
    <x v="1"/>
    <n v="45"/>
    <x v="0"/>
    <x v="4"/>
  </r>
  <r>
    <n v="2642"/>
    <n v="25"/>
    <x v="0"/>
    <x v="12"/>
    <x v="3"/>
    <n v="60"/>
    <x v="34"/>
    <x v="3"/>
    <s v="Olive"/>
    <x v="0"/>
    <n v="2.7"/>
    <x v="1"/>
    <x v="2"/>
    <x v="1"/>
    <x v="1"/>
    <n v="20"/>
    <x v="4"/>
    <x v="6"/>
  </r>
  <r>
    <n v="2643"/>
    <n v="39"/>
    <x v="0"/>
    <x v="22"/>
    <x v="3"/>
    <n v="87"/>
    <x v="44"/>
    <x v="0"/>
    <s v="Peach"/>
    <x v="2"/>
    <n v="4"/>
    <x v="1"/>
    <x v="5"/>
    <x v="1"/>
    <x v="1"/>
    <n v="48"/>
    <x v="4"/>
    <x v="2"/>
  </r>
  <r>
    <n v="2644"/>
    <n v="49"/>
    <x v="0"/>
    <x v="24"/>
    <x v="3"/>
    <n v="41"/>
    <x v="33"/>
    <x v="1"/>
    <s v="Silver"/>
    <x v="1"/>
    <n v="2.9"/>
    <x v="1"/>
    <x v="2"/>
    <x v="1"/>
    <x v="1"/>
    <n v="37"/>
    <x v="1"/>
    <x v="5"/>
  </r>
  <r>
    <n v="2645"/>
    <n v="25"/>
    <x v="0"/>
    <x v="13"/>
    <x v="0"/>
    <n v="83"/>
    <x v="35"/>
    <x v="2"/>
    <s v="Turquoise"/>
    <x v="1"/>
    <n v="3.3"/>
    <x v="1"/>
    <x v="3"/>
    <x v="1"/>
    <x v="1"/>
    <n v="4"/>
    <x v="4"/>
    <x v="6"/>
  </r>
  <r>
    <n v="2646"/>
    <n v="23"/>
    <x v="0"/>
    <x v="18"/>
    <x v="3"/>
    <n v="81"/>
    <x v="7"/>
    <x v="0"/>
    <s v="Olive"/>
    <x v="1"/>
    <n v="4"/>
    <x v="1"/>
    <x v="5"/>
    <x v="1"/>
    <x v="1"/>
    <n v="24"/>
    <x v="4"/>
    <x v="4"/>
  </r>
  <r>
    <n v="2647"/>
    <n v="33"/>
    <x v="0"/>
    <x v="17"/>
    <x v="0"/>
    <n v="56"/>
    <x v="35"/>
    <x v="1"/>
    <s v="Lavender"/>
    <x v="2"/>
    <n v="3.9"/>
    <x v="1"/>
    <x v="2"/>
    <x v="1"/>
    <x v="1"/>
    <n v="4"/>
    <x v="5"/>
    <x v="6"/>
  </r>
  <r>
    <n v="2648"/>
    <n v="60"/>
    <x v="0"/>
    <x v="9"/>
    <x v="1"/>
    <n v="58"/>
    <x v="36"/>
    <x v="2"/>
    <s v="Red"/>
    <x v="2"/>
    <n v="3.3"/>
    <x v="1"/>
    <x v="4"/>
    <x v="1"/>
    <x v="1"/>
    <n v="25"/>
    <x v="5"/>
    <x v="2"/>
  </r>
  <r>
    <n v="2649"/>
    <n v="51"/>
    <x v="0"/>
    <x v="13"/>
    <x v="0"/>
    <n v="84"/>
    <x v="26"/>
    <x v="2"/>
    <s v="Gray"/>
    <x v="1"/>
    <n v="3.9"/>
    <x v="1"/>
    <x v="2"/>
    <x v="1"/>
    <x v="1"/>
    <n v="14"/>
    <x v="3"/>
    <x v="4"/>
  </r>
  <r>
    <n v="2650"/>
    <n v="23"/>
    <x v="0"/>
    <x v="24"/>
    <x v="3"/>
    <n v="21"/>
    <x v="46"/>
    <x v="2"/>
    <s v="Magenta"/>
    <x v="3"/>
    <n v="3.9"/>
    <x v="1"/>
    <x v="5"/>
    <x v="1"/>
    <x v="1"/>
    <n v="14"/>
    <x v="4"/>
    <x v="0"/>
  </r>
  <r>
    <n v="2651"/>
    <n v="20"/>
    <x v="0"/>
    <x v="20"/>
    <x v="0"/>
    <n v="35"/>
    <x v="4"/>
    <x v="0"/>
    <s v="Maroon"/>
    <x v="2"/>
    <n v="4.2"/>
    <x v="1"/>
    <x v="3"/>
    <x v="1"/>
    <x v="1"/>
    <n v="46"/>
    <x v="2"/>
    <x v="6"/>
  </r>
  <r>
    <n v="2652"/>
    <n v="51"/>
    <x v="0"/>
    <x v="4"/>
    <x v="1"/>
    <n v="43"/>
    <x v="30"/>
    <x v="2"/>
    <s v="Cyan"/>
    <x v="2"/>
    <n v="4.5999999999999996"/>
    <x v="1"/>
    <x v="5"/>
    <x v="1"/>
    <x v="1"/>
    <n v="27"/>
    <x v="3"/>
    <x v="3"/>
  </r>
  <r>
    <n v="2653"/>
    <n v="23"/>
    <x v="1"/>
    <x v="6"/>
    <x v="0"/>
    <n v="20"/>
    <x v="33"/>
    <x v="0"/>
    <s v="Cyan"/>
    <x v="2"/>
    <n v="3.3"/>
    <x v="1"/>
    <x v="4"/>
    <x v="1"/>
    <x v="1"/>
    <n v="46"/>
    <x v="2"/>
    <x v="5"/>
  </r>
  <r>
    <n v="2654"/>
    <n v="67"/>
    <x v="1"/>
    <x v="0"/>
    <x v="0"/>
    <n v="36"/>
    <x v="48"/>
    <x v="0"/>
    <s v="Lavender"/>
    <x v="3"/>
    <n v="4.8"/>
    <x v="1"/>
    <x v="0"/>
    <x v="1"/>
    <x v="1"/>
    <n v="24"/>
    <x v="0"/>
    <x v="6"/>
  </r>
  <r>
    <n v="2655"/>
    <n v="23"/>
    <x v="1"/>
    <x v="7"/>
    <x v="2"/>
    <n v="70"/>
    <x v="37"/>
    <x v="1"/>
    <s v="Pink"/>
    <x v="3"/>
    <n v="4.0999999999999996"/>
    <x v="1"/>
    <x v="2"/>
    <x v="1"/>
    <x v="1"/>
    <n v="4"/>
    <x v="3"/>
    <x v="2"/>
  </r>
  <r>
    <n v="2656"/>
    <n v="26"/>
    <x v="1"/>
    <x v="12"/>
    <x v="3"/>
    <n v="83"/>
    <x v="5"/>
    <x v="2"/>
    <s v="Gray"/>
    <x v="2"/>
    <n v="3.4"/>
    <x v="1"/>
    <x v="3"/>
    <x v="1"/>
    <x v="1"/>
    <n v="2"/>
    <x v="2"/>
    <x v="0"/>
  </r>
  <r>
    <n v="2657"/>
    <n v="52"/>
    <x v="1"/>
    <x v="6"/>
    <x v="0"/>
    <n v="76"/>
    <x v="27"/>
    <x v="0"/>
    <s v="Yellow"/>
    <x v="0"/>
    <n v="3.6"/>
    <x v="1"/>
    <x v="0"/>
    <x v="1"/>
    <x v="1"/>
    <n v="29"/>
    <x v="4"/>
    <x v="0"/>
  </r>
  <r>
    <n v="2658"/>
    <n v="52"/>
    <x v="1"/>
    <x v="10"/>
    <x v="0"/>
    <n v="81"/>
    <x v="21"/>
    <x v="2"/>
    <s v="Pink"/>
    <x v="2"/>
    <n v="2.7"/>
    <x v="1"/>
    <x v="0"/>
    <x v="1"/>
    <x v="1"/>
    <n v="7"/>
    <x v="2"/>
    <x v="0"/>
  </r>
  <r>
    <n v="2659"/>
    <n v="52"/>
    <x v="1"/>
    <x v="8"/>
    <x v="3"/>
    <n v="47"/>
    <x v="31"/>
    <x v="3"/>
    <s v="Indigo"/>
    <x v="2"/>
    <n v="3.2"/>
    <x v="1"/>
    <x v="2"/>
    <x v="1"/>
    <x v="1"/>
    <n v="39"/>
    <x v="3"/>
    <x v="5"/>
  </r>
  <r>
    <n v="2660"/>
    <n v="35"/>
    <x v="1"/>
    <x v="23"/>
    <x v="1"/>
    <n v="35"/>
    <x v="23"/>
    <x v="0"/>
    <s v="Gray"/>
    <x v="2"/>
    <n v="4.4000000000000004"/>
    <x v="1"/>
    <x v="4"/>
    <x v="1"/>
    <x v="1"/>
    <n v="46"/>
    <x v="2"/>
    <x v="0"/>
  </r>
  <r>
    <n v="2661"/>
    <n v="24"/>
    <x v="1"/>
    <x v="13"/>
    <x v="0"/>
    <n v="85"/>
    <x v="36"/>
    <x v="0"/>
    <s v="Yellow"/>
    <x v="1"/>
    <n v="4.9000000000000004"/>
    <x v="1"/>
    <x v="0"/>
    <x v="1"/>
    <x v="1"/>
    <n v="44"/>
    <x v="0"/>
    <x v="2"/>
  </r>
  <r>
    <n v="2662"/>
    <n v="43"/>
    <x v="1"/>
    <x v="23"/>
    <x v="1"/>
    <n v="96"/>
    <x v="49"/>
    <x v="3"/>
    <s v="Olive"/>
    <x v="3"/>
    <n v="4.8"/>
    <x v="1"/>
    <x v="0"/>
    <x v="1"/>
    <x v="1"/>
    <n v="20"/>
    <x v="4"/>
    <x v="2"/>
  </r>
  <r>
    <n v="2663"/>
    <n v="25"/>
    <x v="1"/>
    <x v="11"/>
    <x v="0"/>
    <n v="98"/>
    <x v="43"/>
    <x v="2"/>
    <s v="Cyan"/>
    <x v="2"/>
    <n v="2.8"/>
    <x v="1"/>
    <x v="4"/>
    <x v="1"/>
    <x v="1"/>
    <n v="44"/>
    <x v="3"/>
    <x v="0"/>
  </r>
  <r>
    <n v="2664"/>
    <n v="46"/>
    <x v="1"/>
    <x v="4"/>
    <x v="1"/>
    <n v="52"/>
    <x v="48"/>
    <x v="0"/>
    <s v="Silver"/>
    <x v="3"/>
    <n v="2.9"/>
    <x v="1"/>
    <x v="1"/>
    <x v="1"/>
    <x v="1"/>
    <n v="23"/>
    <x v="4"/>
    <x v="2"/>
  </r>
  <r>
    <n v="2665"/>
    <n v="22"/>
    <x v="1"/>
    <x v="16"/>
    <x v="3"/>
    <n v="84"/>
    <x v="26"/>
    <x v="0"/>
    <s v="Silver"/>
    <x v="0"/>
    <n v="3.2"/>
    <x v="1"/>
    <x v="5"/>
    <x v="1"/>
    <x v="1"/>
    <n v="37"/>
    <x v="3"/>
    <x v="1"/>
  </r>
  <r>
    <n v="2666"/>
    <n v="70"/>
    <x v="1"/>
    <x v="17"/>
    <x v="0"/>
    <n v="71"/>
    <x v="7"/>
    <x v="0"/>
    <s v="Red"/>
    <x v="0"/>
    <n v="3.5"/>
    <x v="1"/>
    <x v="5"/>
    <x v="1"/>
    <x v="1"/>
    <n v="4"/>
    <x v="0"/>
    <x v="1"/>
  </r>
  <r>
    <n v="2667"/>
    <n v="49"/>
    <x v="1"/>
    <x v="3"/>
    <x v="1"/>
    <n v="95"/>
    <x v="31"/>
    <x v="1"/>
    <s v="Brown"/>
    <x v="0"/>
    <n v="4.0999999999999996"/>
    <x v="1"/>
    <x v="5"/>
    <x v="1"/>
    <x v="1"/>
    <n v="14"/>
    <x v="0"/>
    <x v="0"/>
  </r>
  <r>
    <n v="2668"/>
    <n v="48"/>
    <x v="1"/>
    <x v="23"/>
    <x v="1"/>
    <n v="47"/>
    <x v="33"/>
    <x v="2"/>
    <s v="Orange"/>
    <x v="2"/>
    <n v="4.0999999999999996"/>
    <x v="1"/>
    <x v="1"/>
    <x v="1"/>
    <x v="1"/>
    <n v="31"/>
    <x v="1"/>
    <x v="0"/>
  </r>
  <r>
    <n v="2669"/>
    <n v="59"/>
    <x v="1"/>
    <x v="7"/>
    <x v="2"/>
    <n v="75"/>
    <x v="21"/>
    <x v="2"/>
    <s v="Black"/>
    <x v="2"/>
    <n v="4.8"/>
    <x v="1"/>
    <x v="2"/>
    <x v="1"/>
    <x v="1"/>
    <n v="9"/>
    <x v="3"/>
    <x v="3"/>
  </r>
  <r>
    <n v="2670"/>
    <n v="39"/>
    <x v="1"/>
    <x v="22"/>
    <x v="3"/>
    <n v="28"/>
    <x v="26"/>
    <x v="0"/>
    <s v="Teal"/>
    <x v="1"/>
    <n v="2.8"/>
    <x v="1"/>
    <x v="1"/>
    <x v="1"/>
    <x v="1"/>
    <n v="31"/>
    <x v="2"/>
    <x v="1"/>
  </r>
  <r>
    <n v="2671"/>
    <n v="30"/>
    <x v="1"/>
    <x v="12"/>
    <x v="3"/>
    <n v="44"/>
    <x v="38"/>
    <x v="2"/>
    <s v="Yellow"/>
    <x v="3"/>
    <n v="4.7"/>
    <x v="1"/>
    <x v="0"/>
    <x v="1"/>
    <x v="1"/>
    <n v="26"/>
    <x v="4"/>
    <x v="4"/>
  </r>
  <r>
    <n v="2672"/>
    <n v="37"/>
    <x v="1"/>
    <x v="3"/>
    <x v="1"/>
    <n v="64"/>
    <x v="15"/>
    <x v="3"/>
    <s v="Gray"/>
    <x v="0"/>
    <n v="4.8"/>
    <x v="1"/>
    <x v="4"/>
    <x v="1"/>
    <x v="1"/>
    <n v="41"/>
    <x v="3"/>
    <x v="6"/>
  </r>
  <r>
    <n v="2673"/>
    <n v="56"/>
    <x v="1"/>
    <x v="23"/>
    <x v="1"/>
    <n v="28"/>
    <x v="8"/>
    <x v="2"/>
    <s v="Maroon"/>
    <x v="1"/>
    <n v="2.9"/>
    <x v="1"/>
    <x v="3"/>
    <x v="1"/>
    <x v="1"/>
    <n v="13"/>
    <x v="1"/>
    <x v="2"/>
  </r>
  <r>
    <n v="2674"/>
    <n v="67"/>
    <x v="1"/>
    <x v="15"/>
    <x v="0"/>
    <n v="21"/>
    <x v="22"/>
    <x v="2"/>
    <s v="Olive"/>
    <x v="2"/>
    <n v="2.6"/>
    <x v="1"/>
    <x v="4"/>
    <x v="1"/>
    <x v="1"/>
    <n v="4"/>
    <x v="1"/>
    <x v="5"/>
  </r>
  <r>
    <n v="2675"/>
    <n v="40"/>
    <x v="1"/>
    <x v="19"/>
    <x v="3"/>
    <n v="41"/>
    <x v="20"/>
    <x v="1"/>
    <s v="Charcoal"/>
    <x v="3"/>
    <n v="3.3"/>
    <x v="1"/>
    <x v="0"/>
    <x v="1"/>
    <x v="1"/>
    <n v="15"/>
    <x v="1"/>
    <x v="6"/>
  </r>
  <r>
    <n v="2676"/>
    <n v="24"/>
    <x v="1"/>
    <x v="6"/>
    <x v="0"/>
    <n v="38"/>
    <x v="41"/>
    <x v="2"/>
    <s v="Peach"/>
    <x v="0"/>
    <n v="3.4"/>
    <x v="1"/>
    <x v="1"/>
    <x v="1"/>
    <x v="1"/>
    <n v="38"/>
    <x v="1"/>
    <x v="4"/>
  </r>
  <r>
    <n v="2677"/>
    <n v="43"/>
    <x v="1"/>
    <x v="21"/>
    <x v="3"/>
    <n v="77"/>
    <x v="0"/>
    <x v="2"/>
    <s v="Maroon"/>
    <x v="1"/>
    <n v="3.6"/>
    <x v="1"/>
    <x v="1"/>
    <x v="1"/>
    <x v="1"/>
    <n v="3"/>
    <x v="1"/>
    <x v="0"/>
  </r>
  <r>
    <n v="2678"/>
    <n v="45"/>
    <x v="1"/>
    <x v="6"/>
    <x v="0"/>
    <n v="43"/>
    <x v="39"/>
    <x v="0"/>
    <s v="Olive"/>
    <x v="1"/>
    <n v="3.8"/>
    <x v="1"/>
    <x v="2"/>
    <x v="1"/>
    <x v="1"/>
    <n v="6"/>
    <x v="3"/>
    <x v="6"/>
  </r>
  <r>
    <n v="2679"/>
    <n v="33"/>
    <x v="1"/>
    <x v="22"/>
    <x v="3"/>
    <n v="91"/>
    <x v="6"/>
    <x v="2"/>
    <s v="Magenta"/>
    <x v="1"/>
    <n v="3.4"/>
    <x v="1"/>
    <x v="4"/>
    <x v="1"/>
    <x v="1"/>
    <n v="34"/>
    <x v="2"/>
    <x v="4"/>
  </r>
  <r>
    <n v="2680"/>
    <n v="53"/>
    <x v="1"/>
    <x v="6"/>
    <x v="0"/>
    <n v="68"/>
    <x v="6"/>
    <x v="1"/>
    <s v="Yellow"/>
    <x v="1"/>
    <n v="3.8"/>
    <x v="1"/>
    <x v="0"/>
    <x v="1"/>
    <x v="1"/>
    <n v="7"/>
    <x v="5"/>
    <x v="3"/>
  </r>
  <r>
    <n v="2681"/>
    <n v="44"/>
    <x v="1"/>
    <x v="20"/>
    <x v="0"/>
    <n v="37"/>
    <x v="43"/>
    <x v="0"/>
    <s v="Indigo"/>
    <x v="3"/>
    <n v="3.3"/>
    <x v="1"/>
    <x v="2"/>
    <x v="1"/>
    <x v="1"/>
    <n v="21"/>
    <x v="0"/>
    <x v="2"/>
  </r>
  <r>
    <n v="2682"/>
    <n v="23"/>
    <x v="1"/>
    <x v="9"/>
    <x v="1"/>
    <n v="23"/>
    <x v="2"/>
    <x v="0"/>
    <s v="Olive"/>
    <x v="2"/>
    <n v="4.8"/>
    <x v="1"/>
    <x v="3"/>
    <x v="1"/>
    <x v="1"/>
    <n v="17"/>
    <x v="5"/>
    <x v="5"/>
  </r>
  <r>
    <n v="2683"/>
    <n v="59"/>
    <x v="1"/>
    <x v="4"/>
    <x v="1"/>
    <n v="65"/>
    <x v="17"/>
    <x v="0"/>
    <s v="Maroon"/>
    <x v="0"/>
    <n v="3.9"/>
    <x v="1"/>
    <x v="4"/>
    <x v="1"/>
    <x v="1"/>
    <n v="5"/>
    <x v="0"/>
    <x v="6"/>
  </r>
  <r>
    <n v="2684"/>
    <n v="68"/>
    <x v="1"/>
    <x v="21"/>
    <x v="3"/>
    <n v="30"/>
    <x v="6"/>
    <x v="2"/>
    <s v="Indigo"/>
    <x v="2"/>
    <n v="4.2"/>
    <x v="1"/>
    <x v="2"/>
    <x v="1"/>
    <x v="1"/>
    <n v="21"/>
    <x v="1"/>
    <x v="0"/>
  </r>
  <r>
    <n v="2685"/>
    <n v="46"/>
    <x v="1"/>
    <x v="10"/>
    <x v="0"/>
    <n v="45"/>
    <x v="47"/>
    <x v="2"/>
    <s v="Gray"/>
    <x v="2"/>
    <n v="4.7"/>
    <x v="1"/>
    <x v="1"/>
    <x v="1"/>
    <x v="1"/>
    <n v="42"/>
    <x v="2"/>
    <x v="4"/>
  </r>
  <r>
    <n v="2686"/>
    <n v="56"/>
    <x v="1"/>
    <x v="23"/>
    <x v="1"/>
    <n v="25"/>
    <x v="41"/>
    <x v="2"/>
    <s v="Gray"/>
    <x v="0"/>
    <n v="2.7"/>
    <x v="1"/>
    <x v="0"/>
    <x v="1"/>
    <x v="1"/>
    <n v="49"/>
    <x v="2"/>
    <x v="3"/>
  </r>
  <r>
    <n v="2687"/>
    <n v="40"/>
    <x v="1"/>
    <x v="20"/>
    <x v="0"/>
    <n v="72"/>
    <x v="42"/>
    <x v="2"/>
    <s v="Black"/>
    <x v="0"/>
    <n v="3.8"/>
    <x v="1"/>
    <x v="4"/>
    <x v="1"/>
    <x v="1"/>
    <n v="33"/>
    <x v="1"/>
    <x v="0"/>
  </r>
  <r>
    <n v="2688"/>
    <n v="61"/>
    <x v="1"/>
    <x v="10"/>
    <x v="0"/>
    <n v="75"/>
    <x v="12"/>
    <x v="2"/>
    <s v="White"/>
    <x v="3"/>
    <n v="3.6"/>
    <x v="1"/>
    <x v="4"/>
    <x v="1"/>
    <x v="1"/>
    <n v="12"/>
    <x v="5"/>
    <x v="4"/>
  </r>
  <r>
    <n v="2689"/>
    <n v="53"/>
    <x v="1"/>
    <x v="8"/>
    <x v="3"/>
    <n v="63"/>
    <x v="8"/>
    <x v="3"/>
    <s v="Turquoise"/>
    <x v="1"/>
    <n v="2.9"/>
    <x v="1"/>
    <x v="4"/>
    <x v="1"/>
    <x v="1"/>
    <n v="18"/>
    <x v="2"/>
    <x v="6"/>
  </r>
  <r>
    <n v="2690"/>
    <n v="29"/>
    <x v="1"/>
    <x v="0"/>
    <x v="0"/>
    <n v="35"/>
    <x v="5"/>
    <x v="2"/>
    <s v="Orange"/>
    <x v="3"/>
    <n v="3.9"/>
    <x v="1"/>
    <x v="3"/>
    <x v="1"/>
    <x v="1"/>
    <n v="47"/>
    <x v="3"/>
    <x v="3"/>
  </r>
  <r>
    <n v="2691"/>
    <n v="44"/>
    <x v="1"/>
    <x v="22"/>
    <x v="3"/>
    <n v="32"/>
    <x v="35"/>
    <x v="0"/>
    <s v="Yellow"/>
    <x v="2"/>
    <n v="4.7"/>
    <x v="1"/>
    <x v="1"/>
    <x v="1"/>
    <x v="1"/>
    <n v="18"/>
    <x v="4"/>
    <x v="1"/>
  </r>
  <r>
    <n v="2692"/>
    <n v="43"/>
    <x v="1"/>
    <x v="13"/>
    <x v="0"/>
    <n v="25"/>
    <x v="43"/>
    <x v="0"/>
    <s v="Blue"/>
    <x v="0"/>
    <n v="3.3"/>
    <x v="1"/>
    <x v="4"/>
    <x v="1"/>
    <x v="1"/>
    <n v="48"/>
    <x v="1"/>
    <x v="5"/>
  </r>
  <r>
    <n v="2693"/>
    <n v="40"/>
    <x v="1"/>
    <x v="4"/>
    <x v="1"/>
    <n v="90"/>
    <x v="47"/>
    <x v="3"/>
    <s v="Violet"/>
    <x v="1"/>
    <n v="4.2"/>
    <x v="1"/>
    <x v="1"/>
    <x v="1"/>
    <x v="1"/>
    <n v="18"/>
    <x v="5"/>
    <x v="6"/>
  </r>
  <r>
    <n v="2694"/>
    <n v="55"/>
    <x v="1"/>
    <x v="23"/>
    <x v="1"/>
    <n v="70"/>
    <x v="11"/>
    <x v="0"/>
    <s v="Lavender"/>
    <x v="2"/>
    <n v="2.6"/>
    <x v="1"/>
    <x v="3"/>
    <x v="1"/>
    <x v="1"/>
    <n v="46"/>
    <x v="1"/>
    <x v="3"/>
  </r>
  <r>
    <n v="2695"/>
    <n v="66"/>
    <x v="1"/>
    <x v="12"/>
    <x v="3"/>
    <n v="27"/>
    <x v="7"/>
    <x v="2"/>
    <s v="Olive"/>
    <x v="1"/>
    <n v="4.9000000000000004"/>
    <x v="1"/>
    <x v="0"/>
    <x v="1"/>
    <x v="1"/>
    <n v="34"/>
    <x v="2"/>
    <x v="6"/>
  </r>
  <r>
    <n v="2696"/>
    <n v="50"/>
    <x v="1"/>
    <x v="19"/>
    <x v="3"/>
    <n v="92"/>
    <x v="30"/>
    <x v="2"/>
    <s v="Orange"/>
    <x v="3"/>
    <n v="3.6"/>
    <x v="1"/>
    <x v="3"/>
    <x v="1"/>
    <x v="1"/>
    <n v="10"/>
    <x v="3"/>
    <x v="4"/>
  </r>
  <r>
    <n v="2697"/>
    <n v="57"/>
    <x v="1"/>
    <x v="7"/>
    <x v="2"/>
    <n v="20"/>
    <x v="45"/>
    <x v="2"/>
    <s v="White"/>
    <x v="1"/>
    <n v="4.7"/>
    <x v="1"/>
    <x v="1"/>
    <x v="1"/>
    <x v="1"/>
    <n v="12"/>
    <x v="5"/>
    <x v="5"/>
  </r>
  <r>
    <n v="2698"/>
    <n v="42"/>
    <x v="1"/>
    <x v="14"/>
    <x v="2"/>
    <n v="52"/>
    <x v="12"/>
    <x v="0"/>
    <s v="Red"/>
    <x v="0"/>
    <n v="3.2"/>
    <x v="1"/>
    <x v="3"/>
    <x v="1"/>
    <x v="1"/>
    <n v="36"/>
    <x v="4"/>
    <x v="3"/>
  </r>
  <r>
    <n v="2699"/>
    <n v="55"/>
    <x v="1"/>
    <x v="15"/>
    <x v="0"/>
    <n v="57"/>
    <x v="41"/>
    <x v="2"/>
    <s v="Magenta"/>
    <x v="2"/>
    <n v="3.6"/>
    <x v="1"/>
    <x v="5"/>
    <x v="1"/>
    <x v="1"/>
    <n v="34"/>
    <x v="0"/>
    <x v="3"/>
  </r>
  <r>
    <n v="2700"/>
    <n v="25"/>
    <x v="1"/>
    <x v="23"/>
    <x v="1"/>
    <n v="96"/>
    <x v="40"/>
    <x v="2"/>
    <s v="Violet"/>
    <x v="3"/>
    <n v="3.6"/>
    <x v="1"/>
    <x v="4"/>
    <x v="1"/>
    <x v="1"/>
    <n v="49"/>
    <x v="5"/>
    <x v="2"/>
  </r>
  <r>
    <n v="2701"/>
    <n v="22"/>
    <x v="1"/>
    <x v="17"/>
    <x v="0"/>
    <n v="68"/>
    <x v="18"/>
    <x v="3"/>
    <s v="Olive"/>
    <x v="0"/>
    <n v="3.2"/>
    <x v="1"/>
    <x v="3"/>
    <x v="1"/>
    <x v="1"/>
    <n v="36"/>
    <x v="1"/>
    <x v="1"/>
  </r>
  <r>
    <n v="2702"/>
    <n v="49"/>
    <x v="1"/>
    <x v="1"/>
    <x v="0"/>
    <n v="30"/>
    <x v="37"/>
    <x v="0"/>
    <s v="Silver"/>
    <x v="2"/>
    <n v="2.8"/>
    <x v="1"/>
    <x v="5"/>
    <x v="1"/>
    <x v="1"/>
    <n v="18"/>
    <x v="4"/>
    <x v="0"/>
  </r>
  <r>
    <n v="2703"/>
    <n v="70"/>
    <x v="1"/>
    <x v="9"/>
    <x v="1"/>
    <n v="37"/>
    <x v="21"/>
    <x v="0"/>
    <s v="Gray"/>
    <x v="3"/>
    <n v="4"/>
    <x v="1"/>
    <x v="2"/>
    <x v="1"/>
    <x v="1"/>
    <n v="39"/>
    <x v="5"/>
    <x v="0"/>
  </r>
  <r>
    <n v="2704"/>
    <n v="56"/>
    <x v="1"/>
    <x v="18"/>
    <x v="3"/>
    <n v="42"/>
    <x v="30"/>
    <x v="3"/>
    <s v="Olive"/>
    <x v="0"/>
    <n v="4.4000000000000004"/>
    <x v="1"/>
    <x v="1"/>
    <x v="1"/>
    <x v="1"/>
    <n v="34"/>
    <x v="3"/>
    <x v="1"/>
  </r>
  <r>
    <n v="2705"/>
    <n v="52"/>
    <x v="1"/>
    <x v="10"/>
    <x v="0"/>
    <n v="54"/>
    <x v="30"/>
    <x v="0"/>
    <s v="Beige"/>
    <x v="1"/>
    <n v="3.4"/>
    <x v="1"/>
    <x v="2"/>
    <x v="1"/>
    <x v="1"/>
    <n v="35"/>
    <x v="5"/>
    <x v="1"/>
  </r>
  <r>
    <n v="2706"/>
    <n v="65"/>
    <x v="1"/>
    <x v="14"/>
    <x v="2"/>
    <n v="81"/>
    <x v="47"/>
    <x v="1"/>
    <s v="Turquoise"/>
    <x v="1"/>
    <n v="5"/>
    <x v="1"/>
    <x v="5"/>
    <x v="1"/>
    <x v="1"/>
    <n v="1"/>
    <x v="2"/>
    <x v="4"/>
  </r>
  <r>
    <n v="2707"/>
    <n v="24"/>
    <x v="1"/>
    <x v="9"/>
    <x v="1"/>
    <n v="40"/>
    <x v="15"/>
    <x v="1"/>
    <s v="Blue"/>
    <x v="1"/>
    <n v="3.1"/>
    <x v="1"/>
    <x v="0"/>
    <x v="1"/>
    <x v="1"/>
    <n v="48"/>
    <x v="5"/>
    <x v="3"/>
  </r>
  <r>
    <n v="2708"/>
    <n v="32"/>
    <x v="1"/>
    <x v="21"/>
    <x v="3"/>
    <n v="88"/>
    <x v="43"/>
    <x v="2"/>
    <s v="Pink"/>
    <x v="3"/>
    <n v="4.2"/>
    <x v="1"/>
    <x v="3"/>
    <x v="1"/>
    <x v="1"/>
    <n v="19"/>
    <x v="1"/>
    <x v="1"/>
  </r>
  <r>
    <n v="2709"/>
    <n v="57"/>
    <x v="1"/>
    <x v="10"/>
    <x v="0"/>
    <n v="94"/>
    <x v="15"/>
    <x v="2"/>
    <s v="Teal"/>
    <x v="2"/>
    <n v="3.3"/>
    <x v="1"/>
    <x v="5"/>
    <x v="1"/>
    <x v="1"/>
    <n v="44"/>
    <x v="5"/>
    <x v="1"/>
  </r>
  <r>
    <n v="2710"/>
    <n v="35"/>
    <x v="1"/>
    <x v="5"/>
    <x v="0"/>
    <n v="54"/>
    <x v="26"/>
    <x v="1"/>
    <s v="Cyan"/>
    <x v="0"/>
    <n v="2.9"/>
    <x v="1"/>
    <x v="3"/>
    <x v="1"/>
    <x v="1"/>
    <n v="9"/>
    <x v="2"/>
    <x v="4"/>
  </r>
  <r>
    <n v="2711"/>
    <n v="69"/>
    <x v="1"/>
    <x v="14"/>
    <x v="2"/>
    <n v="51"/>
    <x v="48"/>
    <x v="0"/>
    <s v="Purple"/>
    <x v="2"/>
    <n v="4.7"/>
    <x v="1"/>
    <x v="3"/>
    <x v="1"/>
    <x v="1"/>
    <n v="3"/>
    <x v="4"/>
    <x v="0"/>
  </r>
  <r>
    <n v="2712"/>
    <n v="30"/>
    <x v="1"/>
    <x v="12"/>
    <x v="3"/>
    <n v="22"/>
    <x v="43"/>
    <x v="0"/>
    <s v="Red"/>
    <x v="1"/>
    <n v="4"/>
    <x v="1"/>
    <x v="3"/>
    <x v="1"/>
    <x v="1"/>
    <n v="50"/>
    <x v="0"/>
    <x v="5"/>
  </r>
  <r>
    <n v="2713"/>
    <n v="37"/>
    <x v="1"/>
    <x v="14"/>
    <x v="2"/>
    <n v="95"/>
    <x v="25"/>
    <x v="0"/>
    <s v="Brown"/>
    <x v="3"/>
    <n v="4.5999999999999996"/>
    <x v="1"/>
    <x v="3"/>
    <x v="1"/>
    <x v="1"/>
    <n v="7"/>
    <x v="5"/>
    <x v="3"/>
  </r>
  <r>
    <n v="2714"/>
    <n v="19"/>
    <x v="1"/>
    <x v="7"/>
    <x v="2"/>
    <n v="57"/>
    <x v="16"/>
    <x v="2"/>
    <s v="Magenta"/>
    <x v="3"/>
    <n v="3.8"/>
    <x v="1"/>
    <x v="4"/>
    <x v="1"/>
    <x v="1"/>
    <n v="20"/>
    <x v="5"/>
    <x v="2"/>
  </r>
  <r>
    <n v="2715"/>
    <n v="53"/>
    <x v="1"/>
    <x v="1"/>
    <x v="0"/>
    <n v="45"/>
    <x v="44"/>
    <x v="1"/>
    <s v="Olive"/>
    <x v="0"/>
    <n v="3.6"/>
    <x v="1"/>
    <x v="5"/>
    <x v="1"/>
    <x v="1"/>
    <n v="16"/>
    <x v="2"/>
    <x v="4"/>
  </r>
  <r>
    <n v="2716"/>
    <n v="25"/>
    <x v="1"/>
    <x v="4"/>
    <x v="1"/>
    <n v="92"/>
    <x v="16"/>
    <x v="3"/>
    <s v="Pink"/>
    <x v="0"/>
    <n v="4.0999999999999996"/>
    <x v="1"/>
    <x v="0"/>
    <x v="1"/>
    <x v="1"/>
    <n v="29"/>
    <x v="3"/>
    <x v="0"/>
  </r>
  <r>
    <n v="2717"/>
    <n v="47"/>
    <x v="1"/>
    <x v="9"/>
    <x v="1"/>
    <n v="40"/>
    <x v="24"/>
    <x v="0"/>
    <s v="Black"/>
    <x v="1"/>
    <n v="2.7"/>
    <x v="1"/>
    <x v="5"/>
    <x v="1"/>
    <x v="1"/>
    <n v="21"/>
    <x v="5"/>
    <x v="1"/>
  </r>
  <r>
    <n v="2718"/>
    <n v="18"/>
    <x v="1"/>
    <x v="12"/>
    <x v="3"/>
    <n v="62"/>
    <x v="43"/>
    <x v="3"/>
    <s v="Beige"/>
    <x v="0"/>
    <n v="4.3"/>
    <x v="1"/>
    <x v="1"/>
    <x v="1"/>
    <x v="1"/>
    <n v="19"/>
    <x v="2"/>
    <x v="6"/>
  </r>
  <r>
    <n v="2719"/>
    <n v="22"/>
    <x v="1"/>
    <x v="6"/>
    <x v="0"/>
    <n v="90"/>
    <x v="41"/>
    <x v="2"/>
    <s v="Peach"/>
    <x v="0"/>
    <n v="4.9000000000000004"/>
    <x v="1"/>
    <x v="2"/>
    <x v="1"/>
    <x v="1"/>
    <n v="10"/>
    <x v="0"/>
    <x v="4"/>
  </r>
  <r>
    <n v="2720"/>
    <n v="69"/>
    <x v="1"/>
    <x v="15"/>
    <x v="0"/>
    <n v="82"/>
    <x v="7"/>
    <x v="1"/>
    <s v="Peach"/>
    <x v="3"/>
    <n v="4.2"/>
    <x v="1"/>
    <x v="1"/>
    <x v="1"/>
    <x v="1"/>
    <n v="4"/>
    <x v="4"/>
    <x v="5"/>
  </r>
  <r>
    <n v="2721"/>
    <n v="55"/>
    <x v="1"/>
    <x v="18"/>
    <x v="3"/>
    <n v="52"/>
    <x v="33"/>
    <x v="2"/>
    <s v="Peach"/>
    <x v="1"/>
    <n v="2.8"/>
    <x v="1"/>
    <x v="5"/>
    <x v="1"/>
    <x v="1"/>
    <n v="45"/>
    <x v="4"/>
    <x v="3"/>
  </r>
  <r>
    <n v="2722"/>
    <n v="19"/>
    <x v="1"/>
    <x v="3"/>
    <x v="1"/>
    <n v="70"/>
    <x v="46"/>
    <x v="1"/>
    <s v="Teal"/>
    <x v="1"/>
    <n v="4.9000000000000004"/>
    <x v="1"/>
    <x v="1"/>
    <x v="1"/>
    <x v="1"/>
    <n v="17"/>
    <x v="3"/>
    <x v="0"/>
  </r>
  <r>
    <n v="2723"/>
    <n v="23"/>
    <x v="1"/>
    <x v="19"/>
    <x v="3"/>
    <n v="83"/>
    <x v="1"/>
    <x v="2"/>
    <s v="Green"/>
    <x v="1"/>
    <n v="2.8"/>
    <x v="1"/>
    <x v="4"/>
    <x v="1"/>
    <x v="1"/>
    <n v="22"/>
    <x v="3"/>
    <x v="0"/>
  </r>
  <r>
    <n v="2724"/>
    <n v="54"/>
    <x v="1"/>
    <x v="9"/>
    <x v="1"/>
    <n v="49"/>
    <x v="21"/>
    <x v="3"/>
    <s v="Brown"/>
    <x v="2"/>
    <n v="2.9"/>
    <x v="1"/>
    <x v="5"/>
    <x v="1"/>
    <x v="1"/>
    <n v="3"/>
    <x v="3"/>
    <x v="6"/>
  </r>
  <r>
    <n v="2725"/>
    <n v="52"/>
    <x v="1"/>
    <x v="4"/>
    <x v="1"/>
    <n v="91"/>
    <x v="9"/>
    <x v="2"/>
    <s v="Brown"/>
    <x v="1"/>
    <n v="2.5"/>
    <x v="1"/>
    <x v="2"/>
    <x v="1"/>
    <x v="1"/>
    <n v="11"/>
    <x v="5"/>
    <x v="0"/>
  </r>
  <r>
    <n v="2726"/>
    <n v="64"/>
    <x v="1"/>
    <x v="21"/>
    <x v="3"/>
    <n v="99"/>
    <x v="16"/>
    <x v="1"/>
    <s v="Violet"/>
    <x v="2"/>
    <n v="2.7"/>
    <x v="1"/>
    <x v="1"/>
    <x v="1"/>
    <x v="1"/>
    <n v="4"/>
    <x v="5"/>
    <x v="2"/>
  </r>
  <r>
    <n v="2727"/>
    <n v="33"/>
    <x v="1"/>
    <x v="22"/>
    <x v="3"/>
    <n v="92"/>
    <x v="49"/>
    <x v="0"/>
    <s v="Blue"/>
    <x v="0"/>
    <n v="3.3"/>
    <x v="1"/>
    <x v="1"/>
    <x v="1"/>
    <x v="1"/>
    <n v="11"/>
    <x v="3"/>
    <x v="4"/>
  </r>
  <r>
    <n v="2728"/>
    <n v="40"/>
    <x v="1"/>
    <x v="5"/>
    <x v="0"/>
    <n v="87"/>
    <x v="24"/>
    <x v="0"/>
    <s v="Charcoal"/>
    <x v="0"/>
    <n v="3.7"/>
    <x v="1"/>
    <x v="4"/>
    <x v="1"/>
    <x v="1"/>
    <n v="47"/>
    <x v="2"/>
    <x v="0"/>
  </r>
  <r>
    <n v="2729"/>
    <n v="26"/>
    <x v="1"/>
    <x v="11"/>
    <x v="0"/>
    <n v="28"/>
    <x v="20"/>
    <x v="2"/>
    <s v="Pink"/>
    <x v="0"/>
    <n v="4"/>
    <x v="1"/>
    <x v="0"/>
    <x v="1"/>
    <x v="1"/>
    <n v="17"/>
    <x v="5"/>
    <x v="1"/>
  </r>
  <r>
    <n v="2730"/>
    <n v="31"/>
    <x v="1"/>
    <x v="24"/>
    <x v="3"/>
    <n v="71"/>
    <x v="6"/>
    <x v="1"/>
    <s v="Violet"/>
    <x v="2"/>
    <n v="4.0999999999999996"/>
    <x v="1"/>
    <x v="1"/>
    <x v="1"/>
    <x v="1"/>
    <n v="32"/>
    <x v="2"/>
    <x v="5"/>
  </r>
  <r>
    <n v="2731"/>
    <n v="23"/>
    <x v="1"/>
    <x v="24"/>
    <x v="3"/>
    <n v="32"/>
    <x v="48"/>
    <x v="2"/>
    <s v="Teal"/>
    <x v="0"/>
    <n v="4.0999999999999996"/>
    <x v="1"/>
    <x v="5"/>
    <x v="1"/>
    <x v="1"/>
    <n v="37"/>
    <x v="4"/>
    <x v="2"/>
  </r>
  <r>
    <n v="2732"/>
    <n v="52"/>
    <x v="1"/>
    <x v="8"/>
    <x v="3"/>
    <n v="33"/>
    <x v="48"/>
    <x v="2"/>
    <s v="Red"/>
    <x v="2"/>
    <n v="2.5"/>
    <x v="1"/>
    <x v="4"/>
    <x v="1"/>
    <x v="1"/>
    <n v="44"/>
    <x v="4"/>
    <x v="3"/>
  </r>
  <r>
    <n v="2733"/>
    <n v="21"/>
    <x v="1"/>
    <x v="20"/>
    <x v="0"/>
    <n v="75"/>
    <x v="12"/>
    <x v="0"/>
    <s v="Orange"/>
    <x v="0"/>
    <n v="4.2"/>
    <x v="1"/>
    <x v="5"/>
    <x v="1"/>
    <x v="1"/>
    <n v="27"/>
    <x v="5"/>
    <x v="6"/>
  </r>
  <r>
    <n v="2734"/>
    <n v="31"/>
    <x v="1"/>
    <x v="21"/>
    <x v="3"/>
    <n v="83"/>
    <x v="17"/>
    <x v="2"/>
    <s v="Magenta"/>
    <x v="2"/>
    <n v="4.7"/>
    <x v="1"/>
    <x v="0"/>
    <x v="1"/>
    <x v="1"/>
    <n v="46"/>
    <x v="3"/>
    <x v="2"/>
  </r>
  <r>
    <n v="2735"/>
    <n v="63"/>
    <x v="1"/>
    <x v="2"/>
    <x v="0"/>
    <n v="93"/>
    <x v="14"/>
    <x v="3"/>
    <s v="Yellow"/>
    <x v="2"/>
    <n v="2.7"/>
    <x v="1"/>
    <x v="4"/>
    <x v="1"/>
    <x v="1"/>
    <n v="13"/>
    <x v="1"/>
    <x v="4"/>
  </r>
  <r>
    <n v="2736"/>
    <n v="46"/>
    <x v="1"/>
    <x v="11"/>
    <x v="0"/>
    <n v="29"/>
    <x v="18"/>
    <x v="2"/>
    <s v="Yellow"/>
    <x v="1"/>
    <n v="3"/>
    <x v="1"/>
    <x v="0"/>
    <x v="1"/>
    <x v="1"/>
    <n v="2"/>
    <x v="3"/>
    <x v="4"/>
  </r>
  <r>
    <n v="2737"/>
    <n v="44"/>
    <x v="1"/>
    <x v="15"/>
    <x v="0"/>
    <n v="25"/>
    <x v="6"/>
    <x v="2"/>
    <s v="Pink"/>
    <x v="1"/>
    <n v="4.8"/>
    <x v="1"/>
    <x v="5"/>
    <x v="1"/>
    <x v="1"/>
    <n v="45"/>
    <x v="2"/>
    <x v="2"/>
  </r>
  <r>
    <n v="2738"/>
    <n v="57"/>
    <x v="1"/>
    <x v="16"/>
    <x v="3"/>
    <n v="76"/>
    <x v="17"/>
    <x v="1"/>
    <s v="Indigo"/>
    <x v="1"/>
    <n v="4.4000000000000004"/>
    <x v="1"/>
    <x v="1"/>
    <x v="1"/>
    <x v="1"/>
    <n v="35"/>
    <x v="1"/>
    <x v="6"/>
  </r>
  <r>
    <n v="2739"/>
    <n v="50"/>
    <x v="1"/>
    <x v="4"/>
    <x v="1"/>
    <n v="81"/>
    <x v="31"/>
    <x v="2"/>
    <s v="Charcoal"/>
    <x v="2"/>
    <n v="4.3"/>
    <x v="1"/>
    <x v="4"/>
    <x v="1"/>
    <x v="1"/>
    <n v="39"/>
    <x v="0"/>
    <x v="6"/>
  </r>
  <r>
    <n v="2740"/>
    <n v="33"/>
    <x v="1"/>
    <x v="5"/>
    <x v="0"/>
    <n v="80"/>
    <x v="29"/>
    <x v="3"/>
    <s v="Blue"/>
    <x v="0"/>
    <n v="2.5"/>
    <x v="1"/>
    <x v="5"/>
    <x v="1"/>
    <x v="1"/>
    <n v="39"/>
    <x v="2"/>
    <x v="6"/>
  </r>
  <r>
    <n v="2741"/>
    <n v="19"/>
    <x v="1"/>
    <x v="12"/>
    <x v="3"/>
    <n v="70"/>
    <x v="38"/>
    <x v="2"/>
    <s v="Lavender"/>
    <x v="2"/>
    <n v="4.9000000000000004"/>
    <x v="1"/>
    <x v="1"/>
    <x v="1"/>
    <x v="1"/>
    <n v="34"/>
    <x v="4"/>
    <x v="0"/>
  </r>
  <r>
    <n v="2742"/>
    <n v="68"/>
    <x v="1"/>
    <x v="10"/>
    <x v="0"/>
    <n v="81"/>
    <x v="1"/>
    <x v="0"/>
    <s v="Yellow"/>
    <x v="3"/>
    <n v="4.9000000000000004"/>
    <x v="1"/>
    <x v="4"/>
    <x v="1"/>
    <x v="1"/>
    <n v="41"/>
    <x v="0"/>
    <x v="5"/>
  </r>
  <r>
    <n v="2743"/>
    <n v="27"/>
    <x v="1"/>
    <x v="9"/>
    <x v="1"/>
    <n v="86"/>
    <x v="21"/>
    <x v="2"/>
    <s v="Black"/>
    <x v="1"/>
    <n v="3.9"/>
    <x v="1"/>
    <x v="1"/>
    <x v="1"/>
    <x v="1"/>
    <n v="47"/>
    <x v="5"/>
    <x v="2"/>
  </r>
  <r>
    <n v="2744"/>
    <n v="61"/>
    <x v="1"/>
    <x v="22"/>
    <x v="3"/>
    <n v="94"/>
    <x v="32"/>
    <x v="1"/>
    <s v="Beige"/>
    <x v="3"/>
    <n v="4.0999999999999996"/>
    <x v="1"/>
    <x v="4"/>
    <x v="1"/>
    <x v="1"/>
    <n v="17"/>
    <x v="0"/>
    <x v="3"/>
  </r>
  <r>
    <n v="2745"/>
    <n v="38"/>
    <x v="1"/>
    <x v="5"/>
    <x v="0"/>
    <n v="66"/>
    <x v="5"/>
    <x v="2"/>
    <s v="Silver"/>
    <x v="0"/>
    <n v="3.3"/>
    <x v="1"/>
    <x v="5"/>
    <x v="1"/>
    <x v="1"/>
    <n v="40"/>
    <x v="2"/>
    <x v="5"/>
  </r>
  <r>
    <n v="2746"/>
    <n v="28"/>
    <x v="1"/>
    <x v="23"/>
    <x v="1"/>
    <n v="98"/>
    <x v="49"/>
    <x v="2"/>
    <s v="Magenta"/>
    <x v="2"/>
    <n v="4.0999999999999996"/>
    <x v="1"/>
    <x v="3"/>
    <x v="1"/>
    <x v="1"/>
    <n v="44"/>
    <x v="3"/>
    <x v="4"/>
  </r>
  <r>
    <n v="2747"/>
    <n v="39"/>
    <x v="1"/>
    <x v="15"/>
    <x v="0"/>
    <n v="25"/>
    <x v="31"/>
    <x v="2"/>
    <s v="Orange"/>
    <x v="3"/>
    <n v="3.7"/>
    <x v="1"/>
    <x v="3"/>
    <x v="1"/>
    <x v="1"/>
    <n v="21"/>
    <x v="3"/>
    <x v="6"/>
  </r>
  <r>
    <n v="2748"/>
    <n v="18"/>
    <x v="1"/>
    <x v="2"/>
    <x v="0"/>
    <n v="62"/>
    <x v="8"/>
    <x v="2"/>
    <s v="Teal"/>
    <x v="0"/>
    <n v="3.1"/>
    <x v="1"/>
    <x v="1"/>
    <x v="1"/>
    <x v="1"/>
    <n v="21"/>
    <x v="2"/>
    <x v="6"/>
  </r>
  <r>
    <n v="2749"/>
    <n v="24"/>
    <x v="1"/>
    <x v="14"/>
    <x v="2"/>
    <n v="98"/>
    <x v="41"/>
    <x v="0"/>
    <s v="Turquoise"/>
    <x v="1"/>
    <n v="3"/>
    <x v="1"/>
    <x v="1"/>
    <x v="1"/>
    <x v="1"/>
    <n v="16"/>
    <x v="0"/>
    <x v="2"/>
  </r>
  <r>
    <n v="2750"/>
    <n v="64"/>
    <x v="1"/>
    <x v="14"/>
    <x v="2"/>
    <n v="53"/>
    <x v="34"/>
    <x v="2"/>
    <s v="Cyan"/>
    <x v="1"/>
    <n v="3.4"/>
    <x v="1"/>
    <x v="3"/>
    <x v="1"/>
    <x v="1"/>
    <n v="15"/>
    <x v="4"/>
    <x v="2"/>
  </r>
  <r>
    <n v="2751"/>
    <n v="51"/>
    <x v="1"/>
    <x v="3"/>
    <x v="1"/>
    <n v="66"/>
    <x v="29"/>
    <x v="0"/>
    <s v="Pink"/>
    <x v="1"/>
    <n v="2.7"/>
    <x v="1"/>
    <x v="4"/>
    <x v="1"/>
    <x v="1"/>
    <n v="26"/>
    <x v="3"/>
    <x v="6"/>
  </r>
  <r>
    <n v="2752"/>
    <n v="27"/>
    <x v="1"/>
    <x v="10"/>
    <x v="0"/>
    <n v="52"/>
    <x v="46"/>
    <x v="1"/>
    <s v="Indigo"/>
    <x v="3"/>
    <n v="3.1"/>
    <x v="1"/>
    <x v="1"/>
    <x v="1"/>
    <x v="1"/>
    <n v="50"/>
    <x v="0"/>
    <x v="5"/>
  </r>
  <r>
    <n v="2753"/>
    <n v="48"/>
    <x v="1"/>
    <x v="1"/>
    <x v="0"/>
    <n v="64"/>
    <x v="24"/>
    <x v="1"/>
    <s v="Peach"/>
    <x v="0"/>
    <n v="4"/>
    <x v="1"/>
    <x v="1"/>
    <x v="1"/>
    <x v="1"/>
    <n v="30"/>
    <x v="0"/>
    <x v="4"/>
  </r>
  <r>
    <n v="2754"/>
    <n v="69"/>
    <x v="1"/>
    <x v="24"/>
    <x v="3"/>
    <n v="59"/>
    <x v="3"/>
    <x v="2"/>
    <s v="Beige"/>
    <x v="1"/>
    <n v="3.6"/>
    <x v="1"/>
    <x v="2"/>
    <x v="1"/>
    <x v="1"/>
    <n v="48"/>
    <x v="3"/>
    <x v="3"/>
  </r>
  <r>
    <n v="2755"/>
    <n v="59"/>
    <x v="1"/>
    <x v="12"/>
    <x v="3"/>
    <n v="61"/>
    <x v="32"/>
    <x v="0"/>
    <s v="Gold"/>
    <x v="2"/>
    <n v="3.6"/>
    <x v="1"/>
    <x v="1"/>
    <x v="1"/>
    <x v="1"/>
    <n v="21"/>
    <x v="0"/>
    <x v="4"/>
  </r>
  <r>
    <n v="2756"/>
    <n v="59"/>
    <x v="1"/>
    <x v="22"/>
    <x v="3"/>
    <n v="97"/>
    <x v="22"/>
    <x v="2"/>
    <s v="Indigo"/>
    <x v="0"/>
    <n v="3.3"/>
    <x v="1"/>
    <x v="5"/>
    <x v="1"/>
    <x v="1"/>
    <n v="18"/>
    <x v="2"/>
    <x v="2"/>
  </r>
  <r>
    <n v="2757"/>
    <n v="42"/>
    <x v="1"/>
    <x v="19"/>
    <x v="3"/>
    <n v="23"/>
    <x v="46"/>
    <x v="0"/>
    <s v="Violet"/>
    <x v="0"/>
    <n v="4.0999999999999996"/>
    <x v="1"/>
    <x v="1"/>
    <x v="1"/>
    <x v="1"/>
    <n v="41"/>
    <x v="3"/>
    <x v="5"/>
  </r>
  <r>
    <n v="2758"/>
    <n v="39"/>
    <x v="1"/>
    <x v="19"/>
    <x v="3"/>
    <n v="98"/>
    <x v="12"/>
    <x v="3"/>
    <s v="Brown"/>
    <x v="3"/>
    <n v="4.3"/>
    <x v="1"/>
    <x v="2"/>
    <x v="1"/>
    <x v="1"/>
    <n v="11"/>
    <x v="0"/>
    <x v="5"/>
  </r>
  <r>
    <n v="2759"/>
    <n v="32"/>
    <x v="1"/>
    <x v="0"/>
    <x v="0"/>
    <n v="98"/>
    <x v="26"/>
    <x v="2"/>
    <s v="Purple"/>
    <x v="2"/>
    <n v="3.2"/>
    <x v="1"/>
    <x v="3"/>
    <x v="1"/>
    <x v="1"/>
    <n v="8"/>
    <x v="4"/>
    <x v="4"/>
  </r>
  <r>
    <n v="2760"/>
    <n v="68"/>
    <x v="1"/>
    <x v="9"/>
    <x v="1"/>
    <n v="59"/>
    <x v="47"/>
    <x v="2"/>
    <s v="Turquoise"/>
    <x v="2"/>
    <n v="3.9"/>
    <x v="1"/>
    <x v="1"/>
    <x v="1"/>
    <x v="1"/>
    <n v="42"/>
    <x v="1"/>
    <x v="6"/>
  </r>
  <r>
    <n v="2761"/>
    <n v="41"/>
    <x v="1"/>
    <x v="11"/>
    <x v="0"/>
    <n v="82"/>
    <x v="29"/>
    <x v="1"/>
    <s v="Violet"/>
    <x v="3"/>
    <n v="5"/>
    <x v="1"/>
    <x v="2"/>
    <x v="1"/>
    <x v="1"/>
    <n v="41"/>
    <x v="2"/>
    <x v="4"/>
  </r>
  <r>
    <n v="2762"/>
    <n v="31"/>
    <x v="1"/>
    <x v="4"/>
    <x v="1"/>
    <n v="82"/>
    <x v="49"/>
    <x v="2"/>
    <s v="Purple"/>
    <x v="3"/>
    <n v="3.4"/>
    <x v="1"/>
    <x v="2"/>
    <x v="1"/>
    <x v="1"/>
    <n v="3"/>
    <x v="2"/>
    <x v="6"/>
  </r>
  <r>
    <n v="2763"/>
    <n v="58"/>
    <x v="1"/>
    <x v="17"/>
    <x v="0"/>
    <n v="41"/>
    <x v="42"/>
    <x v="2"/>
    <s v="Charcoal"/>
    <x v="3"/>
    <n v="3.8"/>
    <x v="1"/>
    <x v="5"/>
    <x v="1"/>
    <x v="1"/>
    <n v="10"/>
    <x v="5"/>
    <x v="6"/>
  </r>
  <r>
    <n v="2764"/>
    <n v="28"/>
    <x v="1"/>
    <x v="8"/>
    <x v="3"/>
    <n v="52"/>
    <x v="8"/>
    <x v="2"/>
    <s v="Green"/>
    <x v="3"/>
    <n v="2.9"/>
    <x v="1"/>
    <x v="4"/>
    <x v="1"/>
    <x v="1"/>
    <n v="35"/>
    <x v="0"/>
    <x v="3"/>
  </r>
  <r>
    <n v="2765"/>
    <n v="63"/>
    <x v="1"/>
    <x v="1"/>
    <x v="0"/>
    <n v="41"/>
    <x v="28"/>
    <x v="3"/>
    <s v="White"/>
    <x v="1"/>
    <n v="2.6"/>
    <x v="1"/>
    <x v="2"/>
    <x v="1"/>
    <x v="1"/>
    <n v="2"/>
    <x v="5"/>
    <x v="1"/>
  </r>
  <r>
    <n v="2766"/>
    <n v="64"/>
    <x v="1"/>
    <x v="24"/>
    <x v="3"/>
    <n v="70"/>
    <x v="24"/>
    <x v="2"/>
    <s v="Purple"/>
    <x v="2"/>
    <n v="4.3"/>
    <x v="1"/>
    <x v="4"/>
    <x v="1"/>
    <x v="1"/>
    <n v="24"/>
    <x v="2"/>
    <x v="3"/>
  </r>
  <r>
    <n v="2767"/>
    <n v="66"/>
    <x v="1"/>
    <x v="10"/>
    <x v="0"/>
    <n v="91"/>
    <x v="30"/>
    <x v="2"/>
    <s v="Cyan"/>
    <x v="0"/>
    <n v="2.8"/>
    <x v="1"/>
    <x v="3"/>
    <x v="1"/>
    <x v="1"/>
    <n v="47"/>
    <x v="2"/>
    <x v="5"/>
  </r>
  <r>
    <n v="2768"/>
    <n v="31"/>
    <x v="1"/>
    <x v="10"/>
    <x v="0"/>
    <n v="95"/>
    <x v="44"/>
    <x v="2"/>
    <s v="Green"/>
    <x v="1"/>
    <n v="4.5"/>
    <x v="1"/>
    <x v="1"/>
    <x v="1"/>
    <x v="1"/>
    <n v="31"/>
    <x v="1"/>
    <x v="5"/>
  </r>
  <r>
    <n v="2769"/>
    <n v="55"/>
    <x v="1"/>
    <x v="0"/>
    <x v="0"/>
    <n v="25"/>
    <x v="23"/>
    <x v="2"/>
    <s v="Beige"/>
    <x v="1"/>
    <n v="3.8"/>
    <x v="1"/>
    <x v="4"/>
    <x v="1"/>
    <x v="1"/>
    <n v="28"/>
    <x v="3"/>
    <x v="4"/>
  </r>
  <r>
    <n v="2770"/>
    <n v="32"/>
    <x v="1"/>
    <x v="5"/>
    <x v="0"/>
    <n v="89"/>
    <x v="19"/>
    <x v="0"/>
    <s v="Lavender"/>
    <x v="3"/>
    <n v="3"/>
    <x v="1"/>
    <x v="3"/>
    <x v="1"/>
    <x v="1"/>
    <n v="13"/>
    <x v="1"/>
    <x v="1"/>
  </r>
  <r>
    <n v="2771"/>
    <n v="50"/>
    <x v="1"/>
    <x v="23"/>
    <x v="1"/>
    <n v="44"/>
    <x v="43"/>
    <x v="1"/>
    <s v="Blue"/>
    <x v="3"/>
    <n v="3.3"/>
    <x v="1"/>
    <x v="0"/>
    <x v="1"/>
    <x v="1"/>
    <n v="22"/>
    <x v="4"/>
    <x v="3"/>
  </r>
  <r>
    <n v="2772"/>
    <n v="58"/>
    <x v="1"/>
    <x v="14"/>
    <x v="2"/>
    <n v="52"/>
    <x v="33"/>
    <x v="1"/>
    <s v="Beige"/>
    <x v="2"/>
    <n v="3.1"/>
    <x v="1"/>
    <x v="4"/>
    <x v="1"/>
    <x v="1"/>
    <n v="12"/>
    <x v="4"/>
    <x v="0"/>
  </r>
  <r>
    <n v="2773"/>
    <n v="18"/>
    <x v="1"/>
    <x v="21"/>
    <x v="3"/>
    <n v="94"/>
    <x v="38"/>
    <x v="0"/>
    <s v="Blue"/>
    <x v="1"/>
    <n v="3.5"/>
    <x v="1"/>
    <x v="5"/>
    <x v="1"/>
    <x v="1"/>
    <n v="10"/>
    <x v="4"/>
    <x v="6"/>
  </r>
  <r>
    <n v="2774"/>
    <n v="39"/>
    <x v="1"/>
    <x v="13"/>
    <x v="0"/>
    <n v="98"/>
    <x v="28"/>
    <x v="1"/>
    <s v="Maroon"/>
    <x v="1"/>
    <n v="4.5999999999999996"/>
    <x v="1"/>
    <x v="0"/>
    <x v="1"/>
    <x v="1"/>
    <n v="45"/>
    <x v="4"/>
    <x v="3"/>
  </r>
  <r>
    <n v="2775"/>
    <n v="56"/>
    <x v="1"/>
    <x v="23"/>
    <x v="1"/>
    <n v="40"/>
    <x v="19"/>
    <x v="0"/>
    <s v="Yellow"/>
    <x v="3"/>
    <n v="4.0999999999999996"/>
    <x v="1"/>
    <x v="3"/>
    <x v="1"/>
    <x v="1"/>
    <n v="42"/>
    <x v="2"/>
    <x v="3"/>
  </r>
  <r>
    <n v="2776"/>
    <n v="37"/>
    <x v="1"/>
    <x v="20"/>
    <x v="0"/>
    <n v="25"/>
    <x v="6"/>
    <x v="0"/>
    <s v="Red"/>
    <x v="3"/>
    <n v="3.6"/>
    <x v="1"/>
    <x v="1"/>
    <x v="1"/>
    <x v="1"/>
    <n v="16"/>
    <x v="5"/>
    <x v="1"/>
  </r>
  <r>
    <n v="2777"/>
    <n v="46"/>
    <x v="1"/>
    <x v="18"/>
    <x v="3"/>
    <n v="62"/>
    <x v="5"/>
    <x v="0"/>
    <s v="Green"/>
    <x v="3"/>
    <n v="2.9"/>
    <x v="1"/>
    <x v="1"/>
    <x v="1"/>
    <x v="1"/>
    <n v="6"/>
    <x v="4"/>
    <x v="2"/>
  </r>
  <r>
    <n v="2778"/>
    <n v="52"/>
    <x v="1"/>
    <x v="0"/>
    <x v="0"/>
    <n v="24"/>
    <x v="37"/>
    <x v="2"/>
    <s v="Magenta"/>
    <x v="3"/>
    <n v="4.8"/>
    <x v="1"/>
    <x v="3"/>
    <x v="1"/>
    <x v="1"/>
    <n v="28"/>
    <x v="2"/>
    <x v="6"/>
  </r>
  <r>
    <n v="2779"/>
    <n v="70"/>
    <x v="1"/>
    <x v="22"/>
    <x v="3"/>
    <n v="57"/>
    <x v="38"/>
    <x v="0"/>
    <s v="Yellow"/>
    <x v="1"/>
    <n v="3.2"/>
    <x v="1"/>
    <x v="3"/>
    <x v="1"/>
    <x v="1"/>
    <n v="24"/>
    <x v="2"/>
    <x v="4"/>
  </r>
  <r>
    <n v="2780"/>
    <n v="61"/>
    <x v="1"/>
    <x v="12"/>
    <x v="3"/>
    <n v="66"/>
    <x v="6"/>
    <x v="0"/>
    <s v="Blue"/>
    <x v="0"/>
    <n v="4.3"/>
    <x v="1"/>
    <x v="0"/>
    <x v="1"/>
    <x v="1"/>
    <n v="14"/>
    <x v="2"/>
    <x v="0"/>
  </r>
  <r>
    <n v="2781"/>
    <n v="33"/>
    <x v="1"/>
    <x v="23"/>
    <x v="1"/>
    <n v="70"/>
    <x v="31"/>
    <x v="2"/>
    <s v="Charcoal"/>
    <x v="0"/>
    <n v="4.0999999999999996"/>
    <x v="1"/>
    <x v="2"/>
    <x v="1"/>
    <x v="1"/>
    <n v="29"/>
    <x v="3"/>
    <x v="0"/>
  </r>
  <r>
    <n v="2782"/>
    <n v="65"/>
    <x v="1"/>
    <x v="3"/>
    <x v="1"/>
    <n v="39"/>
    <x v="16"/>
    <x v="2"/>
    <s v="Blue"/>
    <x v="1"/>
    <n v="4.5999999999999996"/>
    <x v="1"/>
    <x v="3"/>
    <x v="1"/>
    <x v="1"/>
    <n v="33"/>
    <x v="3"/>
    <x v="1"/>
  </r>
  <r>
    <n v="2783"/>
    <n v="41"/>
    <x v="1"/>
    <x v="24"/>
    <x v="3"/>
    <n v="34"/>
    <x v="37"/>
    <x v="1"/>
    <s v="Cyan"/>
    <x v="1"/>
    <n v="3.8"/>
    <x v="1"/>
    <x v="1"/>
    <x v="1"/>
    <x v="1"/>
    <n v="30"/>
    <x v="3"/>
    <x v="2"/>
  </r>
  <r>
    <n v="2784"/>
    <n v="19"/>
    <x v="1"/>
    <x v="11"/>
    <x v="0"/>
    <n v="38"/>
    <x v="41"/>
    <x v="2"/>
    <s v="Silver"/>
    <x v="1"/>
    <n v="4.5"/>
    <x v="1"/>
    <x v="2"/>
    <x v="1"/>
    <x v="1"/>
    <n v="26"/>
    <x v="2"/>
    <x v="3"/>
  </r>
  <r>
    <n v="2785"/>
    <n v="33"/>
    <x v="1"/>
    <x v="11"/>
    <x v="0"/>
    <n v="70"/>
    <x v="37"/>
    <x v="2"/>
    <s v="Black"/>
    <x v="0"/>
    <n v="3.1"/>
    <x v="1"/>
    <x v="0"/>
    <x v="1"/>
    <x v="1"/>
    <n v="12"/>
    <x v="3"/>
    <x v="6"/>
  </r>
  <r>
    <n v="2786"/>
    <n v="53"/>
    <x v="1"/>
    <x v="0"/>
    <x v="0"/>
    <n v="80"/>
    <x v="7"/>
    <x v="1"/>
    <s v="Green"/>
    <x v="2"/>
    <n v="2.9"/>
    <x v="1"/>
    <x v="2"/>
    <x v="1"/>
    <x v="1"/>
    <n v="13"/>
    <x v="4"/>
    <x v="5"/>
  </r>
  <r>
    <n v="2787"/>
    <n v="54"/>
    <x v="1"/>
    <x v="8"/>
    <x v="3"/>
    <n v="51"/>
    <x v="24"/>
    <x v="2"/>
    <s v="Violet"/>
    <x v="1"/>
    <n v="3.8"/>
    <x v="1"/>
    <x v="2"/>
    <x v="1"/>
    <x v="1"/>
    <n v="41"/>
    <x v="5"/>
    <x v="6"/>
  </r>
  <r>
    <n v="2788"/>
    <n v="36"/>
    <x v="1"/>
    <x v="23"/>
    <x v="1"/>
    <n v="79"/>
    <x v="8"/>
    <x v="3"/>
    <s v="Pink"/>
    <x v="1"/>
    <n v="4.0999999999999996"/>
    <x v="1"/>
    <x v="2"/>
    <x v="1"/>
    <x v="1"/>
    <n v="4"/>
    <x v="0"/>
    <x v="0"/>
  </r>
  <r>
    <n v="2789"/>
    <n v="56"/>
    <x v="1"/>
    <x v="23"/>
    <x v="1"/>
    <n v="92"/>
    <x v="3"/>
    <x v="2"/>
    <s v="Olive"/>
    <x v="2"/>
    <n v="3.1"/>
    <x v="1"/>
    <x v="1"/>
    <x v="1"/>
    <x v="1"/>
    <n v="2"/>
    <x v="2"/>
    <x v="2"/>
  </r>
  <r>
    <n v="2790"/>
    <n v="28"/>
    <x v="1"/>
    <x v="1"/>
    <x v="0"/>
    <n v="85"/>
    <x v="17"/>
    <x v="0"/>
    <s v="Orange"/>
    <x v="3"/>
    <n v="5"/>
    <x v="1"/>
    <x v="0"/>
    <x v="1"/>
    <x v="1"/>
    <n v="28"/>
    <x v="2"/>
    <x v="4"/>
  </r>
  <r>
    <n v="2791"/>
    <n v="34"/>
    <x v="1"/>
    <x v="20"/>
    <x v="0"/>
    <n v="63"/>
    <x v="1"/>
    <x v="2"/>
    <s v="Black"/>
    <x v="1"/>
    <n v="4.5"/>
    <x v="1"/>
    <x v="1"/>
    <x v="1"/>
    <x v="1"/>
    <n v="24"/>
    <x v="5"/>
    <x v="2"/>
  </r>
  <r>
    <n v="2792"/>
    <n v="43"/>
    <x v="1"/>
    <x v="24"/>
    <x v="3"/>
    <n v="60"/>
    <x v="44"/>
    <x v="2"/>
    <s v="Yellow"/>
    <x v="3"/>
    <n v="2.8"/>
    <x v="1"/>
    <x v="0"/>
    <x v="1"/>
    <x v="1"/>
    <n v="14"/>
    <x v="0"/>
    <x v="0"/>
  </r>
  <r>
    <n v="2793"/>
    <n v="54"/>
    <x v="1"/>
    <x v="6"/>
    <x v="0"/>
    <n v="44"/>
    <x v="0"/>
    <x v="0"/>
    <s v="Violet"/>
    <x v="0"/>
    <n v="3.2"/>
    <x v="1"/>
    <x v="0"/>
    <x v="1"/>
    <x v="1"/>
    <n v="11"/>
    <x v="2"/>
    <x v="1"/>
  </r>
  <r>
    <n v="2794"/>
    <n v="37"/>
    <x v="1"/>
    <x v="23"/>
    <x v="1"/>
    <n v="57"/>
    <x v="2"/>
    <x v="2"/>
    <s v="Silver"/>
    <x v="1"/>
    <n v="3.1"/>
    <x v="1"/>
    <x v="3"/>
    <x v="1"/>
    <x v="1"/>
    <n v="27"/>
    <x v="5"/>
    <x v="4"/>
  </r>
  <r>
    <n v="2795"/>
    <n v="33"/>
    <x v="1"/>
    <x v="14"/>
    <x v="2"/>
    <n v="24"/>
    <x v="14"/>
    <x v="2"/>
    <s v="Gold"/>
    <x v="3"/>
    <n v="3.3"/>
    <x v="1"/>
    <x v="3"/>
    <x v="1"/>
    <x v="1"/>
    <n v="7"/>
    <x v="1"/>
    <x v="0"/>
  </r>
  <r>
    <n v="2796"/>
    <n v="33"/>
    <x v="1"/>
    <x v="18"/>
    <x v="3"/>
    <n v="35"/>
    <x v="43"/>
    <x v="2"/>
    <s v="Magenta"/>
    <x v="0"/>
    <n v="3.4"/>
    <x v="1"/>
    <x v="5"/>
    <x v="1"/>
    <x v="1"/>
    <n v="49"/>
    <x v="3"/>
    <x v="2"/>
  </r>
  <r>
    <n v="2797"/>
    <n v="55"/>
    <x v="1"/>
    <x v="14"/>
    <x v="2"/>
    <n v="73"/>
    <x v="19"/>
    <x v="2"/>
    <s v="Red"/>
    <x v="0"/>
    <n v="3.8"/>
    <x v="1"/>
    <x v="5"/>
    <x v="1"/>
    <x v="1"/>
    <n v="21"/>
    <x v="1"/>
    <x v="2"/>
  </r>
  <r>
    <n v="2798"/>
    <n v="63"/>
    <x v="1"/>
    <x v="16"/>
    <x v="3"/>
    <n v="42"/>
    <x v="19"/>
    <x v="2"/>
    <s v="Green"/>
    <x v="0"/>
    <n v="3.5"/>
    <x v="1"/>
    <x v="0"/>
    <x v="1"/>
    <x v="1"/>
    <n v="10"/>
    <x v="0"/>
    <x v="6"/>
  </r>
  <r>
    <n v="2799"/>
    <n v="52"/>
    <x v="1"/>
    <x v="15"/>
    <x v="0"/>
    <n v="20"/>
    <x v="3"/>
    <x v="3"/>
    <s v="Red"/>
    <x v="0"/>
    <n v="4.8"/>
    <x v="1"/>
    <x v="5"/>
    <x v="1"/>
    <x v="1"/>
    <n v="37"/>
    <x v="3"/>
    <x v="1"/>
  </r>
  <r>
    <n v="2800"/>
    <n v="23"/>
    <x v="1"/>
    <x v="17"/>
    <x v="0"/>
    <n v="89"/>
    <x v="1"/>
    <x v="0"/>
    <s v="Pink"/>
    <x v="1"/>
    <n v="3.9"/>
    <x v="1"/>
    <x v="1"/>
    <x v="1"/>
    <x v="1"/>
    <n v="9"/>
    <x v="4"/>
    <x v="6"/>
  </r>
  <r>
    <n v="2801"/>
    <n v="70"/>
    <x v="1"/>
    <x v="5"/>
    <x v="0"/>
    <n v="76"/>
    <x v="10"/>
    <x v="0"/>
    <s v="Violet"/>
    <x v="3"/>
    <n v="3.4"/>
    <x v="1"/>
    <x v="1"/>
    <x v="1"/>
    <x v="1"/>
    <n v="14"/>
    <x v="1"/>
    <x v="4"/>
  </r>
  <r>
    <n v="2802"/>
    <n v="64"/>
    <x v="1"/>
    <x v="5"/>
    <x v="0"/>
    <n v="56"/>
    <x v="35"/>
    <x v="2"/>
    <s v="Indigo"/>
    <x v="0"/>
    <n v="2.6"/>
    <x v="1"/>
    <x v="0"/>
    <x v="1"/>
    <x v="1"/>
    <n v="30"/>
    <x v="3"/>
    <x v="2"/>
  </r>
  <r>
    <n v="2803"/>
    <n v="22"/>
    <x v="1"/>
    <x v="7"/>
    <x v="2"/>
    <n v="100"/>
    <x v="11"/>
    <x v="0"/>
    <s v="Red"/>
    <x v="3"/>
    <n v="3.1"/>
    <x v="1"/>
    <x v="5"/>
    <x v="1"/>
    <x v="1"/>
    <n v="42"/>
    <x v="2"/>
    <x v="0"/>
  </r>
  <r>
    <n v="2804"/>
    <n v="46"/>
    <x v="1"/>
    <x v="17"/>
    <x v="0"/>
    <n v="44"/>
    <x v="37"/>
    <x v="2"/>
    <s v="Violet"/>
    <x v="0"/>
    <n v="3.3"/>
    <x v="1"/>
    <x v="1"/>
    <x v="1"/>
    <x v="1"/>
    <n v="31"/>
    <x v="4"/>
    <x v="5"/>
  </r>
  <r>
    <n v="2805"/>
    <n v="65"/>
    <x v="1"/>
    <x v="15"/>
    <x v="0"/>
    <n v="76"/>
    <x v="36"/>
    <x v="2"/>
    <s v="Cyan"/>
    <x v="1"/>
    <n v="2.8"/>
    <x v="1"/>
    <x v="3"/>
    <x v="1"/>
    <x v="1"/>
    <n v="48"/>
    <x v="4"/>
    <x v="6"/>
  </r>
  <r>
    <n v="2806"/>
    <n v="18"/>
    <x v="1"/>
    <x v="12"/>
    <x v="3"/>
    <n v="97"/>
    <x v="22"/>
    <x v="1"/>
    <s v="Black"/>
    <x v="3"/>
    <n v="4.3"/>
    <x v="1"/>
    <x v="3"/>
    <x v="1"/>
    <x v="1"/>
    <n v="48"/>
    <x v="1"/>
    <x v="3"/>
  </r>
  <r>
    <n v="2807"/>
    <n v="45"/>
    <x v="1"/>
    <x v="0"/>
    <x v="0"/>
    <n v="39"/>
    <x v="36"/>
    <x v="0"/>
    <s v="Purple"/>
    <x v="1"/>
    <n v="2.7"/>
    <x v="1"/>
    <x v="3"/>
    <x v="1"/>
    <x v="1"/>
    <n v="50"/>
    <x v="2"/>
    <x v="2"/>
  </r>
  <r>
    <n v="2808"/>
    <n v="56"/>
    <x v="1"/>
    <x v="15"/>
    <x v="0"/>
    <n v="100"/>
    <x v="33"/>
    <x v="2"/>
    <s v="Charcoal"/>
    <x v="1"/>
    <n v="4.4000000000000004"/>
    <x v="1"/>
    <x v="4"/>
    <x v="1"/>
    <x v="1"/>
    <n v="10"/>
    <x v="5"/>
    <x v="0"/>
  </r>
  <r>
    <n v="2809"/>
    <n v="49"/>
    <x v="1"/>
    <x v="11"/>
    <x v="0"/>
    <n v="62"/>
    <x v="30"/>
    <x v="2"/>
    <s v="Beige"/>
    <x v="1"/>
    <n v="3.9"/>
    <x v="1"/>
    <x v="1"/>
    <x v="1"/>
    <x v="1"/>
    <n v="45"/>
    <x v="3"/>
    <x v="6"/>
  </r>
  <r>
    <n v="2810"/>
    <n v="66"/>
    <x v="1"/>
    <x v="6"/>
    <x v="0"/>
    <n v="98"/>
    <x v="10"/>
    <x v="3"/>
    <s v="Teal"/>
    <x v="2"/>
    <n v="3"/>
    <x v="1"/>
    <x v="3"/>
    <x v="1"/>
    <x v="1"/>
    <n v="27"/>
    <x v="5"/>
    <x v="3"/>
  </r>
  <r>
    <n v="2811"/>
    <n v="27"/>
    <x v="1"/>
    <x v="2"/>
    <x v="0"/>
    <n v="31"/>
    <x v="28"/>
    <x v="2"/>
    <s v="Purple"/>
    <x v="2"/>
    <n v="4"/>
    <x v="1"/>
    <x v="3"/>
    <x v="1"/>
    <x v="1"/>
    <n v="10"/>
    <x v="5"/>
    <x v="0"/>
  </r>
  <r>
    <n v="2812"/>
    <n v="69"/>
    <x v="1"/>
    <x v="14"/>
    <x v="2"/>
    <n v="89"/>
    <x v="31"/>
    <x v="2"/>
    <s v="Blue"/>
    <x v="3"/>
    <n v="3.7"/>
    <x v="1"/>
    <x v="5"/>
    <x v="1"/>
    <x v="1"/>
    <n v="19"/>
    <x v="2"/>
    <x v="3"/>
  </r>
  <r>
    <n v="2813"/>
    <n v="66"/>
    <x v="1"/>
    <x v="15"/>
    <x v="0"/>
    <n v="91"/>
    <x v="25"/>
    <x v="3"/>
    <s v="Magenta"/>
    <x v="3"/>
    <n v="3.8"/>
    <x v="1"/>
    <x v="5"/>
    <x v="1"/>
    <x v="1"/>
    <n v="1"/>
    <x v="2"/>
    <x v="6"/>
  </r>
  <r>
    <n v="2814"/>
    <n v="45"/>
    <x v="1"/>
    <x v="5"/>
    <x v="0"/>
    <n v="50"/>
    <x v="34"/>
    <x v="1"/>
    <s v="Maroon"/>
    <x v="2"/>
    <n v="3.3"/>
    <x v="1"/>
    <x v="4"/>
    <x v="1"/>
    <x v="1"/>
    <n v="39"/>
    <x v="5"/>
    <x v="3"/>
  </r>
  <r>
    <n v="2815"/>
    <n v="31"/>
    <x v="1"/>
    <x v="17"/>
    <x v="0"/>
    <n v="32"/>
    <x v="46"/>
    <x v="0"/>
    <s v="Gold"/>
    <x v="0"/>
    <n v="3.6"/>
    <x v="1"/>
    <x v="3"/>
    <x v="1"/>
    <x v="1"/>
    <n v="14"/>
    <x v="4"/>
    <x v="5"/>
  </r>
  <r>
    <n v="2816"/>
    <n v="33"/>
    <x v="1"/>
    <x v="0"/>
    <x v="0"/>
    <n v="67"/>
    <x v="37"/>
    <x v="0"/>
    <s v="Black"/>
    <x v="3"/>
    <n v="3.9"/>
    <x v="1"/>
    <x v="1"/>
    <x v="1"/>
    <x v="1"/>
    <n v="40"/>
    <x v="0"/>
    <x v="6"/>
  </r>
  <r>
    <n v="2817"/>
    <n v="43"/>
    <x v="1"/>
    <x v="11"/>
    <x v="0"/>
    <n v="28"/>
    <x v="33"/>
    <x v="2"/>
    <s v="Black"/>
    <x v="1"/>
    <n v="3.5"/>
    <x v="1"/>
    <x v="1"/>
    <x v="1"/>
    <x v="1"/>
    <n v="45"/>
    <x v="0"/>
    <x v="1"/>
  </r>
  <r>
    <n v="2818"/>
    <n v="25"/>
    <x v="1"/>
    <x v="21"/>
    <x v="3"/>
    <n v="65"/>
    <x v="36"/>
    <x v="3"/>
    <s v="Yellow"/>
    <x v="0"/>
    <n v="3.4"/>
    <x v="1"/>
    <x v="3"/>
    <x v="1"/>
    <x v="1"/>
    <n v="6"/>
    <x v="0"/>
    <x v="1"/>
  </r>
  <r>
    <n v="2819"/>
    <n v="46"/>
    <x v="1"/>
    <x v="6"/>
    <x v="0"/>
    <n v="73"/>
    <x v="18"/>
    <x v="2"/>
    <s v="Turquoise"/>
    <x v="3"/>
    <n v="4.7"/>
    <x v="1"/>
    <x v="2"/>
    <x v="1"/>
    <x v="1"/>
    <n v="12"/>
    <x v="5"/>
    <x v="2"/>
  </r>
  <r>
    <n v="2820"/>
    <n v="67"/>
    <x v="1"/>
    <x v="5"/>
    <x v="0"/>
    <n v="27"/>
    <x v="42"/>
    <x v="0"/>
    <s v="Lavender"/>
    <x v="1"/>
    <n v="3"/>
    <x v="1"/>
    <x v="1"/>
    <x v="1"/>
    <x v="1"/>
    <n v="19"/>
    <x v="1"/>
    <x v="5"/>
  </r>
  <r>
    <n v="2821"/>
    <n v="26"/>
    <x v="1"/>
    <x v="21"/>
    <x v="3"/>
    <n v="89"/>
    <x v="34"/>
    <x v="0"/>
    <s v="Yellow"/>
    <x v="2"/>
    <n v="3.9"/>
    <x v="1"/>
    <x v="1"/>
    <x v="1"/>
    <x v="1"/>
    <n v="5"/>
    <x v="1"/>
    <x v="4"/>
  </r>
  <r>
    <n v="2822"/>
    <n v="35"/>
    <x v="1"/>
    <x v="9"/>
    <x v="1"/>
    <n v="72"/>
    <x v="42"/>
    <x v="0"/>
    <s v="Olive"/>
    <x v="2"/>
    <n v="4.5"/>
    <x v="1"/>
    <x v="3"/>
    <x v="1"/>
    <x v="1"/>
    <n v="37"/>
    <x v="0"/>
    <x v="5"/>
  </r>
  <r>
    <n v="2823"/>
    <n v="61"/>
    <x v="1"/>
    <x v="11"/>
    <x v="0"/>
    <n v="37"/>
    <x v="32"/>
    <x v="1"/>
    <s v="Brown"/>
    <x v="3"/>
    <n v="4.0999999999999996"/>
    <x v="1"/>
    <x v="3"/>
    <x v="1"/>
    <x v="1"/>
    <n v="33"/>
    <x v="3"/>
    <x v="3"/>
  </r>
  <r>
    <n v="2824"/>
    <n v="26"/>
    <x v="1"/>
    <x v="10"/>
    <x v="0"/>
    <n v="63"/>
    <x v="40"/>
    <x v="2"/>
    <s v="Olive"/>
    <x v="2"/>
    <n v="4.5"/>
    <x v="1"/>
    <x v="3"/>
    <x v="1"/>
    <x v="1"/>
    <n v="47"/>
    <x v="5"/>
    <x v="4"/>
  </r>
  <r>
    <n v="2825"/>
    <n v="39"/>
    <x v="1"/>
    <x v="19"/>
    <x v="3"/>
    <n v="90"/>
    <x v="40"/>
    <x v="2"/>
    <s v="Purple"/>
    <x v="3"/>
    <n v="4"/>
    <x v="1"/>
    <x v="1"/>
    <x v="1"/>
    <x v="1"/>
    <n v="49"/>
    <x v="5"/>
    <x v="3"/>
  </r>
  <r>
    <n v="2826"/>
    <n v="69"/>
    <x v="1"/>
    <x v="8"/>
    <x v="3"/>
    <n v="62"/>
    <x v="17"/>
    <x v="2"/>
    <s v="Yellow"/>
    <x v="0"/>
    <n v="4.3"/>
    <x v="1"/>
    <x v="4"/>
    <x v="1"/>
    <x v="1"/>
    <n v="28"/>
    <x v="4"/>
    <x v="2"/>
  </r>
  <r>
    <n v="2827"/>
    <n v="32"/>
    <x v="1"/>
    <x v="8"/>
    <x v="3"/>
    <n v="43"/>
    <x v="20"/>
    <x v="0"/>
    <s v="Brown"/>
    <x v="3"/>
    <n v="3.6"/>
    <x v="1"/>
    <x v="0"/>
    <x v="1"/>
    <x v="1"/>
    <n v="23"/>
    <x v="0"/>
    <x v="2"/>
  </r>
  <r>
    <n v="2828"/>
    <n v="20"/>
    <x v="1"/>
    <x v="0"/>
    <x v="0"/>
    <n v="96"/>
    <x v="48"/>
    <x v="2"/>
    <s v="Magenta"/>
    <x v="3"/>
    <n v="3.1"/>
    <x v="1"/>
    <x v="2"/>
    <x v="1"/>
    <x v="1"/>
    <n v="11"/>
    <x v="4"/>
    <x v="4"/>
  </r>
  <r>
    <n v="2829"/>
    <n v="25"/>
    <x v="1"/>
    <x v="18"/>
    <x v="3"/>
    <n v="83"/>
    <x v="30"/>
    <x v="0"/>
    <s v="Lavender"/>
    <x v="3"/>
    <n v="2.6"/>
    <x v="1"/>
    <x v="3"/>
    <x v="1"/>
    <x v="1"/>
    <n v="33"/>
    <x v="3"/>
    <x v="3"/>
  </r>
  <r>
    <n v="2830"/>
    <n v="56"/>
    <x v="1"/>
    <x v="16"/>
    <x v="3"/>
    <n v="67"/>
    <x v="28"/>
    <x v="3"/>
    <s v="Teal"/>
    <x v="3"/>
    <n v="3.4"/>
    <x v="1"/>
    <x v="2"/>
    <x v="1"/>
    <x v="1"/>
    <n v="47"/>
    <x v="1"/>
    <x v="1"/>
  </r>
  <r>
    <n v="2831"/>
    <n v="63"/>
    <x v="1"/>
    <x v="11"/>
    <x v="0"/>
    <n v="90"/>
    <x v="4"/>
    <x v="0"/>
    <s v="Cyan"/>
    <x v="1"/>
    <n v="2.9"/>
    <x v="1"/>
    <x v="5"/>
    <x v="1"/>
    <x v="1"/>
    <n v="13"/>
    <x v="0"/>
    <x v="6"/>
  </r>
  <r>
    <n v="2832"/>
    <n v="34"/>
    <x v="1"/>
    <x v="15"/>
    <x v="0"/>
    <n v="53"/>
    <x v="41"/>
    <x v="0"/>
    <s v="Pink"/>
    <x v="0"/>
    <n v="5"/>
    <x v="1"/>
    <x v="0"/>
    <x v="1"/>
    <x v="1"/>
    <n v="4"/>
    <x v="2"/>
    <x v="1"/>
  </r>
  <r>
    <n v="2833"/>
    <n v="29"/>
    <x v="1"/>
    <x v="18"/>
    <x v="3"/>
    <n v="37"/>
    <x v="33"/>
    <x v="2"/>
    <s v="Magenta"/>
    <x v="2"/>
    <n v="4.5999999999999996"/>
    <x v="1"/>
    <x v="3"/>
    <x v="1"/>
    <x v="1"/>
    <n v="40"/>
    <x v="3"/>
    <x v="3"/>
  </r>
  <r>
    <n v="2834"/>
    <n v="43"/>
    <x v="1"/>
    <x v="2"/>
    <x v="0"/>
    <n v="56"/>
    <x v="10"/>
    <x v="2"/>
    <s v="Teal"/>
    <x v="3"/>
    <n v="3.3"/>
    <x v="1"/>
    <x v="1"/>
    <x v="1"/>
    <x v="1"/>
    <n v="19"/>
    <x v="1"/>
    <x v="5"/>
  </r>
  <r>
    <n v="2835"/>
    <n v="39"/>
    <x v="1"/>
    <x v="14"/>
    <x v="2"/>
    <n v="43"/>
    <x v="21"/>
    <x v="2"/>
    <s v="Indigo"/>
    <x v="3"/>
    <n v="2.9"/>
    <x v="1"/>
    <x v="4"/>
    <x v="1"/>
    <x v="1"/>
    <n v="17"/>
    <x v="2"/>
    <x v="1"/>
  </r>
  <r>
    <n v="2836"/>
    <n v="33"/>
    <x v="1"/>
    <x v="17"/>
    <x v="0"/>
    <n v="84"/>
    <x v="34"/>
    <x v="1"/>
    <s v="Pink"/>
    <x v="0"/>
    <n v="4.9000000000000004"/>
    <x v="1"/>
    <x v="1"/>
    <x v="1"/>
    <x v="1"/>
    <n v="7"/>
    <x v="0"/>
    <x v="2"/>
  </r>
  <r>
    <n v="2837"/>
    <n v="51"/>
    <x v="1"/>
    <x v="13"/>
    <x v="0"/>
    <n v="50"/>
    <x v="5"/>
    <x v="2"/>
    <s v="Charcoal"/>
    <x v="0"/>
    <n v="5"/>
    <x v="1"/>
    <x v="4"/>
    <x v="1"/>
    <x v="1"/>
    <n v="21"/>
    <x v="1"/>
    <x v="4"/>
  </r>
  <r>
    <n v="2838"/>
    <n v="65"/>
    <x v="1"/>
    <x v="9"/>
    <x v="1"/>
    <n v="88"/>
    <x v="15"/>
    <x v="2"/>
    <s v="Brown"/>
    <x v="2"/>
    <n v="4.5"/>
    <x v="1"/>
    <x v="0"/>
    <x v="1"/>
    <x v="1"/>
    <n v="44"/>
    <x v="3"/>
    <x v="1"/>
  </r>
  <r>
    <n v="2839"/>
    <n v="51"/>
    <x v="1"/>
    <x v="14"/>
    <x v="2"/>
    <n v="50"/>
    <x v="1"/>
    <x v="2"/>
    <s v="Blue"/>
    <x v="3"/>
    <n v="3.7"/>
    <x v="1"/>
    <x v="1"/>
    <x v="1"/>
    <x v="1"/>
    <n v="2"/>
    <x v="4"/>
    <x v="1"/>
  </r>
  <r>
    <n v="2840"/>
    <n v="70"/>
    <x v="1"/>
    <x v="18"/>
    <x v="3"/>
    <n v="80"/>
    <x v="45"/>
    <x v="0"/>
    <s v="Teal"/>
    <x v="2"/>
    <n v="2.8"/>
    <x v="1"/>
    <x v="5"/>
    <x v="1"/>
    <x v="1"/>
    <n v="30"/>
    <x v="4"/>
    <x v="5"/>
  </r>
  <r>
    <n v="2841"/>
    <n v="40"/>
    <x v="1"/>
    <x v="17"/>
    <x v="0"/>
    <n v="47"/>
    <x v="8"/>
    <x v="0"/>
    <s v="Pink"/>
    <x v="1"/>
    <n v="3.5"/>
    <x v="1"/>
    <x v="5"/>
    <x v="1"/>
    <x v="1"/>
    <n v="41"/>
    <x v="1"/>
    <x v="2"/>
  </r>
  <r>
    <n v="2842"/>
    <n v="19"/>
    <x v="1"/>
    <x v="10"/>
    <x v="0"/>
    <n v="33"/>
    <x v="31"/>
    <x v="3"/>
    <s v="Magenta"/>
    <x v="0"/>
    <n v="3"/>
    <x v="1"/>
    <x v="4"/>
    <x v="1"/>
    <x v="1"/>
    <n v="31"/>
    <x v="1"/>
    <x v="1"/>
  </r>
  <r>
    <n v="2843"/>
    <n v="28"/>
    <x v="1"/>
    <x v="7"/>
    <x v="2"/>
    <n v="100"/>
    <x v="28"/>
    <x v="0"/>
    <s v="Green"/>
    <x v="3"/>
    <n v="4.3"/>
    <x v="1"/>
    <x v="3"/>
    <x v="1"/>
    <x v="1"/>
    <n v="48"/>
    <x v="5"/>
    <x v="3"/>
  </r>
  <r>
    <n v="2844"/>
    <n v="51"/>
    <x v="1"/>
    <x v="1"/>
    <x v="0"/>
    <n v="26"/>
    <x v="31"/>
    <x v="2"/>
    <s v="White"/>
    <x v="2"/>
    <n v="3.6"/>
    <x v="1"/>
    <x v="5"/>
    <x v="1"/>
    <x v="1"/>
    <n v="41"/>
    <x v="0"/>
    <x v="1"/>
  </r>
  <r>
    <n v="2845"/>
    <n v="32"/>
    <x v="1"/>
    <x v="19"/>
    <x v="3"/>
    <n v="79"/>
    <x v="35"/>
    <x v="2"/>
    <s v="Indigo"/>
    <x v="2"/>
    <n v="4.4000000000000004"/>
    <x v="1"/>
    <x v="3"/>
    <x v="1"/>
    <x v="1"/>
    <n v="42"/>
    <x v="0"/>
    <x v="2"/>
  </r>
  <r>
    <n v="2846"/>
    <n v="26"/>
    <x v="1"/>
    <x v="21"/>
    <x v="3"/>
    <n v="77"/>
    <x v="45"/>
    <x v="0"/>
    <s v="Lavender"/>
    <x v="2"/>
    <n v="4.0999999999999996"/>
    <x v="1"/>
    <x v="0"/>
    <x v="1"/>
    <x v="1"/>
    <n v="39"/>
    <x v="5"/>
    <x v="6"/>
  </r>
  <r>
    <n v="2847"/>
    <n v="50"/>
    <x v="1"/>
    <x v="20"/>
    <x v="0"/>
    <n v="36"/>
    <x v="19"/>
    <x v="3"/>
    <s v="Black"/>
    <x v="3"/>
    <n v="2.8"/>
    <x v="1"/>
    <x v="2"/>
    <x v="1"/>
    <x v="1"/>
    <n v="15"/>
    <x v="3"/>
    <x v="4"/>
  </r>
  <r>
    <n v="2848"/>
    <n v="68"/>
    <x v="1"/>
    <x v="16"/>
    <x v="3"/>
    <n v="21"/>
    <x v="39"/>
    <x v="0"/>
    <s v="Charcoal"/>
    <x v="0"/>
    <n v="2.8"/>
    <x v="1"/>
    <x v="1"/>
    <x v="1"/>
    <x v="1"/>
    <n v="3"/>
    <x v="3"/>
    <x v="6"/>
  </r>
  <r>
    <n v="2849"/>
    <n v="33"/>
    <x v="1"/>
    <x v="23"/>
    <x v="1"/>
    <n v="72"/>
    <x v="48"/>
    <x v="0"/>
    <s v="Gray"/>
    <x v="3"/>
    <n v="4.9000000000000004"/>
    <x v="1"/>
    <x v="5"/>
    <x v="1"/>
    <x v="1"/>
    <n v="28"/>
    <x v="4"/>
    <x v="3"/>
  </r>
  <r>
    <n v="2850"/>
    <n v="56"/>
    <x v="1"/>
    <x v="7"/>
    <x v="2"/>
    <n v="25"/>
    <x v="13"/>
    <x v="2"/>
    <s v="Gold"/>
    <x v="1"/>
    <n v="4.0999999999999996"/>
    <x v="1"/>
    <x v="0"/>
    <x v="1"/>
    <x v="1"/>
    <n v="27"/>
    <x v="3"/>
    <x v="4"/>
  </r>
  <r>
    <n v="2851"/>
    <n v="57"/>
    <x v="1"/>
    <x v="1"/>
    <x v="0"/>
    <n v="79"/>
    <x v="43"/>
    <x v="2"/>
    <s v="Silver"/>
    <x v="1"/>
    <n v="3"/>
    <x v="1"/>
    <x v="5"/>
    <x v="1"/>
    <x v="1"/>
    <n v="36"/>
    <x v="5"/>
    <x v="2"/>
  </r>
  <r>
    <n v="2852"/>
    <n v="58"/>
    <x v="1"/>
    <x v="0"/>
    <x v="0"/>
    <n v="73"/>
    <x v="22"/>
    <x v="0"/>
    <s v="Teal"/>
    <x v="2"/>
    <n v="3"/>
    <x v="1"/>
    <x v="5"/>
    <x v="1"/>
    <x v="1"/>
    <n v="42"/>
    <x v="5"/>
    <x v="5"/>
  </r>
  <r>
    <n v="2853"/>
    <n v="40"/>
    <x v="1"/>
    <x v="22"/>
    <x v="3"/>
    <n v="71"/>
    <x v="14"/>
    <x v="2"/>
    <s v="Magenta"/>
    <x v="1"/>
    <n v="3"/>
    <x v="1"/>
    <x v="5"/>
    <x v="1"/>
    <x v="1"/>
    <n v="30"/>
    <x v="0"/>
    <x v="1"/>
  </r>
  <r>
    <n v="2854"/>
    <n v="37"/>
    <x v="1"/>
    <x v="19"/>
    <x v="3"/>
    <n v="48"/>
    <x v="38"/>
    <x v="2"/>
    <s v="Magenta"/>
    <x v="0"/>
    <n v="3.2"/>
    <x v="1"/>
    <x v="2"/>
    <x v="1"/>
    <x v="1"/>
    <n v="9"/>
    <x v="3"/>
    <x v="1"/>
  </r>
  <r>
    <n v="2855"/>
    <n v="36"/>
    <x v="1"/>
    <x v="3"/>
    <x v="1"/>
    <n v="28"/>
    <x v="12"/>
    <x v="2"/>
    <s v="Beige"/>
    <x v="3"/>
    <n v="2.7"/>
    <x v="1"/>
    <x v="5"/>
    <x v="1"/>
    <x v="1"/>
    <n v="25"/>
    <x v="0"/>
    <x v="5"/>
  </r>
  <r>
    <n v="2856"/>
    <n v="29"/>
    <x v="1"/>
    <x v="23"/>
    <x v="1"/>
    <n v="95"/>
    <x v="16"/>
    <x v="1"/>
    <s v="Maroon"/>
    <x v="0"/>
    <n v="3.8"/>
    <x v="1"/>
    <x v="4"/>
    <x v="1"/>
    <x v="1"/>
    <n v="33"/>
    <x v="3"/>
    <x v="3"/>
  </r>
  <r>
    <n v="2857"/>
    <n v="65"/>
    <x v="1"/>
    <x v="14"/>
    <x v="2"/>
    <n v="48"/>
    <x v="44"/>
    <x v="2"/>
    <s v="Indigo"/>
    <x v="0"/>
    <n v="3.5"/>
    <x v="1"/>
    <x v="4"/>
    <x v="1"/>
    <x v="1"/>
    <n v="31"/>
    <x v="2"/>
    <x v="5"/>
  </r>
  <r>
    <n v="2858"/>
    <n v="44"/>
    <x v="1"/>
    <x v="10"/>
    <x v="0"/>
    <n v="93"/>
    <x v="40"/>
    <x v="1"/>
    <s v="Maroon"/>
    <x v="1"/>
    <n v="3.8"/>
    <x v="1"/>
    <x v="2"/>
    <x v="1"/>
    <x v="1"/>
    <n v="35"/>
    <x v="5"/>
    <x v="5"/>
  </r>
  <r>
    <n v="2859"/>
    <n v="34"/>
    <x v="1"/>
    <x v="2"/>
    <x v="0"/>
    <n v="87"/>
    <x v="33"/>
    <x v="0"/>
    <s v="Teal"/>
    <x v="2"/>
    <n v="3.8"/>
    <x v="1"/>
    <x v="4"/>
    <x v="1"/>
    <x v="1"/>
    <n v="46"/>
    <x v="4"/>
    <x v="5"/>
  </r>
  <r>
    <n v="2860"/>
    <n v="31"/>
    <x v="1"/>
    <x v="6"/>
    <x v="0"/>
    <n v="32"/>
    <x v="40"/>
    <x v="0"/>
    <s v="Yellow"/>
    <x v="3"/>
    <n v="3.4"/>
    <x v="1"/>
    <x v="0"/>
    <x v="1"/>
    <x v="1"/>
    <n v="29"/>
    <x v="4"/>
    <x v="2"/>
  </r>
  <r>
    <n v="2861"/>
    <n v="28"/>
    <x v="1"/>
    <x v="5"/>
    <x v="0"/>
    <n v="38"/>
    <x v="3"/>
    <x v="2"/>
    <s v="Gold"/>
    <x v="1"/>
    <n v="2.9"/>
    <x v="1"/>
    <x v="2"/>
    <x v="1"/>
    <x v="1"/>
    <n v="49"/>
    <x v="4"/>
    <x v="1"/>
  </r>
  <r>
    <n v="2862"/>
    <n v="66"/>
    <x v="1"/>
    <x v="7"/>
    <x v="2"/>
    <n v="54"/>
    <x v="33"/>
    <x v="2"/>
    <s v="Teal"/>
    <x v="3"/>
    <n v="3.4"/>
    <x v="1"/>
    <x v="1"/>
    <x v="1"/>
    <x v="1"/>
    <n v="27"/>
    <x v="2"/>
    <x v="5"/>
  </r>
  <r>
    <n v="2863"/>
    <n v="68"/>
    <x v="1"/>
    <x v="7"/>
    <x v="2"/>
    <n v="75"/>
    <x v="11"/>
    <x v="1"/>
    <s v="Violet"/>
    <x v="2"/>
    <n v="4.7"/>
    <x v="1"/>
    <x v="5"/>
    <x v="1"/>
    <x v="1"/>
    <n v="5"/>
    <x v="4"/>
    <x v="6"/>
  </r>
  <r>
    <n v="2864"/>
    <n v="37"/>
    <x v="1"/>
    <x v="17"/>
    <x v="0"/>
    <n v="56"/>
    <x v="39"/>
    <x v="2"/>
    <s v="Yellow"/>
    <x v="3"/>
    <n v="3.9"/>
    <x v="1"/>
    <x v="4"/>
    <x v="1"/>
    <x v="1"/>
    <n v="18"/>
    <x v="0"/>
    <x v="5"/>
  </r>
  <r>
    <n v="2865"/>
    <n v="58"/>
    <x v="1"/>
    <x v="1"/>
    <x v="0"/>
    <n v="43"/>
    <x v="26"/>
    <x v="1"/>
    <s v="Maroon"/>
    <x v="3"/>
    <n v="3.6"/>
    <x v="1"/>
    <x v="5"/>
    <x v="1"/>
    <x v="1"/>
    <n v="31"/>
    <x v="0"/>
    <x v="1"/>
  </r>
  <r>
    <n v="2866"/>
    <n v="28"/>
    <x v="1"/>
    <x v="11"/>
    <x v="0"/>
    <n v="97"/>
    <x v="18"/>
    <x v="2"/>
    <s v="Silver"/>
    <x v="3"/>
    <n v="3.7"/>
    <x v="1"/>
    <x v="1"/>
    <x v="1"/>
    <x v="1"/>
    <n v="27"/>
    <x v="1"/>
    <x v="0"/>
  </r>
  <r>
    <n v="2867"/>
    <n v="54"/>
    <x v="1"/>
    <x v="0"/>
    <x v="0"/>
    <n v="75"/>
    <x v="39"/>
    <x v="1"/>
    <s v="Violet"/>
    <x v="2"/>
    <n v="3.1"/>
    <x v="1"/>
    <x v="1"/>
    <x v="1"/>
    <x v="1"/>
    <n v="19"/>
    <x v="1"/>
    <x v="2"/>
  </r>
  <r>
    <n v="2868"/>
    <n v="21"/>
    <x v="1"/>
    <x v="4"/>
    <x v="1"/>
    <n v="55"/>
    <x v="24"/>
    <x v="0"/>
    <s v="White"/>
    <x v="2"/>
    <n v="4.9000000000000004"/>
    <x v="1"/>
    <x v="2"/>
    <x v="1"/>
    <x v="1"/>
    <n v="33"/>
    <x v="1"/>
    <x v="0"/>
  </r>
  <r>
    <n v="2869"/>
    <n v="45"/>
    <x v="1"/>
    <x v="21"/>
    <x v="3"/>
    <n v="49"/>
    <x v="24"/>
    <x v="2"/>
    <s v="Black"/>
    <x v="0"/>
    <n v="2.6"/>
    <x v="1"/>
    <x v="2"/>
    <x v="1"/>
    <x v="1"/>
    <n v="42"/>
    <x v="3"/>
    <x v="6"/>
  </r>
  <r>
    <n v="2870"/>
    <n v="57"/>
    <x v="1"/>
    <x v="20"/>
    <x v="0"/>
    <n v="58"/>
    <x v="42"/>
    <x v="2"/>
    <s v="White"/>
    <x v="2"/>
    <n v="4.2"/>
    <x v="1"/>
    <x v="3"/>
    <x v="1"/>
    <x v="1"/>
    <n v="16"/>
    <x v="4"/>
    <x v="1"/>
  </r>
  <r>
    <n v="2871"/>
    <n v="47"/>
    <x v="1"/>
    <x v="16"/>
    <x v="3"/>
    <n v="34"/>
    <x v="25"/>
    <x v="2"/>
    <s v="Blue"/>
    <x v="0"/>
    <n v="4.8"/>
    <x v="1"/>
    <x v="1"/>
    <x v="1"/>
    <x v="1"/>
    <n v="49"/>
    <x v="5"/>
    <x v="6"/>
  </r>
  <r>
    <n v="2872"/>
    <n v="46"/>
    <x v="1"/>
    <x v="6"/>
    <x v="0"/>
    <n v="43"/>
    <x v="37"/>
    <x v="1"/>
    <s v="Black"/>
    <x v="2"/>
    <n v="2.7"/>
    <x v="1"/>
    <x v="4"/>
    <x v="1"/>
    <x v="1"/>
    <n v="40"/>
    <x v="0"/>
    <x v="4"/>
  </r>
  <r>
    <n v="2873"/>
    <n v="63"/>
    <x v="1"/>
    <x v="16"/>
    <x v="3"/>
    <n v="48"/>
    <x v="39"/>
    <x v="0"/>
    <s v="Olive"/>
    <x v="3"/>
    <n v="2.6"/>
    <x v="1"/>
    <x v="2"/>
    <x v="1"/>
    <x v="1"/>
    <n v="5"/>
    <x v="1"/>
    <x v="2"/>
  </r>
  <r>
    <n v="2874"/>
    <n v="44"/>
    <x v="1"/>
    <x v="1"/>
    <x v="0"/>
    <n v="40"/>
    <x v="6"/>
    <x v="2"/>
    <s v="Teal"/>
    <x v="1"/>
    <n v="2.6"/>
    <x v="1"/>
    <x v="1"/>
    <x v="1"/>
    <x v="1"/>
    <n v="8"/>
    <x v="4"/>
    <x v="5"/>
  </r>
  <r>
    <n v="2875"/>
    <n v="36"/>
    <x v="1"/>
    <x v="5"/>
    <x v="0"/>
    <n v="29"/>
    <x v="24"/>
    <x v="0"/>
    <s v="Silver"/>
    <x v="2"/>
    <n v="3.1"/>
    <x v="1"/>
    <x v="3"/>
    <x v="1"/>
    <x v="1"/>
    <n v="2"/>
    <x v="5"/>
    <x v="2"/>
  </r>
  <r>
    <n v="2876"/>
    <n v="24"/>
    <x v="1"/>
    <x v="13"/>
    <x v="0"/>
    <n v="81"/>
    <x v="0"/>
    <x v="2"/>
    <s v="Pink"/>
    <x v="3"/>
    <n v="2.6"/>
    <x v="1"/>
    <x v="1"/>
    <x v="1"/>
    <x v="1"/>
    <n v="14"/>
    <x v="5"/>
    <x v="1"/>
  </r>
  <r>
    <n v="2877"/>
    <n v="65"/>
    <x v="1"/>
    <x v="15"/>
    <x v="0"/>
    <n v="84"/>
    <x v="35"/>
    <x v="2"/>
    <s v="Charcoal"/>
    <x v="1"/>
    <n v="3.4"/>
    <x v="1"/>
    <x v="4"/>
    <x v="1"/>
    <x v="1"/>
    <n v="5"/>
    <x v="4"/>
    <x v="0"/>
  </r>
  <r>
    <n v="2878"/>
    <n v="32"/>
    <x v="1"/>
    <x v="20"/>
    <x v="0"/>
    <n v="46"/>
    <x v="32"/>
    <x v="2"/>
    <s v="Silver"/>
    <x v="2"/>
    <n v="3.6"/>
    <x v="1"/>
    <x v="3"/>
    <x v="1"/>
    <x v="1"/>
    <n v="34"/>
    <x v="0"/>
    <x v="5"/>
  </r>
  <r>
    <n v="2879"/>
    <n v="63"/>
    <x v="1"/>
    <x v="10"/>
    <x v="0"/>
    <n v="86"/>
    <x v="18"/>
    <x v="0"/>
    <s v="Turquoise"/>
    <x v="2"/>
    <n v="4.3"/>
    <x v="1"/>
    <x v="2"/>
    <x v="1"/>
    <x v="1"/>
    <n v="13"/>
    <x v="4"/>
    <x v="2"/>
  </r>
  <r>
    <n v="2880"/>
    <n v="62"/>
    <x v="1"/>
    <x v="0"/>
    <x v="0"/>
    <n v="57"/>
    <x v="25"/>
    <x v="3"/>
    <s v="Turquoise"/>
    <x v="0"/>
    <n v="4.9000000000000004"/>
    <x v="1"/>
    <x v="1"/>
    <x v="1"/>
    <x v="1"/>
    <n v="31"/>
    <x v="0"/>
    <x v="2"/>
  </r>
  <r>
    <n v="2881"/>
    <n v="19"/>
    <x v="1"/>
    <x v="11"/>
    <x v="0"/>
    <n v="61"/>
    <x v="20"/>
    <x v="0"/>
    <s v="Beige"/>
    <x v="0"/>
    <n v="4.8"/>
    <x v="1"/>
    <x v="5"/>
    <x v="1"/>
    <x v="1"/>
    <n v="43"/>
    <x v="3"/>
    <x v="3"/>
  </r>
  <r>
    <n v="2882"/>
    <n v="38"/>
    <x v="1"/>
    <x v="21"/>
    <x v="3"/>
    <n v="90"/>
    <x v="21"/>
    <x v="2"/>
    <s v="Cyan"/>
    <x v="0"/>
    <n v="4.2"/>
    <x v="1"/>
    <x v="1"/>
    <x v="1"/>
    <x v="1"/>
    <n v="6"/>
    <x v="4"/>
    <x v="2"/>
  </r>
  <r>
    <n v="2883"/>
    <n v="59"/>
    <x v="1"/>
    <x v="0"/>
    <x v="0"/>
    <n v="51"/>
    <x v="19"/>
    <x v="0"/>
    <s v="Gold"/>
    <x v="0"/>
    <n v="2.6"/>
    <x v="1"/>
    <x v="5"/>
    <x v="1"/>
    <x v="1"/>
    <n v="23"/>
    <x v="2"/>
    <x v="4"/>
  </r>
  <r>
    <n v="2884"/>
    <n v="22"/>
    <x v="1"/>
    <x v="20"/>
    <x v="0"/>
    <n v="48"/>
    <x v="3"/>
    <x v="3"/>
    <s v="Silver"/>
    <x v="1"/>
    <n v="3.2"/>
    <x v="1"/>
    <x v="3"/>
    <x v="1"/>
    <x v="1"/>
    <n v="10"/>
    <x v="3"/>
    <x v="1"/>
  </r>
  <r>
    <n v="2885"/>
    <n v="55"/>
    <x v="1"/>
    <x v="23"/>
    <x v="1"/>
    <n v="50"/>
    <x v="10"/>
    <x v="2"/>
    <s v="Purple"/>
    <x v="2"/>
    <n v="3.4"/>
    <x v="1"/>
    <x v="4"/>
    <x v="1"/>
    <x v="1"/>
    <n v="47"/>
    <x v="2"/>
    <x v="6"/>
  </r>
  <r>
    <n v="2886"/>
    <n v="29"/>
    <x v="1"/>
    <x v="21"/>
    <x v="3"/>
    <n v="82"/>
    <x v="22"/>
    <x v="2"/>
    <s v="Yellow"/>
    <x v="2"/>
    <n v="3.5"/>
    <x v="1"/>
    <x v="2"/>
    <x v="1"/>
    <x v="1"/>
    <n v="14"/>
    <x v="2"/>
    <x v="4"/>
  </r>
  <r>
    <n v="2887"/>
    <n v="42"/>
    <x v="1"/>
    <x v="19"/>
    <x v="3"/>
    <n v="33"/>
    <x v="40"/>
    <x v="0"/>
    <s v="Blue"/>
    <x v="1"/>
    <n v="4.2"/>
    <x v="1"/>
    <x v="1"/>
    <x v="1"/>
    <x v="1"/>
    <n v="29"/>
    <x v="3"/>
    <x v="1"/>
  </r>
  <r>
    <n v="2888"/>
    <n v="23"/>
    <x v="1"/>
    <x v="3"/>
    <x v="1"/>
    <n v="28"/>
    <x v="0"/>
    <x v="0"/>
    <s v="Blue"/>
    <x v="0"/>
    <n v="2.8"/>
    <x v="1"/>
    <x v="0"/>
    <x v="1"/>
    <x v="1"/>
    <n v="12"/>
    <x v="1"/>
    <x v="4"/>
  </r>
  <r>
    <n v="2889"/>
    <n v="70"/>
    <x v="1"/>
    <x v="15"/>
    <x v="0"/>
    <n v="42"/>
    <x v="48"/>
    <x v="0"/>
    <s v="Green"/>
    <x v="1"/>
    <n v="5"/>
    <x v="1"/>
    <x v="4"/>
    <x v="1"/>
    <x v="1"/>
    <n v="25"/>
    <x v="5"/>
    <x v="3"/>
  </r>
  <r>
    <n v="2890"/>
    <n v="64"/>
    <x v="1"/>
    <x v="12"/>
    <x v="3"/>
    <n v="43"/>
    <x v="46"/>
    <x v="2"/>
    <s v="Charcoal"/>
    <x v="3"/>
    <n v="3.3"/>
    <x v="1"/>
    <x v="5"/>
    <x v="1"/>
    <x v="1"/>
    <n v="21"/>
    <x v="0"/>
    <x v="2"/>
  </r>
  <r>
    <n v="2891"/>
    <n v="39"/>
    <x v="1"/>
    <x v="2"/>
    <x v="0"/>
    <n v="55"/>
    <x v="25"/>
    <x v="2"/>
    <s v="Violet"/>
    <x v="0"/>
    <n v="3.7"/>
    <x v="1"/>
    <x v="1"/>
    <x v="1"/>
    <x v="1"/>
    <n v="23"/>
    <x v="2"/>
    <x v="5"/>
  </r>
  <r>
    <n v="2892"/>
    <n v="47"/>
    <x v="1"/>
    <x v="17"/>
    <x v="0"/>
    <n v="73"/>
    <x v="31"/>
    <x v="3"/>
    <s v="Black"/>
    <x v="0"/>
    <n v="2.5"/>
    <x v="1"/>
    <x v="1"/>
    <x v="1"/>
    <x v="1"/>
    <n v="10"/>
    <x v="3"/>
    <x v="5"/>
  </r>
  <r>
    <n v="2893"/>
    <n v="22"/>
    <x v="1"/>
    <x v="10"/>
    <x v="0"/>
    <n v="39"/>
    <x v="22"/>
    <x v="2"/>
    <s v="Teal"/>
    <x v="1"/>
    <n v="3.2"/>
    <x v="1"/>
    <x v="3"/>
    <x v="1"/>
    <x v="1"/>
    <n v="47"/>
    <x v="2"/>
    <x v="5"/>
  </r>
  <r>
    <n v="2894"/>
    <n v="69"/>
    <x v="1"/>
    <x v="22"/>
    <x v="3"/>
    <n v="20"/>
    <x v="0"/>
    <x v="1"/>
    <s v="Orange"/>
    <x v="1"/>
    <n v="3.1"/>
    <x v="1"/>
    <x v="1"/>
    <x v="1"/>
    <x v="1"/>
    <n v="44"/>
    <x v="5"/>
    <x v="6"/>
  </r>
  <r>
    <n v="2895"/>
    <n v="35"/>
    <x v="1"/>
    <x v="16"/>
    <x v="3"/>
    <n v="32"/>
    <x v="0"/>
    <x v="1"/>
    <s v="Brown"/>
    <x v="1"/>
    <n v="3.5"/>
    <x v="1"/>
    <x v="3"/>
    <x v="1"/>
    <x v="1"/>
    <n v="41"/>
    <x v="0"/>
    <x v="2"/>
  </r>
  <r>
    <n v="2896"/>
    <n v="56"/>
    <x v="1"/>
    <x v="15"/>
    <x v="0"/>
    <n v="86"/>
    <x v="6"/>
    <x v="0"/>
    <s v="Green"/>
    <x v="2"/>
    <n v="4.5999999999999996"/>
    <x v="1"/>
    <x v="3"/>
    <x v="1"/>
    <x v="1"/>
    <n v="29"/>
    <x v="4"/>
    <x v="5"/>
  </r>
  <r>
    <n v="2897"/>
    <n v="30"/>
    <x v="1"/>
    <x v="0"/>
    <x v="0"/>
    <n v="91"/>
    <x v="12"/>
    <x v="2"/>
    <s v="Silver"/>
    <x v="2"/>
    <n v="3.3"/>
    <x v="1"/>
    <x v="1"/>
    <x v="1"/>
    <x v="1"/>
    <n v="2"/>
    <x v="0"/>
    <x v="6"/>
  </r>
  <r>
    <n v="2898"/>
    <n v="43"/>
    <x v="1"/>
    <x v="14"/>
    <x v="2"/>
    <n v="59"/>
    <x v="6"/>
    <x v="0"/>
    <s v="Violet"/>
    <x v="3"/>
    <n v="2.5"/>
    <x v="1"/>
    <x v="1"/>
    <x v="1"/>
    <x v="1"/>
    <n v="2"/>
    <x v="1"/>
    <x v="0"/>
  </r>
  <r>
    <n v="2899"/>
    <n v="23"/>
    <x v="1"/>
    <x v="4"/>
    <x v="1"/>
    <n v="33"/>
    <x v="32"/>
    <x v="3"/>
    <s v="Peach"/>
    <x v="2"/>
    <n v="4.5999999999999996"/>
    <x v="1"/>
    <x v="0"/>
    <x v="1"/>
    <x v="1"/>
    <n v="29"/>
    <x v="2"/>
    <x v="2"/>
  </r>
  <r>
    <n v="2900"/>
    <n v="50"/>
    <x v="1"/>
    <x v="23"/>
    <x v="1"/>
    <n v="64"/>
    <x v="43"/>
    <x v="2"/>
    <s v="Gold"/>
    <x v="1"/>
    <n v="4.2"/>
    <x v="1"/>
    <x v="4"/>
    <x v="1"/>
    <x v="1"/>
    <n v="22"/>
    <x v="4"/>
    <x v="0"/>
  </r>
  <r>
    <n v="2901"/>
    <n v="41"/>
    <x v="1"/>
    <x v="0"/>
    <x v="0"/>
    <n v="67"/>
    <x v="33"/>
    <x v="3"/>
    <s v="Violet"/>
    <x v="0"/>
    <n v="4"/>
    <x v="1"/>
    <x v="3"/>
    <x v="1"/>
    <x v="1"/>
    <n v="23"/>
    <x v="1"/>
    <x v="4"/>
  </r>
  <r>
    <n v="2902"/>
    <n v="41"/>
    <x v="1"/>
    <x v="0"/>
    <x v="0"/>
    <n v="43"/>
    <x v="15"/>
    <x v="0"/>
    <s v="Olive"/>
    <x v="0"/>
    <n v="2.6"/>
    <x v="1"/>
    <x v="1"/>
    <x v="1"/>
    <x v="1"/>
    <n v="46"/>
    <x v="2"/>
    <x v="3"/>
  </r>
  <r>
    <n v="2903"/>
    <n v="27"/>
    <x v="1"/>
    <x v="23"/>
    <x v="1"/>
    <n v="32"/>
    <x v="17"/>
    <x v="1"/>
    <s v="Orange"/>
    <x v="1"/>
    <n v="4.5999999999999996"/>
    <x v="1"/>
    <x v="3"/>
    <x v="1"/>
    <x v="1"/>
    <n v="19"/>
    <x v="3"/>
    <x v="4"/>
  </r>
  <r>
    <n v="2904"/>
    <n v="38"/>
    <x v="1"/>
    <x v="18"/>
    <x v="3"/>
    <n v="39"/>
    <x v="12"/>
    <x v="1"/>
    <s v="Teal"/>
    <x v="1"/>
    <n v="3.5"/>
    <x v="1"/>
    <x v="4"/>
    <x v="1"/>
    <x v="1"/>
    <n v="24"/>
    <x v="2"/>
    <x v="6"/>
  </r>
  <r>
    <n v="2905"/>
    <n v="41"/>
    <x v="1"/>
    <x v="3"/>
    <x v="1"/>
    <n v="41"/>
    <x v="44"/>
    <x v="2"/>
    <s v="Gray"/>
    <x v="1"/>
    <n v="4"/>
    <x v="1"/>
    <x v="4"/>
    <x v="1"/>
    <x v="1"/>
    <n v="43"/>
    <x v="0"/>
    <x v="5"/>
  </r>
  <r>
    <n v="2906"/>
    <n v="58"/>
    <x v="1"/>
    <x v="12"/>
    <x v="3"/>
    <n v="53"/>
    <x v="14"/>
    <x v="0"/>
    <s v="Black"/>
    <x v="0"/>
    <n v="4.8"/>
    <x v="1"/>
    <x v="3"/>
    <x v="1"/>
    <x v="1"/>
    <n v="14"/>
    <x v="5"/>
    <x v="0"/>
  </r>
  <r>
    <n v="2907"/>
    <n v="58"/>
    <x v="1"/>
    <x v="7"/>
    <x v="2"/>
    <n v="27"/>
    <x v="41"/>
    <x v="2"/>
    <s v="Indigo"/>
    <x v="1"/>
    <n v="3.9"/>
    <x v="1"/>
    <x v="3"/>
    <x v="1"/>
    <x v="1"/>
    <n v="7"/>
    <x v="0"/>
    <x v="2"/>
  </r>
  <r>
    <n v="2908"/>
    <n v="19"/>
    <x v="1"/>
    <x v="12"/>
    <x v="3"/>
    <n v="82"/>
    <x v="33"/>
    <x v="3"/>
    <s v="Lavender"/>
    <x v="2"/>
    <n v="3.7"/>
    <x v="1"/>
    <x v="2"/>
    <x v="1"/>
    <x v="1"/>
    <n v="50"/>
    <x v="3"/>
    <x v="4"/>
  </r>
  <r>
    <n v="2909"/>
    <n v="43"/>
    <x v="1"/>
    <x v="0"/>
    <x v="0"/>
    <n v="87"/>
    <x v="21"/>
    <x v="2"/>
    <s v="Beige"/>
    <x v="0"/>
    <n v="3.1"/>
    <x v="1"/>
    <x v="5"/>
    <x v="1"/>
    <x v="1"/>
    <n v="15"/>
    <x v="5"/>
    <x v="6"/>
  </r>
  <r>
    <n v="2910"/>
    <n v="27"/>
    <x v="1"/>
    <x v="21"/>
    <x v="3"/>
    <n v="78"/>
    <x v="7"/>
    <x v="2"/>
    <s v="Indigo"/>
    <x v="0"/>
    <n v="3"/>
    <x v="1"/>
    <x v="2"/>
    <x v="1"/>
    <x v="1"/>
    <n v="40"/>
    <x v="2"/>
    <x v="6"/>
  </r>
  <r>
    <n v="2911"/>
    <n v="32"/>
    <x v="1"/>
    <x v="22"/>
    <x v="3"/>
    <n v="32"/>
    <x v="16"/>
    <x v="2"/>
    <s v="Blue"/>
    <x v="2"/>
    <n v="2.9"/>
    <x v="1"/>
    <x v="5"/>
    <x v="1"/>
    <x v="1"/>
    <n v="41"/>
    <x v="2"/>
    <x v="5"/>
  </r>
  <r>
    <n v="2912"/>
    <n v="28"/>
    <x v="1"/>
    <x v="20"/>
    <x v="0"/>
    <n v="38"/>
    <x v="31"/>
    <x v="3"/>
    <s v="Orange"/>
    <x v="3"/>
    <n v="2.9"/>
    <x v="1"/>
    <x v="2"/>
    <x v="1"/>
    <x v="1"/>
    <n v="34"/>
    <x v="0"/>
    <x v="3"/>
  </r>
  <r>
    <n v="2913"/>
    <n v="48"/>
    <x v="1"/>
    <x v="9"/>
    <x v="1"/>
    <n v="37"/>
    <x v="4"/>
    <x v="2"/>
    <s v="Yellow"/>
    <x v="0"/>
    <n v="4"/>
    <x v="1"/>
    <x v="3"/>
    <x v="1"/>
    <x v="1"/>
    <n v="27"/>
    <x v="1"/>
    <x v="4"/>
  </r>
  <r>
    <n v="2914"/>
    <n v="43"/>
    <x v="1"/>
    <x v="7"/>
    <x v="2"/>
    <n v="83"/>
    <x v="5"/>
    <x v="0"/>
    <s v="Cyan"/>
    <x v="0"/>
    <n v="3.5"/>
    <x v="1"/>
    <x v="0"/>
    <x v="1"/>
    <x v="1"/>
    <n v="12"/>
    <x v="1"/>
    <x v="6"/>
  </r>
  <r>
    <n v="2915"/>
    <n v="45"/>
    <x v="1"/>
    <x v="1"/>
    <x v="0"/>
    <n v="72"/>
    <x v="38"/>
    <x v="2"/>
    <s v="Yellow"/>
    <x v="3"/>
    <n v="3.8"/>
    <x v="1"/>
    <x v="0"/>
    <x v="1"/>
    <x v="1"/>
    <n v="1"/>
    <x v="5"/>
    <x v="4"/>
  </r>
  <r>
    <n v="2916"/>
    <n v="26"/>
    <x v="1"/>
    <x v="5"/>
    <x v="0"/>
    <n v="30"/>
    <x v="4"/>
    <x v="2"/>
    <s v="Cyan"/>
    <x v="3"/>
    <n v="4.5"/>
    <x v="1"/>
    <x v="0"/>
    <x v="1"/>
    <x v="1"/>
    <n v="39"/>
    <x v="5"/>
    <x v="4"/>
  </r>
  <r>
    <n v="2917"/>
    <n v="62"/>
    <x v="1"/>
    <x v="6"/>
    <x v="0"/>
    <n v="66"/>
    <x v="19"/>
    <x v="2"/>
    <s v="Green"/>
    <x v="0"/>
    <n v="2.7"/>
    <x v="1"/>
    <x v="0"/>
    <x v="1"/>
    <x v="1"/>
    <n v="13"/>
    <x v="2"/>
    <x v="4"/>
  </r>
  <r>
    <n v="2918"/>
    <n v="58"/>
    <x v="1"/>
    <x v="5"/>
    <x v="0"/>
    <n v="45"/>
    <x v="24"/>
    <x v="3"/>
    <s v="White"/>
    <x v="0"/>
    <n v="2.9"/>
    <x v="1"/>
    <x v="5"/>
    <x v="1"/>
    <x v="1"/>
    <n v="50"/>
    <x v="0"/>
    <x v="2"/>
  </r>
  <r>
    <n v="2919"/>
    <n v="19"/>
    <x v="1"/>
    <x v="12"/>
    <x v="3"/>
    <n v="73"/>
    <x v="14"/>
    <x v="1"/>
    <s v="Black"/>
    <x v="3"/>
    <n v="4.9000000000000004"/>
    <x v="1"/>
    <x v="1"/>
    <x v="1"/>
    <x v="1"/>
    <n v="36"/>
    <x v="1"/>
    <x v="1"/>
  </r>
  <r>
    <n v="2920"/>
    <n v="64"/>
    <x v="1"/>
    <x v="9"/>
    <x v="1"/>
    <n v="67"/>
    <x v="46"/>
    <x v="0"/>
    <s v="Charcoal"/>
    <x v="0"/>
    <n v="3.8"/>
    <x v="1"/>
    <x v="3"/>
    <x v="1"/>
    <x v="1"/>
    <n v="31"/>
    <x v="5"/>
    <x v="5"/>
  </r>
  <r>
    <n v="2921"/>
    <n v="33"/>
    <x v="1"/>
    <x v="12"/>
    <x v="3"/>
    <n v="72"/>
    <x v="21"/>
    <x v="3"/>
    <s v="Brown"/>
    <x v="1"/>
    <n v="4.9000000000000004"/>
    <x v="1"/>
    <x v="1"/>
    <x v="1"/>
    <x v="1"/>
    <n v="3"/>
    <x v="5"/>
    <x v="4"/>
  </r>
  <r>
    <n v="2922"/>
    <n v="20"/>
    <x v="1"/>
    <x v="8"/>
    <x v="3"/>
    <n v="24"/>
    <x v="48"/>
    <x v="2"/>
    <s v="Cyan"/>
    <x v="3"/>
    <n v="4.5999999999999996"/>
    <x v="1"/>
    <x v="3"/>
    <x v="1"/>
    <x v="1"/>
    <n v="11"/>
    <x v="1"/>
    <x v="0"/>
  </r>
  <r>
    <n v="2923"/>
    <n v="45"/>
    <x v="1"/>
    <x v="12"/>
    <x v="3"/>
    <n v="68"/>
    <x v="0"/>
    <x v="0"/>
    <s v="Beige"/>
    <x v="0"/>
    <n v="3.5"/>
    <x v="1"/>
    <x v="0"/>
    <x v="1"/>
    <x v="1"/>
    <n v="16"/>
    <x v="3"/>
    <x v="3"/>
  </r>
  <r>
    <n v="2924"/>
    <n v="28"/>
    <x v="1"/>
    <x v="5"/>
    <x v="0"/>
    <n v="70"/>
    <x v="38"/>
    <x v="2"/>
    <s v="Magenta"/>
    <x v="1"/>
    <n v="4.2"/>
    <x v="1"/>
    <x v="4"/>
    <x v="1"/>
    <x v="1"/>
    <n v="12"/>
    <x v="1"/>
    <x v="3"/>
  </r>
  <r>
    <n v="2925"/>
    <n v="47"/>
    <x v="1"/>
    <x v="5"/>
    <x v="0"/>
    <n v="64"/>
    <x v="3"/>
    <x v="0"/>
    <s v="Indigo"/>
    <x v="0"/>
    <n v="3.7"/>
    <x v="1"/>
    <x v="1"/>
    <x v="1"/>
    <x v="1"/>
    <n v="37"/>
    <x v="5"/>
    <x v="6"/>
  </r>
  <r>
    <n v="2926"/>
    <n v="54"/>
    <x v="1"/>
    <x v="1"/>
    <x v="0"/>
    <n v="91"/>
    <x v="26"/>
    <x v="2"/>
    <s v="Maroon"/>
    <x v="1"/>
    <n v="2.8"/>
    <x v="1"/>
    <x v="5"/>
    <x v="1"/>
    <x v="1"/>
    <n v="43"/>
    <x v="2"/>
    <x v="6"/>
  </r>
  <r>
    <n v="2927"/>
    <n v="64"/>
    <x v="1"/>
    <x v="8"/>
    <x v="3"/>
    <n v="82"/>
    <x v="33"/>
    <x v="2"/>
    <s v="Gray"/>
    <x v="0"/>
    <n v="4.8"/>
    <x v="1"/>
    <x v="4"/>
    <x v="1"/>
    <x v="1"/>
    <n v="9"/>
    <x v="1"/>
    <x v="1"/>
  </r>
  <r>
    <n v="2928"/>
    <n v="45"/>
    <x v="1"/>
    <x v="5"/>
    <x v="0"/>
    <n v="24"/>
    <x v="9"/>
    <x v="2"/>
    <s v="Black"/>
    <x v="2"/>
    <n v="2.7"/>
    <x v="1"/>
    <x v="0"/>
    <x v="1"/>
    <x v="1"/>
    <n v="15"/>
    <x v="0"/>
    <x v="4"/>
  </r>
  <r>
    <n v="2929"/>
    <n v="40"/>
    <x v="1"/>
    <x v="16"/>
    <x v="3"/>
    <n v="80"/>
    <x v="15"/>
    <x v="0"/>
    <s v="Yellow"/>
    <x v="1"/>
    <n v="3.6"/>
    <x v="1"/>
    <x v="5"/>
    <x v="1"/>
    <x v="1"/>
    <n v="17"/>
    <x v="2"/>
    <x v="1"/>
  </r>
  <r>
    <n v="2930"/>
    <n v="31"/>
    <x v="1"/>
    <x v="20"/>
    <x v="0"/>
    <n v="53"/>
    <x v="1"/>
    <x v="3"/>
    <s v="White"/>
    <x v="0"/>
    <n v="4.5"/>
    <x v="1"/>
    <x v="2"/>
    <x v="1"/>
    <x v="1"/>
    <n v="42"/>
    <x v="0"/>
    <x v="0"/>
  </r>
  <r>
    <n v="2931"/>
    <n v="38"/>
    <x v="1"/>
    <x v="17"/>
    <x v="0"/>
    <n v="50"/>
    <x v="16"/>
    <x v="2"/>
    <s v="Orange"/>
    <x v="1"/>
    <n v="4"/>
    <x v="1"/>
    <x v="1"/>
    <x v="1"/>
    <x v="1"/>
    <n v="14"/>
    <x v="0"/>
    <x v="5"/>
  </r>
  <r>
    <n v="2932"/>
    <n v="36"/>
    <x v="1"/>
    <x v="16"/>
    <x v="3"/>
    <n v="31"/>
    <x v="15"/>
    <x v="2"/>
    <s v="Magenta"/>
    <x v="3"/>
    <n v="4.5"/>
    <x v="1"/>
    <x v="4"/>
    <x v="1"/>
    <x v="1"/>
    <n v="49"/>
    <x v="2"/>
    <x v="4"/>
  </r>
  <r>
    <n v="2933"/>
    <n v="65"/>
    <x v="1"/>
    <x v="21"/>
    <x v="3"/>
    <n v="88"/>
    <x v="29"/>
    <x v="0"/>
    <s v="Black"/>
    <x v="1"/>
    <n v="3.9"/>
    <x v="1"/>
    <x v="0"/>
    <x v="1"/>
    <x v="1"/>
    <n v="3"/>
    <x v="3"/>
    <x v="3"/>
  </r>
  <r>
    <n v="2934"/>
    <n v="27"/>
    <x v="1"/>
    <x v="19"/>
    <x v="3"/>
    <n v="52"/>
    <x v="26"/>
    <x v="2"/>
    <s v="Brown"/>
    <x v="2"/>
    <n v="3.8"/>
    <x v="1"/>
    <x v="3"/>
    <x v="1"/>
    <x v="1"/>
    <n v="28"/>
    <x v="0"/>
    <x v="5"/>
  </r>
  <r>
    <n v="2935"/>
    <n v="38"/>
    <x v="1"/>
    <x v="24"/>
    <x v="3"/>
    <n v="22"/>
    <x v="37"/>
    <x v="2"/>
    <s v="Orange"/>
    <x v="3"/>
    <n v="4.7"/>
    <x v="1"/>
    <x v="2"/>
    <x v="1"/>
    <x v="1"/>
    <n v="41"/>
    <x v="4"/>
    <x v="3"/>
  </r>
  <r>
    <n v="2936"/>
    <n v="58"/>
    <x v="1"/>
    <x v="4"/>
    <x v="1"/>
    <n v="27"/>
    <x v="17"/>
    <x v="3"/>
    <s v="Gray"/>
    <x v="1"/>
    <n v="4.5999999999999996"/>
    <x v="1"/>
    <x v="3"/>
    <x v="1"/>
    <x v="1"/>
    <n v="11"/>
    <x v="0"/>
    <x v="1"/>
  </r>
  <r>
    <n v="2937"/>
    <n v="31"/>
    <x v="1"/>
    <x v="11"/>
    <x v="0"/>
    <n v="34"/>
    <x v="47"/>
    <x v="2"/>
    <s v="White"/>
    <x v="1"/>
    <n v="3.6"/>
    <x v="1"/>
    <x v="0"/>
    <x v="1"/>
    <x v="1"/>
    <n v="46"/>
    <x v="3"/>
    <x v="1"/>
  </r>
  <r>
    <n v="2938"/>
    <n v="28"/>
    <x v="1"/>
    <x v="8"/>
    <x v="3"/>
    <n v="39"/>
    <x v="8"/>
    <x v="2"/>
    <s v="White"/>
    <x v="1"/>
    <n v="4.3"/>
    <x v="1"/>
    <x v="4"/>
    <x v="1"/>
    <x v="1"/>
    <n v="15"/>
    <x v="2"/>
    <x v="1"/>
  </r>
  <r>
    <n v="2939"/>
    <n v="28"/>
    <x v="1"/>
    <x v="12"/>
    <x v="3"/>
    <n v="53"/>
    <x v="1"/>
    <x v="2"/>
    <s v="Violet"/>
    <x v="3"/>
    <n v="3"/>
    <x v="1"/>
    <x v="3"/>
    <x v="1"/>
    <x v="1"/>
    <n v="15"/>
    <x v="1"/>
    <x v="5"/>
  </r>
  <r>
    <n v="2940"/>
    <n v="32"/>
    <x v="1"/>
    <x v="1"/>
    <x v="0"/>
    <n v="46"/>
    <x v="0"/>
    <x v="2"/>
    <s v="Beige"/>
    <x v="0"/>
    <n v="4.3"/>
    <x v="1"/>
    <x v="0"/>
    <x v="1"/>
    <x v="1"/>
    <n v="34"/>
    <x v="0"/>
    <x v="1"/>
  </r>
  <r>
    <n v="2941"/>
    <n v="61"/>
    <x v="1"/>
    <x v="8"/>
    <x v="3"/>
    <n v="85"/>
    <x v="2"/>
    <x v="0"/>
    <s v="Beige"/>
    <x v="2"/>
    <n v="4.8"/>
    <x v="1"/>
    <x v="2"/>
    <x v="1"/>
    <x v="1"/>
    <n v="13"/>
    <x v="1"/>
    <x v="5"/>
  </r>
  <r>
    <n v="2942"/>
    <n v="38"/>
    <x v="1"/>
    <x v="11"/>
    <x v="0"/>
    <n v="86"/>
    <x v="38"/>
    <x v="0"/>
    <s v="Purple"/>
    <x v="1"/>
    <n v="3.7"/>
    <x v="1"/>
    <x v="1"/>
    <x v="1"/>
    <x v="1"/>
    <n v="27"/>
    <x v="3"/>
    <x v="5"/>
  </r>
  <r>
    <n v="2943"/>
    <n v="54"/>
    <x v="1"/>
    <x v="20"/>
    <x v="0"/>
    <n v="63"/>
    <x v="11"/>
    <x v="2"/>
    <s v="Brown"/>
    <x v="2"/>
    <n v="2.6"/>
    <x v="1"/>
    <x v="1"/>
    <x v="1"/>
    <x v="1"/>
    <n v="37"/>
    <x v="4"/>
    <x v="1"/>
  </r>
  <r>
    <n v="2944"/>
    <n v="29"/>
    <x v="1"/>
    <x v="5"/>
    <x v="0"/>
    <n v="44"/>
    <x v="41"/>
    <x v="2"/>
    <s v="Orange"/>
    <x v="1"/>
    <n v="3.4"/>
    <x v="1"/>
    <x v="3"/>
    <x v="1"/>
    <x v="1"/>
    <n v="37"/>
    <x v="2"/>
    <x v="5"/>
  </r>
  <r>
    <n v="2945"/>
    <n v="50"/>
    <x v="1"/>
    <x v="4"/>
    <x v="1"/>
    <n v="95"/>
    <x v="14"/>
    <x v="3"/>
    <s v="Cyan"/>
    <x v="2"/>
    <n v="3.9"/>
    <x v="1"/>
    <x v="1"/>
    <x v="1"/>
    <x v="1"/>
    <n v="4"/>
    <x v="0"/>
    <x v="6"/>
  </r>
  <r>
    <n v="2946"/>
    <n v="32"/>
    <x v="1"/>
    <x v="22"/>
    <x v="3"/>
    <n v="49"/>
    <x v="12"/>
    <x v="2"/>
    <s v="Charcoal"/>
    <x v="2"/>
    <n v="4.8"/>
    <x v="1"/>
    <x v="1"/>
    <x v="1"/>
    <x v="1"/>
    <n v="1"/>
    <x v="2"/>
    <x v="6"/>
  </r>
  <r>
    <n v="2947"/>
    <n v="38"/>
    <x v="1"/>
    <x v="13"/>
    <x v="0"/>
    <n v="77"/>
    <x v="11"/>
    <x v="0"/>
    <s v="Purple"/>
    <x v="1"/>
    <n v="2.8"/>
    <x v="1"/>
    <x v="1"/>
    <x v="1"/>
    <x v="1"/>
    <n v="29"/>
    <x v="4"/>
    <x v="3"/>
  </r>
  <r>
    <n v="2948"/>
    <n v="52"/>
    <x v="1"/>
    <x v="16"/>
    <x v="3"/>
    <n v="63"/>
    <x v="43"/>
    <x v="0"/>
    <s v="Peach"/>
    <x v="1"/>
    <n v="4.4000000000000004"/>
    <x v="1"/>
    <x v="3"/>
    <x v="1"/>
    <x v="1"/>
    <n v="50"/>
    <x v="0"/>
    <x v="2"/>
  </r>
  <r>
    <n v="2949"/>
    <n v="61"/>
    <x v="1"/>
    <x v="13"/>
    <x v="0"/>
    <n v="83"/>
    <x v="34"/>
    <x v="2"/>
    <s v="Violet"/>
    <x v="0"/>
    <n v="3.1"/>
    <x v="1"/>
    <x v="3"/>
    <x v="1"/>
    <x v="1"/>
    <n v="38"/>
    <x v="5"/>
    <x v="4"/>
  </r>
  <r>
    <n v="2950"/>
    <n v="25"/>
    <x v="1"/>
    <x v="16"/>
    <x v="3"/>
    <n v="93"/>
    <x v="44"/>
    <x v="2"/>
    <s v="Peach"/>
    <x v="1"/>
    <n v="3.8"/>
    <x v="1"/>
    <x v="5"/>
    <x v="1"/>
    <x v="1"/>
    <n v="15"/>
    <x v="3"/>
    <x v="2"/>
  </r>
  <r>
    <n v="2951"/>
    <n v="22"/>
    <x v="1"/>
    <x v="2"/>
    <x v="0"/>
    <n v="91"/>
    <x v="44"/>
    <x v="1"/>
    <s v="Maroon"/>
    <x v="0"/>
    <n v="4.0999999999999996"/>
    <x v="1"/>
    <x v="4"/>
    <x v="1"/>
    <x v="1"/>
    <n v="44"/>
    <x v="5"/>
    <x v="6"/>
  </r>
  <r>
    <n v="2952"/>
    <n v="47"/>
    <x v="1"/>
    <x v="18"/>
    <x v="3"/>
    <n v="99"/>
    <x v="10"/>
    <x v="0"/>
    <s v="Maroon"/>
    <x v="3"/>
    <n v="4.5999999999999996"/>
    <x v="1"/>
    <x v="1"/>
    <x v="1"/>
    <x v="1"/>
    <n v="14"/>
    <x v="1"/>
    <x v="1"/>
  </r>
  <r>
    <n v="2953"/>
    <n v="50"/>
    <x v="1"/>
    <x v="22"/>
    <x v="3"/>
    <n v="24"/>
    <x v="15"/>
    <x v="2"/>
    <s v="Peach"/>
    <x v="1"/>
    <n v="4.9000000000000004"/>
    <x v="1"/>
    <x v="2"/>
    <x v="1"/>
    <x v="1"/>
    <n v="5"/>
    <x v="5"/>
    <x v="5"/>
  </r>
  <r>
    <n v="2954"/>
    <n v="45"/>
    <x v="1"/>
    <x v="10"/>
    <x v="0"/>
    <n v="82"/>
    <x v="33"/>
    <x v="2"/>
    <s v="Silver"/>
    <x v="2"/>
    <n v="4.8"/>
    <x v="1"/>
    <x v="2"/>
    <x v="1"/>
    <x v="1"/>
    <n v="11"/>
    <x v="2"/>
    <x v="2"/>
  </r>
  <r>
    <n v="2955"/>
    <n v="33"/>
    <x v="1"/>
    <x v="17"/>
    <x v="0"/>
    <n v="28"/>
    <x v="45"/>
    <x v="2"/>
    <s v="Indigo"/>
    <x v="0"/>
    <n v="3.9"/>
    <x v="1"/>
    <x v="0"/>
    <x v="1"/>
    <x v="1"/>
    <n v="15"/>
    <x v="2"/>
    <x v="2"/>
  </r>
  <r>
    <n v="2956"/>
    <n v="42"/>
    <x v="1"/>
    <x v="23"/>
    <x v="1"/>
    <n v="67"/>
    <x v="34"/>
    <x v="2"/>
    <s v="Silver"/>
    <x v="0"/>
    <n v="2.6"/>
    <x v="1"/>
    <x v="1"/>
    <x v="1"/>
    <x v="1"/>
    <n v="46"/>
    <x v="2"/>
    <x v="2"/>
  </r>
  <r>
    <n v="2957"/>
    <n v="52"/>
    <x v="1"/>
    <x v="10"/>
    <x v="0"/>
    <n v="88"/>
    <x v="6"/>
    <x v="2"/>
    <s v="Olive"/>
    <x v="3"/>
    <n v="3.7"/>
    <x v="1"/>
    <x v="3"/>
    <x v="1"/>
    <x v="1"/>
    <n v="30"/>
    <x v="0"/>
    <x v="5"/>
  </r>
  <r>
    <n v="2958"/>
    <n v="69"/>
    <x v="1"/>
    <x v="16"/>
    <x v="3"/>
    <n v="70"/>
    <x v="45"/>
    <x v="1"/>
    <s v="Gray"/>
    <x v="3"/>
    <n v="4.7"/>
    <x v="1"/>
    <x v="3"/>
    <x v="1"/>
    <x v="1"/>
    <n v="2"/>
    <x v="1"/>
    <x v="2"/>
  </r>
  <r>
    <n v="2959"/>
    <n v="55"/>
    <x v="1"/>
    <x v="11"/>
    <x v="0"/>
    <n v="100"/>
    <x v="31"/>
    <x v="2"/>
    <s v="Black"/>
    <x v="2"/>
    <n v="4.5"/>
    <x v="1"/>
    <x v="3"/>
    <x v="1"/>
    <x v="1"/>
    <n v="28"/>
    <x v="3"/>
    <x v="5"/>
  </r>
  <r>
    <n v="2960"/>
    <n v="38"/>
    <x v="1"/>
    <x v="8"/>
    <x v="3"/>
    <n v="28"/>
    <x v="21"/>
    <x v="0"/>
    <s v="Maroon"/>
    <x v="2"/>
    <n v="4.7"/>
    <x v="1"/>
    <x v="1"/>
    <x v="1"/>
    <x v="1"/>
    <n v="9"/>
    <x v="3"/>
    <x v="3"/>
  </r>
  <r>
    <n v="2961"/>
    <n v="57"/>
    <x v="1"/>
    <x v="7"/>
    <x v="2"/>
    <n v="48"/>
    <x v="27"/>
    <x v="1"/>
    <s v="Olive"/>
    <x v="1"/>
    <n v="3.6"/>
    <x v="1"/>
    <x v="3"/>
    <x v="1"/>
    <x v="1"/>
    <n v="47"/>
    <x v="2"/>
    <x v="1"/>
  </r>
  <r>
    <n v="2962"/>
    <n v="33"/>
    <x v="1"/>
    <x v="15"/>
    <x v="0"/>
    <n v="43"/>
    <x v="13"/>
    <x v="1"/>
    <s v="Gold"/>
    <x v="3"/>
    <n v="2.8"/>
    <x v="1"/>
    <x v="1"/>
    <x v="1"/>
    <x v="1"/>
    <n v="21"/>
    <x v="5"/>
    <x v="4"/>
  </r>
  <r>
    <n v="2963"/>
    <n v="57"/>
    <x v="1"/>
    <x v="13"/>
    <x v="0"/>
    <n v="40"/>
    <x v="18"/>
    <x v="0"/>
    <s v="Pink"/>
    <x v="3"/>
    <n v="4"/>
    <x v="1"/>
    <x v="0"/>
    <x v="1"/>
    <x v="1"/>
    <n v="42"/>
    <x v="2"/>
    <x v="6"/>
  </r>
  <r>
    <n v="2964"/>
    <n v="52"/>
    <x v="1"/>
    <x v="23"/>
    <x v="1"/>
    <n v="97"/>
    <x v="1"/>
    <x v="2"/>
    <s v="Brown"/>
    <x v="1"/>
    <n v="3.6"/>
    <x v="1"/>
    <x v="1"/>
    <x v="1"/>
    <x v="1"/>
    <n v="28"/>
    <x v="2"/>
    <x v="1"/>
  </r>
  <r>
    <n v="2965"/>
    <n v="44"/>
    <x v="1"/>
    <x v="7"/>
    <x v="2"/>
    <n v="25"/>
    <x v="31"/>
    <x v="1"/>
    <s v="White"/>
    <x v="3"/>
    <n v="3.8"/>
    <x v="1"/>
    <x v="4"/>
    <x v="1"/>
    <x v="1"/>
    <n v="13"/>
    <x v="0"/>
    <x v="0"/>
  </r>
  <r>
    <n v="2966"/>
    <n v="48"/>
    <x v="1"/>
    <x v="18"/>
    <x v="3"/>
    <n v="45"/>
    <x v="12"/>
    <x v="2"/>
    <s v="Blue"/>
    <x v="2"/>
    <n v="4.4000000000000004"/>
    <x v="1"/>
    <x v="3"/>
    <x v="1"/>
    <x v="1"/>
    <n v="25"/>
    <x v="3"/>
    <x v="0"/>
  </r>
  <r>
    <n v="2967"/>
    <n v="52"/>
    <x v="1"/>
    <x v="23"/>
    <x v="1"/>
    <n v="49"/>
    <x v="19"/>
    <x v="0"/>
    <s v="Orange"/>
    <x v="3"/>
    <n v="2.8"/>
    <x v="1"/>
    <x v="5"/>
    <x v="1"/>
    <x v="1"/>
    <n v="38"/>
    <x v="5"/>
    <x v="6"/>
  </r>
  <r>
    <n v="2968"/>
    <n v="34"/>
    <x v="1"/>
    <x v="4"/>
    <x v="1"/>
    <n v="36"/>
    <x v="27"/>
    <x v="0"/>
    <s v="Silver"/>
    <x v="2"/>
    <n v="3.4"/>
    <x v="1"/>
    <x v="1"/>
    <x v="1"/>
    <x v="1"/>
    <n v="40"/>
    <x v="0"/>
    <x v="2"/>
  </r>
  <r>
    <n v="2969"/>
    <n v="26"/>
    <x v="1"/>
    <x v="1"/>
    <x v="0"/>
    <n v="48"/>
    <x v="36"/>
    <x v="1"/>
    <s v="Gray"/>
    <x v="3"/>
    <n v="4.9000000000000004"/>
    <x v="1"/>
    <x v="0"/>
    <x v="1"/>
    <x v="1"/>
    <n v="25"/>
    <x v="1"/>
    <x v="6"/>
  </r>
  <r>
    <n v="2970"/>
    <n v="36"/>
    <x v="1"/>
    <x v="22"/>
    <x v="3"/>
    <n v="62"/>
    <x v="34"/>
    <x v="1"/>
    <s v="Blue"/>
    <x v="3"/>
    <n v="4.3"/>
    <x v="1"/>
    <x v="2"/>
    <x v="1"/>
    <x v="1"/>
    <n v="20"/>
    <x v="1"/>
    <x v="6"/>
  </r>
  <r>
    <n v="2971"/>
    <n v="24"/>
    <x v="1"/>
    <x v="16"/>
    <x v="3"/>
    <n v="74"/>
    <x v="23"/>
    <x v="2"/>
    <s v="White"/>
    <x v="0"/>
    <n v="3.4"/>
    <x v="1"/>
    <x v="1"/>
    <x v="1"/>
    <x v="1"/>
    <n v="44"/>
    <x v="2"/>
    <x v="4"/>
  </r>
  <r>
    <n v="2972"/>
    <n v="30"/>
    <x v="1"/>
    <x v="8"/>
    <x v="3"/>
    <n v="100"/>
    <x v="40"/>
    <x v="0"/>
    <s v="Yellow"/>
    <x v="3"/>
    <n v="3.9"/>
    <x v="1"/>
    <x v="2"/>
    <x v="1"/>
    <x v="1"/>
    <n v="9"/>
    <x v="3"/>
    <x v="6"/>
  </r>
  <r>
    <n v="2973"/>
    <n v="31"/>
    <x v="1"/>
    <x v="14"/>
    <x v="2"/>
    <n v="39"/>
    <x v="14"/>
    <x v="1"/>
    <s v="Indigo"/>
    <x v="3"/>
    <n v="4.2"/>
    <x v="1"/>
    <x v="1"/>
    <x v="1"/>
    <x v="1"/>
    <n v="11"/>
    <x v="0"/>
    <x v="6"/>
  </r>
  <r>
    <n v="2974"/>
    <n v="25"/>
    <x v="1"/>
    <x v="23"/>
    <x v="1"/>
    <n v="65"/>
    <x v="27"/>
    <x v="2"/>
    <s v="Blue"/>
    <x v="2"/>
    <n v="2.7"/>
    <x v="1"/>
    <x v="5"/>
    <x v="1"/>
    <x v="1"/>
    <n v="3"/>
    <x v="4"/>
    <x v="0"/>
  </r>
  <r>
    <n v="2975"/>
    <n v="57"/>
    <x v="1"/>
    <x v="4"/>
    <x v="1"/>
    <n v="99"/>
    <x v="30"/>
    <x v="3"/>
    <s v="Peach"/>
    <x v="2"/>
    <n v="4.0999999999999996"/>
    <x v="1"/>
    <x v="5"/>
    <x v="1"/>
    <x v="1"/>
    <n v="34"/>
    <x v="2"/>
    <x v="1"/>
  </r>
  <r>
    <n v="2976"/>
    <n v="61"/>
    <x v="1"/>
    <x v="18"/>
    <x v="3"/>
    <n v="68"/>
    <x v="42"/>
    <x v="3"/>
    <s v="Lavender"/>
    <x v="0"/>
    <n v="4.5"/>
    <x v="1"/>
    <x v="4"/>
    <x v="1"/>
    <x v="1"/>
    <n v="48"/>
    <x v="1"/>
    <x v="6"/>
  </r>
  <r>
    <n v="2977"/>
    <n v="30"/>
    <x v="1"/>
    <x v="7"/>
    <x v="2"/>
    <n v="97"/>
    <x v="43"/>
    <x v="2"/>
    <s v="Silver"/>
    <x v="2"/>
    <n v="2.8"/>
    <x v="1"/>
    <x v="0"/>
    <x v="1"/>
    <x v="1"/>
    <n v="28"/>
    <x v="1"/>
    <x v="0"/>
  </r>
  <r>
    <n v="2978"/>
    <n v="38"/>
    <x v="1"/>
    <x v="6"/>
    <x v="0"/>
    <n v="47"/>
    <x v="47"/>
    <x v="0"/>
    <s v="Gold"/>
    <x v="0"/>
    <n v="3.4"/>
    <x v="1"/>
    <x v="3"/>
    <x v="1"/>
    <x v="1"/>
    <n v="20"/>
    <x v="0"/>
    <x v="2"/>
  </r>
  <r>
    <n v="2979"/>
    <n v="53"/>
    <x v="1"/>
    <x v="6"/>
    <x v="0"/>
    <n v="56"/>
    <x v="37"/>
    <x v="1"/>
    <s v="Cyan"/>
    <x v="1"/>
    <n v="3.9"/>
    <x v="1"/>
    <x v="1"/>
    <x v="1"/>
    <x v="1"/>
    <n v="49"/>
    <x v="4"/>
    <x v="0"/>
  </r>
  <r>
    <n v="2980"/>
    <n v="31"/>
    <x v="1"/>
    <x v="2"/>
    <x v="0"/>
    <n v="91"/>
    <x v="7"/>
    <x v="0"/>
    <s v="Olive"/>
    <x v="3"/>
    <n v="2.6"/>
    <x v="1"/>
    <x v="2"/>
    <x v="1"/>
    <x v="1"/>
    <n v="14"/>
    <x v="3"/>
    <x v="1"/>
  </r>
  <r>
    <n v="2981"/>
    <n v="70"/>
    <x v="1"/>
    <x v="24"/>
    <x v="3"/>
    <n v="93"/>
    <x v="32"/>
    <x v="0"/>
    <s v="Teal"/>
    <x v="3"/>
    <n v="4.4000000000000004"/>
    <x v="1"/>
    <x v="4"/>
    <x v="1"/>
    <x v="1"/>
    <n v="9"/>
    <x v="4"/>
    <x v="5"/>
  </r>
  <r>
    <n v="2982"/>
    <n v="21"/>
    <x v="1"/>
    <x v="13"/>
    <x v="0"/>
    <n v="36"/>
    <x v="12"/>
    <x v="0"/>
    <s v="Pink"/>
    <x v="0"/>
    <n v="4.9000000000000004"/>
    <x v="1"/>
    <x v="3"/>
    <x v="1"/>
    <x v="1"/>
    <n v="37"/>
    <x v="0"/>
    <x v="2"/>
  </r>
  <r>
    <n v="2983"/>
    <n v="33"/>
    <x v="1"/>
    <x v="10"/>
    <x v="0"/>
    <n v="45"/>
    <x v="48"/>
    <x v="2"/>
    <s v="Orange"/>
    <x v="2"/>
    <n v="3.6"/>
    <x v="1"/>
    <x v="5"/>
    <x v="1"/>
    <x v="1"/>
    <n v="4"/>
    <x v="2"/>
    <x v="1"/>
  </r>
  <r>
    <n v="2984"/>
    <n v="60"/>
    <x v="1"/>
    <x v="13"/>
    <x v="0"/>
    <n v="44"/>
    <x v="8"/>
    <x v="2"/>
    <s v="Charcoal"/>
    <x v="0"/>
    <n v="2.8"/>
    <x v="1"/>
    <x v="4"/>
    <x v="1"/>
    <x v="1"/>
    <n v="1"/>
    <x v="2"/>
    <x v="3"/>
  </r>
  <r>
    <n v="2985"/>
    <n v="45"/>
    <x v="1"/>
    <x v="24"/>
    <x v="3"/>
    <n v="32"/>
    <x v="21"/>
    <x v="0"/>
    <s v="Red"/>
    <x v="1"/>
    <n v="4.3"/>
    <x v="1"/>
    <x v="4"/>
    <x v="1"/>
    <x v="1"/>
    <n v="36"/>
    <x v="5"/>
    <x v="4"/>
  </r>
  <r>
    <n v="2986"/>
    <n v="46"/>
    <x v="1"/>
    <x v="22"/>
    <x v="3"/>
    <n v="36"/>
    <x v="11"/>
    <x v="1"/>
    <s v="Teal"/>
    <x v="2"/>
    <n v="3"/>
    <x v="1"/>
    <x v="0"/>
    <x v="1"/>
    <x v="1"/>
    <n v="21"/>
    <x v="1"/>
    <x v="4"/>
  </r>
  <r>
    <n v="2987"/>
    <n v="62"/>
    <x v="1"/>
    <x v="22"/>
    <x v="3"/>
    <n v="85"/>
    <x v="28"/>
    <x v="1"/>
    <s v="Silver"/>
    <x v="2"/>
    <n v="3.3"/>
    <x v="1"/>
    <x v="4"/>
    <x v="1"/>
    <x v="1"/>
    <n v="16"/>
    <x v="2"/>
    <x v="5"/>
  </r>
  <r>
    <n v="2988"/>
    <n v="63"/>
    <x v="1"/>
    <x v="11"/>
    <x v="0"/>
    <n v="36"/>
    <x v="7"/>
    <x v="0"/>
    <s v="Black"/>
    <x v="0"/>
    <n v="2.5"/>
    <x v="1"/>
    <x v="5"/>
    <x v="1"/>
    <x v="1"/>
    <n v="42"/>
    <x v="1"/>
    <x v="5"/>
  </r>
  <r>
    <n v="2989"/>
    <n v="69"/>
    <x v="1"/>
    <x v="20"/>
    <x v="0"/>
    <n v="55"/>
    <x v="22"/>
    <x v="1"/>
    <s v="Pink"/>
    <x v="1"/>
    <n v="5"/>
    <x v="1"/>
    <x v="4"/>
    <x v="1"/>
    <x v="1"/>
    <n v="31"/>
    <x v="5"/>
    <x v="5"/>
  </r>
  <r>
    <n v="2990"/>
    <n v="46"/>
    <x v="1"/>
    <x v="22"/>
    <x v="3"/>
    <n v="20"/>
    <x v="3"/>
    <x v="3"/>
    <s v="Teal"/>
    <x v="2"/>
    <n v="4.3"/>
    <x v="1"/>
    <x v="4"/>
    <x v="1"/>
    <x v="1"/>
    <n v="6"/>
    <x v="2"/>
    <x v="1"/>
  </r>
  <r>
    <n v="2991"/>
    <n v="69"/>
    <x v="1"/>
    <x v="5"/>
    <x v="0"/>
    <n v="91"/>
    <x v="26"/>
    <x v="2"/>
    <s v="Teal"/>
    <x v="3"/>
    <n v="4.2"/>
    <x v="1"/>
    <x v="1"/>
    <x v="1"/>
    <x v="1"/>
    <n v="24"/>
    <x v="0"/>
    <x v="5"/>
  </r>
  <r>
    <n v="2992"/>
    <n v="66"/>
    <x v="1"/>
    <x v="10"/>
    <x v="0"/>
    <n v="71"/>
    <x v="40"/>
    <x v="0"/>
    <s v="Green"/>
    <x v="2"/>
    <n v="3.9"/>
    <x v="1"/>
    <x v="3"/>
    <x v="1"/>
    <x v="1"/>
    <n v="7"/>
    <x v="3"/>
    <x v="4"/>
  </r>
  <r>
    <n v="2993"/>
    <n v="41"/>
    <x v="1"/>
    <x v="20"/>
    <x v="0"/>
    <n v="64"/>
    <x v="25"/>
    <x v="2"/>
    <s v="Charcoal"/>
    <x v="1"/>
    <n v="3.9"/>
    <x v="1"/>
    <x v="5"/>
    <x v="1"/>
    <x v="1"/>
    <n v="25"/>
    <x v="0"/>
    <x v="1"/>
  </r>
  <r>
    <n v="2994"/>
    <n v="32"/>
    <x v="1"/>
    <x v="14"/>
    <x v="2"/>
    <n v="21"/>
    <x v="23"/>
    <x v="0"/>
    <s v="Indigo"/>
    <x v="1"/>
    <n v="4.2"/>
    <x v="1"/>
    <x v="1"/>
    <x v="1"/>
    <x v="1"/>
    <n v="18"/>
    <x v="1"/>
    <x v="4"/>
  </r>
  <r>
    <n v="2995"/>
    <n v="69"/>
    <x v="1"/>
    <x v="1"/>
    <x v="0"/>
    <n v="100"/>
    <x v="22"/>
    <x v="1"/>
    <s v="White"/>
    <x v="0"/>
    <n v="3.5"/>
    <x v="1"/>
    <x v="5"/>
    <x v="1"/>
    <x v="1"/>
    <n v="14"/>
    <x v="4"/>
    <x v="3"/>
  </r>
  <r>
    <n v="2996"/>
    <n v="29"/>
    <x v="1"/>
    <x v="2"/>
    <x v="0"/>
    <n v="96"/>
    <x v="41"/>
    <x v="2"/>
    <s v="Orange"/>
    <x v="2"/>
    <n v="2.5"/>
    <x v="1"/>
    <x v="3"/>
    <x v="1"/>
    <x v="1"/>
    <n v="42"/>
    <x v="5"/>
    <x v="4"/>
  </r>
  <r>
    <n v="2997"/>
    <n v="70"/>
    <x v="1"/>
    <x v="16"/>
    <x v="3"/>
    <n v="91"/>
    <x v="40"/>
    <x v="2"/>
    <s v="White"/>
    <x v="1"/>
    <n v="2.9"/>
    <x v="1"/>
    <x v="0"/>
    <x v="1"/>
    <x v="1"/>
    <n v="6"/>
    <x v="0"/>
    <x v="6"/>
  </r>
  <r>
    <n v="2998"/>
    <n v="41"/>
    <x v="1"/>
    <x v="1"/>
    <x v="0"/>
    <n v="40"/>
    <x v="37"/>
    <x v="1"/>
    <s v="Yellow"/>
    <x v="1"/>
    <n v="2.7"/>
    <x v="1"/>
    <x v="2"/>
    <x v="1"/>
    <x v="1"/>
    <n v="14"/>
    <x v="0"/>
    <x v="6"/>
  </r>
  <r>
    <n v="2999"/>
    <n v="31"/>
    <x v="1"/>
    <x v="15"/>
    <x v="0"/>
    <n v="53"/>
    <x v="29"/>
    <x v="2"/>
    <s v="Red"/>
    <x v="2"/>
    <n v="4.7"/>
    <x v="1"/>
    <x v="0"/>
    <x v="1"/>
    <x v="1"/>
    <n v="30"/>
    <x v="5"/>
    <x v="3"/>
  </r>
  <r>
    <n v="3000"/>
    <n v="31"/>
    <x v="1"/>
    <x v="12"/>
    <x v="3"/>
    <n v="48"/>
    <x v="13"/>
    <x v="1"/>
    <s v="Charcoal"/>
    <x v="0"/>
    <n v="3.8"/>
    <x v="1"/>
    <x v="3"/>
    <x v="1"/>
    <x v="1"/>
    <n v="10"/>
    <x v="1"/>
    <x v="5"/>
  </r>
  <r>
    <n v="3001"/>
    <n v="57"/>
    <x v="1"/>
    <x v="3"/>
    <x v="1"/>
    <n v="70"/>
    <x v="31"/>
    <x v="2"/>
    <s v="Lavender"/>
    <x v="0"/>
    <n v="3.7"/>
    <x v="1"/>
    <x v="0"/>
    <x v="1"/>
    <x v="1"/>
    <n v="7"/>
    <x v="3"/>
    <x v="1"/>
  </r>
  <r>
    <n v="3002"/>
    <n v="29"/>
    <x v="1"/>
    <x v="7"/>
    <x v="2"/>
    <n v="29"/>
    <x v="6"/>
    <x v="0"/>
    <s v="Charcoal"/>
    <x v="2"/>
    <n v="4.7"/>
    <x v="1"/>
    <x v="0"/>
    <x v="1"/>
    <x v="1"/>
    <n v="28"/>
    <x v="2"/>
    <x v="3"/>
  </r>
  <r>
    <n v="3003"/>
    <n v="70"/>
    <x v="1"/>
    <x v="22"/>
    <x v="3"/>
    <n v="29"/>
    <x v="7"/>
    <x v="2"/>
    <s v="Maroon"/>
    <x v="3"/>
    <n v="3.6"/>
    <x v="1"/>
    <x v="2"/>
    <x v="1"/>
    <x v="1"/>
    <n v="19"/>
    <x v="4"/>
    <x v="3"/>
  </r>
  <r>
    <n v="3004"/>
    <n v="51"/>
    <x v="1"/>
    <x v="0"/>
    <x v="0"/>
    <n v="53"/>
    <x v="4"/>
    <x v="2"/>
    <s v="Brown"/>
    <x v="3"/>
    <n v="2.8"/>
    <x v="1"/>
    <x v="0"/>
    <x v="1"/>
    <x v="1"/>
    <n v="13"/>
    <x v="2"/>
    <x v="6"/>
  </r>
  <r>
    <n v="3005"/>
    <n v="45"/>
    <x v="1"/>
    <x v="11"/>
    <x v="0"/>
    <n v="79"/>
    <x v="28"/>
    <x v="2"/>
    <s v="Lavender"/>
    <x v="0"/>
    <n v="3.7"/>
    <x v="1"/>
    <x v="5"/>
    <x v="1"/>
    <x v="1"/>
    <n v="23"/>
    <x v="0"/>
    <x v="0"/>
  </r>
  <r>
    <n v="3006"/>
    <n v="18"/>
    <x v="1"/>
    <x v="6"/>
    <x v="0"/>
    <n v="65"/>
    <x v="29"/>
    <x v="3"/>
    <s v="Brown"/>
    <x v="1"/>
    <n v="3.5"/>
    <x v="1"/>
    <x v="0"/>
    <x v="1"/>
    <x v="1"/>
    <n v="5"/>
    <x v="0"/>
    <x v="1"/>
  </r>
  <r>
    <n v="3007"/>
    <n v="37"/>
    <x v="1"/>
    <x v="10"/>
    <x v="0"/>
    <n v="99"/>
    <x v="40"/>
    <x v="2"/>
    <s v="Olive"/>
    <x v="2"/>
    <n v="3.7"/>
    <x v="1"/>
    <x v="5"/>
    <x v="1"/>
    <x v="1"/>
    <n v="17"/>
    <x v="0"/>
    <x v="4"/>
  </r>
  <r>
    <n v="3008"/>
    <n v="23"/>
    <x v="1"/>
    <x v="12"/>
    <x v="3"/>
    <n v="60"/>
    <x v="14"/>
    <x v="0"/>
    <s v="Lavender"/>
    <x v="0"/>
    <n v="3"/>
    <x v="1"/>
    <x v="2"/>
    <x v="1"/>
    <x v="1"/>
    <n v="31"/>
    <x v="0"/>
    <x v="1"/>
  </r>
  <r>
    <n v="3009"/>
    <n v="39"/>
    <x v="1"/>
    <x v="9"/>
    <x v="1"/>
    <n v="86"/>
    <x v="35"/>
    <x v="2"/>
    <s v="Gold"/>
    <x v="0"/>
    <n v="4.9000000000000004"/>
    <x v="1"/>
    <x v="1"/>
    <x v="1"/>
    <x v="1"/>
    <n v="19"/>
    <x v="3"/>
    <x v="1"/>
  </r>
  <r>
    <n v="3010"/>
    <n v="62"/>
    <x v="1"/>
    <x v="22"/>
    <x v="3"/>
    <n v="73"/>
    <x v="7"/>
    <x v="2"/>
    <s v="Silver"/>
    <x v="0"/>
    <n v="4.5999999999999996"/>
    <x v="1"/>
    <x v="1"/>
    <x v="1"/>
    <x v="1"/>
    <n v="8"/>
    <x v="0"/>
    <x v="0"/>
  </r>
  <r>
    <n v="3011"/>
    <n v="70"/>
    <x v="1"/>
    <x v="22"/>
    <x v="3"/>
    <n v="45"/>
    <x v="31"/>
    <x v="2"/>
    <s v="Violet"/>
    <x v="0"/>
    <n v="3.3"/>
    <x v="1"/>
    <x v="1"/>
    <x v="1"/>
    <x v="1"/>
    <n v="15"/>
    <x v="2"/>
    <x v="2"/>
  </r>
  <r>
    <n v="3012"/>
    <n v="20"/>
    <x v="1"/>
    <x v="22"/>
    <x v="3"/>
    <n v="70"/>
    <x v="22"/>
    <x v="1"/>
    <s v="Brown"/>
    <x v="2"/>
    <n v="3"/>
    <x v="1"/>
    <x v="2"/>
    <x v="1"/>
    <x v="1"/>
    <n v="18"/>
    <x v="2"/>
    <x v="6"/>
  </r>
  <r>
    <n v="3013"/>
    <n v="42"/>
    <x v="1"/>
    <x v="22"/>
    <x v="3"/>
    <n v="65"/>
    <x v="37"/>
    <x v="2"/>
    <s v="Teal"/>
    <x v="3"/>
    <n v="3.5"/>
    <x v="1"/>
    <x v="3"/>
    <x v="1"/>
    <x v="1"/>
    <n v="16"/>
    <x v="3"/>
    <x v="2"/>
  </r>
  <r>
    <n v="3014"/>
    <n v="41"/>
    <x v="1"/>
    <x v="11"/>
    <x v="0"/>
    <n v="55"/>
    <x v="28"/>
    <x v="0"/>
    <s v="Peach"/>
    <x v="2"/>
    <n v="4.2"/>
    <x v="1"/>
    <x v="5"/>
    <x v="1"/>
    <x v="1"/>
    <n v="13"/>
    <x v="1"/>
    <x v="5"/>
  </r>
  <r>
    <n v="3015"/>
    <n v="24"/>
    <x v="1"/>
    <x v="17"/>
    <x v="0"/>
    <n v="65"/>
    <x v="40"/>
    <x v="2"/>
    <s v="Maroon"/>
    <x v="1"/>
    <n v="4.5"/>
    <x v="1"/>
    <x v="0"/>
    <x v="1"/>
    <x v="1"/>
    <n v="38"/>
    <x v="3"/>
    <x v="6"/>
  </r>
  <r>
    <n v="3016"/>
    <n v="37"/>
    <x v="1"/>
    <x v="18"/>
    <x v="3"/>
    <n v="21"/>
    <x v="5"/>
    <x v="3"/>
    <s v="Lavender"/>
    <x v="1"/>
    <n v="2.8"/>
    <x v="1"/>
    <x v="0"/>
    <x v="1"/>
    <x v="1"/>
    <n v="27"/>
    <x v="4"/>
    <x v="4"/>
  </r>
  <r>
    <n v="3017"/>
    <n v="30"/>
    <x v="1"/>
    <x v="0"/>
    <x v="0"/>
    <n v="26"/>
    <x v="27"/>
    <x v="0"/>
    <s v="Lavender"/>
    <x v="2"/>
    <n v="4.9000000000000004"/>
    <x v="1"/>
    <x v="5"/>
    <x v="1"/>
    <x v="1"/>
    <n v="31"/>
    <x v="4"/>
    <x v="3"/>
  </r>
  <r>
    <n v="3018"/>
    <n v="58"/>
    <x v="1"/>
    <x v="12"/>
    <x v="3"/>
    <n v="71"/>
    <x v="48"/>
    <x v="1"/>
    <s v="Purple"/>
    <x v="2"/>
    <n v="3.3"/>
    <x v="1"/>
    <x v="2"/>
    <x v="1"/>
    <x v="1"/>
    <n v="24"/>
    <x v="1"/>
    <x v="4"/>
  </r>
  <r>
    <n v="3019"/>
    <n v="43"/>
    <x v="1"/>
    <x v="23"/>
    <x v="1"/>
    <n v="41"/>
    <x v="21"/>
    <x v="2"/>
    <s v="Green"/>
    <x v="2"/>
    <n v="3"/>
    <x v="1"/>
    <x v="1"/>
    <x v="1"/>
    <x v="1"/>
    <n v="21"/>
    <x v="5"/>
    <x v="4"/>
  </r>
  <r>
    <n v="3020"/>
    <n v="19"/>
    <x v="1"/>
    <x v="14"/>
    <x v="2"/>
    <n v="44"/>
    <x v="40"/>
    <x v="2"/>
    <s v="Yellow"/>
    <x v="0"/>
    <n v="3.9"/>
    <x v="1"/>
    <x v="4"/>
    <x v="1"/>
    <x v="1"/>
    <n v="15"/>
    <x v="3"/>
    <x v="2"/>
  </r>
  <r>
    <n v="3021"/>
    <n v="23"/>
    <x v="1"/>
    <x v="2"/>
    <x v="0"/>
    <n v="81"/>
    <x v="10"/>
    <x v="1"/>
    <s v="Charcoal"/>
    <x v="3"/>
    <n v="2.8"/>
    <x v="1"/>
    <x v="5"/>
    <x v="1"/>
    <x v="1"/>
    <n v="48"/>
    <x v="0"/>
    <x v="6"/>
  </r>
  <r>
    <n v="3022"/>
    <n v="65"/>
    <x v="1"/>
    <x v="12"/>
    <x v="3"/>
    <n v="77"/>
    <x v="38"/>
    <x v="1"/>
    <s v="Blue"/>
    <x v="2"/>
    <n v="4.5"/>
    <x v="1"/>
    <x v="4"/>
    <x v="1"/>
    <x v="1"/>
    <n v="47"/>
    <x v="1"/>
    <x v="3"/>
  </r>
  <r>
    <n v="3023"/>
    <n v="58"/>
    <x v="1"/>
    <x v="3"/>
    <x v="1"/>
    <n v="26"/>
    <x v="42"/>
    <x v="2"/>
    <s v="Lavender"/>
    <x v="3"/>
    <n v="4"/>
    <x v="1"/>
    <x v="1"/>
    <x v="1"/>
    <x v="1"/>
    <n v="23"/>
    <x v="3"/>
    <x v="1"/>
  </r>
  <r>
    <n v="3024"/>
    <n v="50"/>
    <x v="1"/>
    <x v="21"/>
    <x v="3"/>
    <n v="31"/>
    <x v="27"/>
    <x v="2"/>
    <s v="Brown"/>
    <x v="2"/>
    <n v="2.9"/>
    <x v="1"/>
    <x v="0"/>
    <x v="1"/>
    <x v="1"/>
    <n v="4"/>
    <x v="3"/>
    <x v="3"/>
  </r>
  <r>
    <n v="3025"/>
    <n v="67"/>
    <x v="1"/>
    <x v="0"/>
    <x v="0"/>
    <n v="82"/>
    <x v="37"/>
    <x v="1"/>
    <s v="White"/>
    <x v="1"/>
    <n v="4"/>
    <x v="1"/>
    <x v="1"/>
    <x v="1"/>
    <x v="1"/>
    <n v="47"/>
    <x v="2"/>
    <x v="6"/>
  </r>
  <r>
    <n v="3026"/>
    <n v="40"/>
    <x v="1"/>
    <x v="9"/>
    <x v="1"/>
    <n v="60"/>
    <x v="6"/>
    <x v="3"/>
    <s v="Green"/>
    <x v="2"/>
    <n v="3.4"/>
    <x v="1"/>
    <x v="5"/>
    <x v="1"/>
    <x v="1"/>
    <n v="7"/>
    <x v="3"/>
    <x v="5"/>
  </r>
  <r>
    <n v="3027"/>
    <n v="55"/>
    <x v="1"/>
    <x v="5"/>
    <x v="0"/>
    <n v="70"/>
    <x v="30"/>
    <x v="0"/>
    <s v="Magenta"/>
    <x v="3"/>
    <n v="2.5"/>
    <x v="1"/>
    <x v="1"/>
    <x v="1"/>
    <x v="1"/>
    <n v="6"/>
    <x v="2"/>
    <x v="2"/>
  </r>
  <r>
    <n v="3028"/>
    <n v="52"/>
    <x v="1"/>
    <x v="15"/>
    <x v="0"/>
    <n v="26"/>
    <x v="8"/>
    <x v="3"/>
    <s v="Peach"/>
    <x v="0"/>
    <n v="2.8"/>
    <x v="1"/>
    <x v="4"/>
    <x v="1"/>
    <x v="1"/>
    <n v="47"/>
    <x v="2"/>
    <x v="3"/>
  </r>
  <r>
    <n v="3029"/>
    <n v="62"/>
    <x v="1"/>
    <x v="10"/>
    <x v="0"/>
    <n v="100"/>
    <x v="18"/>
    <x v="0"/>
    <s v="Charcoal"/>
    <x v="2"/>
    <n v="3"/>
    <x v="1"/>
    <x v="1"/>
    <x v="1"/>
    <x v="1"/>
    <n v="7"/>
    <x v="3"/>
    <x v="6"/>
  </r>
  <r>
    <n v="3030"/>
    <n v="64"/>
    <x v="1"/>
    <x v="10"/>
    <x v="0"/>
    <n v="82"/>
    <x v="42"/>
    <x v="2"/>
    <s v="Gold"/>
    <x v="2"/>
    <n v="3.1"/>
    <x v="1"/>
    <x v="1"/>
    <x v="1"/>
    <x v="1"/>
    <n v="1"/>
    <x v="5"/>
    <x v="3"/>
  </r>
  <r>
    <n v="3031"/>
    <n v="43"/>
    <x v="1"/>
    <x v="4"/>
    <x v="1"/>
    <n v="24"/>
    <x v="33"/>
    <x v="3"/>
    <s v="Purple"/>
    <x v="1"/>
    <n v="2.6"/>
    <x v="1"/>
    <x v="4"/>
    <x v="1"/>
    <x v="1"/>
    <n v="23"/>
    <x v="2"/>
    <x v="1"/>
  </r>
  <r>
    <n v="3032"/>
    <n v="61"/>
    <x v="1"/>
    <x v="0"/>
    <x v="0"/>
    <n v="74"/>
    <x v="37"/>
    <x v="0"/>
    <s v="Teal"/>
    <x v="2"/>
    <n v="4.9000000000000004"/>
    <x v="1"/>
    <x v="4"/>
    <x v="1"/>
    <x v="1"/>
    <n v="30"/>
    <x v="2"/>
    <x v="5"/>
  </r>
  <r>
    <n v="3033"/>
    <n v="26"/>
    <x v="1"/>
    <x v="21"/>
    <x v="3"/>
    <n v="58"/>
    <x v="18"/>
    <x v="3"/>
    <s v="Green"/>
    <x v="2"/>
    <n v="3.5"/>
    <x v="1"/>
    <x v="2"/>
    <x v="1"/>
    <x v="1"/>
    <n v="24"/>
    <x v="2"/>
    <x v="3"/>
  </r>
  <r>
    <n v="3034"/>
    <n v="22"/>
    <x v="1"/>
    <x v="1"/>
    <x v="0"/>
    <n v="56"/>
    <x v="15"/>
    <x v="0"/>
    <s v="Orange"/>
    <x v="1"/>
    <n v="2.6"/>
    <x v="1"/>
    <x v="5"/>
    <x v="1"/>
    <x v="1"/>
    <n v="9"/>
    <x v="3"/>
    <x v="1"/>
  </r>
  <r>
    <n v="3035"/>
    <n v="51"/>
    <x v="1"/>
    <x v="23"/>
    <x v="1"/>
    <n v="37"/>
    <x v="40"/>
    <x v="0"/>
    <s v="Peach"/>
    <x v="1"/>
    <n v="3.5"/>
    <x v="1"/>
    <x v="4"/>
    <x v="1"/>
    <x v="1"/>
    <n v="25"/>
    <x v="2"/>
    <x v="3"/>
  </r>
  <r>
    <n v="3036"/>
    <n v="69"/>
    <x v="1"/>
    <x v="8"/>
    <x v="3"/>
    <n v="64"/>
    <x v="0"/>
    <x v="2"/>
    <s v="Gold"/>
    <x v="1"/>
    <n v="4.5"/>
    <x v="1"/>
    <x v="1"/>
    <x v="1"/>
    <x v="1"/>
    <n v="18"/>
    <x v="1"/>
    <x v="4"/>
  </r>
  <r>
    <n v="3037"/>
    <n v="50"/>
    <x v="1"/>
    <x v="15"/>
    <x v="0"/>
    <n v="58"/>
    <x v="34"/>
    <x v="1"/>
    <s v="Violet"/>
    <x v="1"/>
    <n v="4.3"/>
    <x v="1"/>
    <x v="2"/>
    <x v="1"/>
    <x v="1"/>
    <n v="7"/>
    <x v="0"/>
    <x v="0"/>
  </r>
  <r>
    <n v="3038"/>
    <n v="51"/>
    <x v="1"/>
    <x v="22"/>
    <x v="3"/>
    <n v="44"/>
    <x v="44"/>
    <x v="0"/>
    <s v="Charcoal"/>
    <x v="2"/>
    <n v="4.8"/>
    <x v="1"/>
    <x v="2"/>
    <x v="1"/>
    <x v="1"/>
    <n v="2"/>
    <x v="1"/>
    <x v="2"/>
  </r>
  <r>
    <n v="3039"/>
    <n v="56"/>
    <x v="1"/>
    <x v="16"/>
    <x v="3"/>
    <n v="39"/>
    <x v="42"/>
    <x v="2"/>
    <s v="Brown"/>
    <x v="2"/>
    <n v="4.2"/>
    <x v="1"/>
    <x v="1"/>
    <x v="1"/>
    <x v="1"/>
    <n v="36"/>
    <x v="5"/>
    <x v="2"/>
  </r>
  <r>
    <n v="3040"/>
    <n v="59"/>
    <x v="1"/>
    <x v="0"/>
    <x v="0"/>
    <n v="48"/>
    <x v="15"/>
    <x v="0"/>
    <s v="Blue"/>
    <x v="1"/>
    <n v="3.2"/>
    <x v="1"/>
    <x v="2"/>
    <x v="1"/>
    <x v="1"/>
    <n v="31"/>
    <x v="3"/>
    <x v="4"/>
  </r>
  <r>
    <n v="3041"/>
    <n v="18"/>
    <x v="1"/>
    <x v="8"/>
    <x v="3"/>
    <n v="32"/>
    <x v="43"/>
    <x v="2"/>
    <s v="Gold"/>
    <x v="3"/>
    <n v="4.0999999999999996"/>
    <x v="1"/>
    <x v="0"/>
    <x v="1"/>
    <x v="1"/>
    <n v="10"/>
    <x v="1"/>
    <x v="0"/>
  </r>
  <r>
    <n v="3042"/>
    <n v="48"/>
    <x v="1"/>
    <x v="8"/>
    <x v="3"/>
    <n v="79"/>
    <x v="3"/>
    <x v="2"/>
    <s v="Orange"/>
    <x v="0"/>
    <n v="4"/>
    <x v="1"/>
    <x v="0"/>
    <x v="1"/>
    <x v="1"/>
    <n v="27"/>
    <x v="3"/>
    <x v="5"/>
  </r>
  <r>
    <n v="3043"/>
    <n v="53"/>
    <x v="1"/>
    <x v="7"/>
    <x v="2"/>
    <n v="27"/>
    <x v="45"/>
    <x v="0"/>
    <s v="Turquoise"/>
    <x v="0"/>
    <n v="2.9"/>
    <x v="1"/>
    <x v="2"/>
    <x v="1"/>
    <x v="1"/>
    <n v="14"/>
    <x v="3"/>
    <x v="6"/>
  </r>
  <r>
    <n v="3044"/>
    <n v="45"/>
    <x v="1"/>
    <x v="22"/>
    <x v="3"/>
    <n v="98"/>
    <x v="26"/>
    <x v="1"/>
    <s v="Peach"/>
    <x v="3"/>
    <n v="2.6"/>
    <x v="1"/>
    <x v="5"/>
    <x v="1"/>
    <x v="1"/>
    <n v="17"/>
    <x v="2"/>
    <x v="5"/>
  </r>
  <r>
    <n v="3045"/>
    <n v="21"/>
    <x v="1"/>
    <x v="23"/>
    <x v="1"/>
    <n v="67"/>
    <x v="17"/>
    <x v="2"/>
    <s v="Magenta"/>
    <x v="0"/>
    <n v="2.7"/>
    <x v="1"/>
    <x v="1"/>
    <x v="1"/>
    <x v="1"/>
    <n v="10"/>
    <x v="4"/>
    <x v="3"/>
  </r>
  <r>
    <n v="3046"/>
    <n v="42"/>
    <x v="1"/>
    <x v="20"/>
    <x v="0"/>
    <n v="37"/>
    <x v="20"/>
    <x v="0"/>
    <s v="Black"/>
    <x v="0"/>
    <n v="4.5999999999999996"/>
    <x v="1"/>
    <x v="4"/>
    <x v="1"/>
    <x v="1"/>
    <n v="4"/>
    <x v="3"/>
    <x v="4"/>
  </r>
  <r>
    <n v="3047"/>
    <n v="60"/>
    <x v="1"/>
    <x v="9"/>
    <x v="1"/>
    <n v="49"/>
    <x v="38"/>
    <x v="2"/>
    <s v="White"/>
    <x v="1"/>
    <n v="3.2"/>
    <x v="1"/>
    <x v="5"/>
    <x v="1"/>
    <x v="1"/>
    <n v="25"/>
    <x v="1"/>
    <x v="6"/>
  </r>
  <r>
    <n v="3048"/>
    <n v="21"/>
    <x v="1"/>
    <x v="4"/>
    <x v="1"/>
    <n v="74"/>
    <x v="34"/>
    <x v="2"/>
    <s v="Violet"/>
    <x v="3"/>
    <n v="4.0999999999999996"/>
    <x v="1"/>
    <x v="4"/>
    <x v="1"/>
    <x v="1"/>
    <n v="3"/>
    <x v="3"/>
    <x v="4"/>
  </r>
  <r>
    <n v="3049"/>
    <n v="69"/>
    <x v="1"/>
    <x v="16"/>
    <x v="3"/>
    <n v="93"/>
    <x v="24"/>
    <x v="2"/>
    <s v="Olive"/>
    <x v="2"/>
    <n v="3.9"/>
    <x v="1"/>
    <x v="3"/>
    <x v="1"/>
    <x v="1"/>
    <n v="47"/>
    <x v="0"/>
    <x v="0"/>
  </r>
  <r>
    <n v="3050"/>
    <n v="40"/>
    <x v="1"/>
    <x v="8"/>
    <x v="3"/>
    <n v="60"/>
    <x v="40"/>
    <x v="0"/>
    <s v="Red"/>
    <x v="2"/>
    <n v="3"/>
    <x v="1"/>
    <x v="2"/>
    <x v="1"/>
    <x v="1"/>
    <n v="41"/>
    <x v="4"/>
    <x v="4"/>
  </r>
  <r>
    <n v="3051"/>
    <n v="31"/>
    <x v="1"/>
    <x v="7"/>
    <x v="2"/>
    <n v="76"/>
    <x v="0"/>
    <x v="1"/>
    <s v="Green"/>
    <x v="1"/>
    <n v="3.6"/>
    <x v="1"/>
    <x v="3"/>
    <x v="1"/>
    <x v="1"/>
    <n v="28"/>
    <x v="0"/>
    <x v="6"/>
  </r>
  <r>
    <n v="3052"/>
    <n v="44"/>
    <x v="1"/>
    <x v="12"/>
    <x v="3"/>
    <n v="64"/>
    <x v="5"/>
    <x v="0"/>
    <s v="Gold"/>
    <x v="2"/>
    <n v="4.5999999999999996"/>
    <x v="1"/>
    <x v="0"/>
    <x v="1"/>
    <x v="1"/>
    <n v="49"/>
    <x v="5"/>
    <x v="6"/>
  </r>
  <r>
    <n v="3053"/>
    <n v="48"/>
    <x v="1"/>
    <x v="9"/>
    <x v="1"/>
    <n v="38"/>
    <x v="1"/>
    <x v="3"/>
    <s v="Olive"/>
    <x v="1"/>
    <n v="4.5"/>
    <x v="1"/>
    <x v="5"/>
    <x v="1"/>
    <x v="1"/>
    <n v="7"/>
    <x v="4"/>
    <x v="0"/>
  </r>
  <r>
    <n v="3054"/>
    <n v="32"/>
    <x v="1"/>
    <x v="9"/>
    <x v="1"/>
    <n v="91"/>
    <x v="1"/>
    <x v="0"/>
    <s v="Brown"/>
    <x v="0"/>
    <n v="3.2"/>
    <x v="1"/>
    <x v="2"/>
    <x v="1"/>
    <x v="1"/>
    <n v="22"/>
    <x v="4"/>
    <x v="5"/>
  </r>
  <r>
    <n v="3055"/>
    <n v="42"/>
    <x v="1"/>
    <x v="23"/>
    <x v="1"/>
    <n v="70"/>
    <x v="13"/>
    <x v="1"/>
    <s v="Magenta"/>
    <x v="2"/>
    <n v="4.9000000000000004"/>
    <x v="1"/>
    <x v="4"/>
    <x v="1"/>
    <x v="1"/>
    <n v="34"/>
    <x v="0"/>
    <x v="5"/>
  </r>
  <r>
    <n v="3056"/>
    <n v="27"/>
    <x v="1"/>
    <x v="3"/>
    <x v="1"/>
    <n v="22"/>
    <x v="23"/>
    <x v="2"/>
    <s v="Violet"/>
    <x v="3"/>
    <n v="5"/>
    <x v="1"/>
    <x v="3"/>
    <x v="1"/>
    <x v="1"/>
    <n v="5"/>
    <x v="5"/>
    <x v="4"/>
  </r>
  <r>
    <n v="3057"/>
    <n v="69"/>
    <x v="1"/>
    <x v="24"/>
    <x v="3"/>
    <n v="59"/>
    <x v="32"/>
    <x v="2"/>
    <s v="Beige"/>
    <x v="1"/>
    <n v="3.8"/>
    <x v="1"/>
    <x v="3"/>
    <x v="1"/>
    <x v="1"/>
    <n v="15"/>
    <x v="1"/>
    <x v="4"/>
  </r>
  <r>
    <n v="3058"/>
    <n v="67"/>
    <x v="1"/>
    <x v="21"/>
    <x v="3"/>
    <n v="22"/>
    <x v="17"/>
    <x v="2"/>
    <s v="Blue"/>
    <x v="1"/>
    <n v="3.4"/>
    <x v="1"/>
    <x v="2"/>
    <x v="1"/>
    <x v="1"/>
    <n v="26"/>
    <x v="4"/>
    <x v="1"/>
  </r>
  <r>
    <n v="3059"/>
    <n v="41"/>
    <x v="1"/>
    <x v="8"/>
    <x v="3"/>
    <n v="74"/>
    <x v="8"/>
    <x v="1"/>
    <s v="Orange"/>
    <x v="0"/>
    <n v="3.8"/>
    <x v="1"/>
    <x v="5"/>
    <x v="1"/>
    <x v="1"/>
    <n v="3"/>
    <x v="4"/>
    <x v="0"/>
  </r>
  <r>
    <n v="3060"/>
    <n v="46"/>
    <x v="1"/>
    <x v="1"/>
    <x v="0"/>
    <n v="71"/>
    <x v="0"/>
    <x v="0"/>
    <s v="Maroon"/>
    <x v="1"/>
    <n v="3.2"/>
    <x v="1"/>
    <x v="0"/>
    <x v="1"/>
    <x v="1"/>
    <n v="42"/>
    <x v="2"/>
    <x v="3"/>
  </r>
  <r>
    <n v="3061"/>
    <n v="47"/>
    <x v="1"/>
    <x v="7"/>
    <x v="2"/>
    <n v="80"/>
    <x v="18"/>
    <x v="1"/>
    <s v="Charcoal"/>
    <x v="2"/>
    <n v="4.7"/>
    <x v="1"/>
    <x v="5"/>
    <x v="1"/>
    <x v="1"/>
    <n v="1"/>
    <x v="0"/>
    <x v="5"/>
  </r>
  <r>
    <n v="3062"/>
    <n v="33"/>
    <x v="1"/>
    <x v="17"/>
    <x v="0"/>
    <n v="59"/>
    <x v="45"/>
    <x v="0"/>
    <s v="Olive"/>
    <x v="3"/>
    <n v="4.5"/>
    <x v="1"/>
    <x v="0"/>
    <x v="1"/>
    <x v="1"/>
    <n v="20"/>
    <x v="3"/>
    <x v="6"/>
  </r>
  <r>
    <n v="3063"/>
    <n v="51"/>
    <x v="1"/>
    <x v="21"/>
    <x v="3"/>
    <n v="96"/>
    <x v="18"/>
    <x v="0"/>
    <s v="Green"/>
    <x v="3"/>
    <n v="3.3"/>
    <x v="1"/>
    <x v="3"/>
    <x v="1"/>
    <x v="1"/>
    <n v="39"/>
    <x v="3"/>
    <x v="5"/>
  </r>
  <r>
    <n v="3064"/>
    <n v="26"/>
    <x v="1"/>
    <x v="12"/>
    <x v="3"/>
    <n v="43"/>
    <x v="39"/>
    <x v="0"/>
    <s v="Brown"/>
    <x v="0"/>
    <n v="3.9"/>
    <x v="1"/>
    <x v="5"/>
    <x v="1"/>
    <x v="1"/>
    <n v="24"/>
    <x v="2"/>
    <x v="0"/>
  </r>
  <r>
    <n v="3065"/>
    <n v="22"/>
    <x v="1"/>
    <x v="22"/>
    <x v="3"/>
    <n v="76"/>
    <x v="37"/>
    <x v="1"/>
    <s v="Cyan"/>
    <x v="0"/>
    <n v="3.6"/>
    <x v="1"/>
    <x v="0"/>
    <x v="1"/>
    <x v="1"/>
    <n v="49"/>
    <x v="4"/>
    <x v="3"/>
  </r>
  <r>
    <n v="3066"/>
    <n v="49"/>
    <x v="1"/>
    <x v="14"/>
    <x v="2"/>
    <n v="59"/>
    <x v="25"/>
    <x v="2"/>
    <s v="Beige"/>
    <x v="3"/>
    <n v="2.8"/>
    <x v="1"/>
    <x v="5"/>
    <x v="1"/>
    <x v="1"/>
    <n v="7"/>
    <x v="0"/>
    <x v="4"/>
  </r>
  <r>
    <n v="3067"/>
    <n v="58"/>
    <x v="1"/>
    <x v="11"/>
    <x v="0"/>
    <n v="48"/>
    <x v="49"/>
    <x v="0"/>
    <s v="Teal"/>
    <x v="2"/>
    <n v="4.3"/>
    <x v="1"/>
    <x v="1"/>
    <x v="1"/>
    <x v="1"/>
    <n v="13"/>
    <x v="0"/>
    <x v="6"/>
  </r>
  <r>
    <n v="3068"/>
    <n v="70"/>
    <x v="1"/>
    <x v="22"/>
    <x v="3"/>
    <n v="22"/>
    <x v="9"/>
    <x v="1"/>
    <s v="Gray"/>
    <x v="1"/>
    <n v="3.5"/>
    <x v="1"/>
    <x v="1"/>
    <x v="1"/>
    <x v="1"/>
    <n v="2"/>
    <x v="1"/>
    <x v="1"/>
  </r>
  <r>
    <n v="3069"/>
    <n v="32"/>
    <x v="1"/>
    <x v="23"/>
    <x v="1"/>
    <n v="40"/>
    <x v="18"/>
    <x v="2"/>
    <s v="Indigo"/>
    <x v="0"/>
    <n v="4.2"/>
    <x v="1"/>
    <x v="0"/>
    <x v="1"/>
    <x v="1"/>
    <n v="4"/>
    <x v="5"/>
    <x v="1"/>
  </r>
  <r>
    <n v="3070"/>
    <n v="62"/>
    <x v="1"/>
    <x v="2"/>
    <x v="0"/>
    <n v="73"/>
    <x v="12"/>
    <x v="0"/>
    <s v="Magenta"/>
    <x v="1"/>
    <n v="4.5999999999999996"/>
    <x v="1"/>
    <x v="0"/>
    <x v="1"/>
    <x v="1"/>
    <n v="17"/>
    <x v="5"/>
    <x v="3"/>
  </r>
  <r>
    <n v="3071"/>
    <n v="52"/>
    <x v="1"/>
    <x v="9"/>
    <x v="1"/>
    <n v="26"/>
    <x v="15"/>
    <x v="3"/>
    <s v="Red"/>
    <x v="3"/>
    <n v="2.6"/>
    <x v="1"/>
    <x v="1"/>
    <x v="1"/>
    <x v="1"/>
    <n v="43"/>
    <x v="3"/>
    <x v="4"/>
  </r>
  <r>
    <n v="3072"/>
    <n v="23"/>
    <x v="1"/>
    <x v="1"/>
    <x v="0"/>
    <n v="41"/>
    <x v="13"/>
    <x v="0"/>
    <s v="Turquoise"/>
    <x v="1"/>
    <n v="3.4"/>
    <x v="1"/>
    <x v="2"/>
    <x v="1"/>
    <x v="1"/>
    <n v="6"/>
    <x v="3"/>
    <x v="5"/>
  </r>
  <r>
    <n v="3073"/>
    <n v="26"/>
    <x v="1"/>
    <x v="16"/>
    <x v="3"/>
    <n v="98"/>
    <x v="14"/>
    <x v="0"/>
    <s v="Peach"/>
    <x v="1"/>
    <n v="3.1"/>
    <x v="1"/>
    <x v="3"/>
    <x v="1"/>
    <x v="1"/>
    <n v="46"/>
    <x v="3"/>
    <x v="3"/>
  </r>
  <r>
    <n v="3074"/>
    <n v="58"/>
    <x v="1"/>
    <x v="5"/>
    <x v="0"/>
    <n v="63"/>
    <x v="4"/>
    <x v="0"/>
    <s v="White"/>
    <x v="0"/>
    <n v="3.6"/>
    <x v="1"/>
    <x v="1"/>
    <x v="1"/>
    <x v="1"/>
    <n v="7"/>
    <x v="5"/>
    <x v="4"/>
  </r>
  <r>
    <n v="3075"/>
    <n v="26"/>
    <x v="1"/>
    <x v="23"/>
    <x v="1"/>
    <n v="55"/>
    <x v="2"/>
    <x v="0"/>
    <s v="Maroon"/>
    <x v="0"/>
    <n v="4.2"/>
    <x v="1"/>
    <x v="2"/>
    <x v="1"/>
    <x v="1"/>
    <n v="34"/>
    <x v="5"/>
    <x v="0"/>
  </r>
  <r>
    <n v="3076"/>
    <n v="54"/>
    <x v="1"/>
    <x v="6"/>
    <x v="0"/>
    <n v="90"/>
    <x v="40"/>
    <x v="3"/>
    <s v="Beige"/>
    <x v="0"/>
    <n v="3.6"/>
    <x v="1"/>
    <x v="3"/>
    <x v="1"/>
    <x v="1"/>
    <n v="21"/>
    <x v="3"/>
    <x v="6"/>
  </r>
  <r>
    <n v="3077"/>
    <n v="66"/>
    <x v="1"/>
    <x v="8"/>
    <x v="3"/>
    <n v="46"/>
    <x v="13"/>
    <x v="2"/>
    <s v="Blue"/>
    <x v="2"/>
    <n v="3.6"/>
    <x v="1"/>
    <x v="0"/>
    <x v="1"/>
    <x v="1"/>
    <n v="13"/>
    <x v="0"/>
    <x v="4"/>
  </r>
  <r>
    <n v="3078"/>
    <n v="60"/>
    <x v="1"/>
    <x v="1"/>
    <x v="0"/>
    <n v="88"/>
    <x v="26"/>
    <x v="1"/>
    <s v="Red"/>
    <x v="1"/>
    <n v="3"/>
    <x v="1"/>
    <x v="5"/>
    <x v="1"/>
    <x v="1"/>
    <n v="33"/>
    <x v="5"/>
    <x v="4"/>
  </r>
  <r>
    <n v="3079"/>
    <n v="32"/>
    <x v="1"/>
    <x v="22"/>
    <x v="3"/>
    <n v="95"/>
    <x v="29"/>
    <x v="2"/>
    <s v="Blue"/>
    <x v="1"/>
    <n v="2.5"/>
    <x v="1"/>
    <x v="4"/>
    <x v="1"/>
    <x v="1"/>
    <n v="24"/>
    <x v="4"/>
    <x v="4"/>
  </r>
  <r>
    <n v="3080"/>
    <n v="48"/>
    <x v="1"/>
    <x v="22"/>
    <x v="3"/>
    <n v="31"/>
    <x v="5"/>
    <x v="2"/>
    <s v="Maroon"/>
    <x v="3"/>
    <n v="4"/>
    <x v="1"/>
    <x v="5"/>
    <x v="1"/>
    <x v="1"/>
    <n v="4"/>
    <x v="4"/>
    <x v="2"/>
  </r>
  <r>
    <n v="3081"/>
    <n v="69"/>
    <x v="1"/>
    <x v="15"/>
    <x v="0"/>
    <n v="42"/>
    <x v="24"/>
    <x v="0"/>
    <s v="Yellow"/>
    <x v="1"/>
    <n v="4.0999999999999996"/>
    <x v="1"/>
    <x v="2"/>
    <x v="1"/>
    <x v="1"/>
    <n v="5"/>
    <x v="1"/>
    <x v="4"/>
  </r>
  <r>
    <n v="3082"/>
    <n v="64"/>
    <x v="1"/>
    <x v="4"/>
    <x v="1"/>
    <n v="44"/>
    <x v="34"/>
    <x v="0"/>
    <s v="Pink"/>
    <x v="0"/>
    <n v="4.9000000000000004"/>
    <x v="1"/>
    <x v="2"/>
    <x v="1"/>
    <x v="1"/>
    <n v="11"/>
    <x v="2"/>
    <x v="1"/>
  </r>
  <r>
    <n v="3083"/>
    <n v="56"/>
    <x v="1"/>
    <x v="17"/>
    <x v="0"/>
    <n v="99"/>
    <x v="40"/>
    <x v="2"/>
    <s v="Maroon"/>
    <x v="1"/>
    <n v="4"/>
    <x v="1"/>
    <x v="2"/>
    <x v="1"/>
    <x v="1"/>
    <n v="20"/>
    <x v="4"/>
    <x v="2"/>
  </r>
  <r>
    <n v="3084"/>
    <n v="22"/>
    <x v="1"/>
    <x v="13"/>
    <x v="0"/>
    <n v="20"/>
    <x v="26"/>
    <x v="1"/>
    <s v="Purple"/>
    <x v="2"/>
    <n v="3.5"/>
    <x v="1"/>
    <x v="5"/>
    <x v="1"/>
    <x v="1"/>
    <n v="28"/>
    <x v="3"/>
    <x v="3"/>
  </r>
  <r>
    <n v="3085"/>
    <n v="46"/>
    <x v="1"/>
    <x v="18"/>
    <x v="3"/>
    <n v="37"/>
    <x v="37"/>
    <x v="1"/>
    <s v="Indigo"/>
    <x v="1"/>
    <n v="3.2"/>
    <x v="1"/>
    <x v="5"/>
    <x v="1"/>
    <x v="1"/>
    <n v="43"/>
    <x v="3"/>
    <x v="5"/>
  </r>
  <r>
    <n v="3086"/>
    <n v="24"/>
    <x v="1"/>
    <x v="1"/>
    <x v="0"/>
    <n v="50"/>
    <x v="22"/>
    <x v="0"/>
    <s v="Gray"/>
    <x v="0"/>
    <n v="2.8"/>
    <x v="1"/>
    <x v="5"/>
    <x v="1"/>
    <x v="1"/>
    <n v="10"/>
    <x v="0"/>
    <x v="6"/>
  </r>
  <r>
    <n v="3087"/>
    <n v="47"/>
    <x v="1"/>
    <x v="8"/>
    <x v="3"/>
    <n v="73"/>
    <x v="40"/>
    <x v="2"/>
    <s v="Lavender"/>
    <x v="2"/>
    <n v="3.5"/>
    <x v="1"/>
    <x v="2"/>
    <x v="1"/>
    <x v="1"/>
    <n v="26"/>
    <x v="0"/>
    <x v="6"/>
  </r>
  <r>
    <n v="3088"/>
    <n v="62"/>
    <x v="1"/>
    <x v="5"/>
    <x v="0"/>
    <n v="84"/>
    <x v="17"/>
    <x v="2"/>
    <s v="Charcoal"/>
    <x v="1"/>
    <n v="3.1"/>
    <x v="1"/>
    <x v="1"/>
    <x v="1"/>
    <x v="1"/>
    <n v="29"/>
    <x v="4"/>
    <x v="5"/>
  </r>
  <r>
    <n v="3089"/>
    <n v="34"/>
    <x v="1"/>
    <x v="10"/>
    <x v="0"/>
    <n v="64"/>
    <x v="10"/>
    <x v="2"/>
    <s v="Teal"/>
    <x v="1"/>
    <n v="3.3"/>
    <x v="1"/>
    <x v="5"/>
    <x v="1"/>
    <x v="1"/>
    <n v="35"/>
    <x v="4"/>
    <x v="3"/>
  </r>
  <r>
    <n v="3090"/>
    <n v="50"/>
    <x v="1"/>
    <x v="3"/>
    <x v="1"/>
    <n v="21"/>
    <x v="17"/>
    <x v="0"/>
    <s v="Blue"/>
    <x v="3"/>
    <n v="4.5999999999999996"/>
    <x v="1"/>
    <x v="1"/>
    <x v="1"/>
    <x v="1"/>
    <n v="23"/>
    <x v="1"/>
    <x v="4"/>
  </r>
  <r>
    <n v="3091"/>
    <n v="29"/>
    <x v="1"/>
    <x v="5"/>
    <x v="0"/>
    <n v="36"/>
    <x v="21"/>
    <x v="2"/>
    <s v="Peach"/>
    <x v="2"/>
    <n v="4.9000000000000004"/>
    <x v="1"/>
    <x v="5"/>
    <x v="1"/>
    <x v="1"/>
    <n v="15"/>
    <x v="4"/>
    <x v="3"/>
  </r>
  <r>
    <n v="3092"/>
    <n v="68"/>
    <x v="1"/>
    <x v="10"/>
    <x v="0"/>
    <n v="81"/>
    <x v="22"/>
    <x v="0"/>
    <s v="Orange"/>
    <x v="0"/>
    <n v="3.4"/>
    <x v="1"/>
    <x v="4"/>
    <x v="1"/>
    <x v="1"/>
    <n v="46"/>
    <x v="2"/>
    <x v="2"/>
  </r>
  <r>
    <n v="3093"/>
    <n v="52"/>
    <x v="1"/>
    <x v="12"/>
    <x v="3"/>
    <n v="54"/>
    <x v="40"/>
    <x v="0"/>
    <s v="Silver"/>
    <x v="3"/>
    <n v="3.5"/>
    <x v="1"/>
    <x v="2"/>
    <x v="1"/>
    <x v="1"/>
    <n v="14"/>
    <x v="4"/>
    <x v="4"/>
  </r>
  <r>
    <n v="3094"/>
    <n v="29"/>
    <x v="1"/>
    <x v="20"/>
    <x v="0"/>
    <n v="63"/>
    <x v="38"/>
    <x v="0"/>
    <s v="Red"/>
    <x v="2"/>
    <n v="4.8"/>
    <x v="1"/>
    <x v="5"/>
    <x v="1"/>
    <x v="1"/>
    <n v="17"/>
    <x v="1"/>
    <x v="6"/>
  </r>
  <r>
    <n v="3095"/>
    <n v="22"/>
    <x v="1"/>
    <x v="3"/>
    <x v="1"/>
    <n v="59"/>
    <x v="42"/>
    <x v="2"/>
    <s v="Gray"/>
    <x v="2"/>
    <n v="2.7"/>
    <x v="1"/>
    <x v="5"/>
    <x v="1"/>
    <x v="1"/>
    <n v="9"/>
    <x v="1"/>
    <x v="1"/>
  </r>
  <r>
    <n v="3096"/>
    <n v="62"/>
    <x v="1"/>
    <x v="19"/>
    <x v="3"/>
    <n v="53"/>
    <x v="46"/>
    <x v="1"/>
    <s v="Beige"/>
    <x v="3"/>
    <n v="3.4"/>
    <x v="1"/>
    <x v="3"/>
    <x v="1"/>
    <x v="1"/>
    <n v="13"/>
    <x v="0"/>
    <x v="0"/>
  </r>
  <r>
    <n v="3097"/>
    <n v="69"/>
    <x v="1"/>
    <x v="5"/>
    <x v="0"/>
    <n v="63"/>
    <x v="23"/>
    <x v="0"/>
    <s v="White"/>
    <x v="0"/>
    <n v="3.5"/>
    <x v="1"/>
    <x v="2"/>
    <x v="1"/>
    <x v="1"/>
    <n v="20"/>
    <x v="4"/>
    <x v="5"/>
  </r>
  <r>
    <n v="3098"/>
    <n v="48"/>
    <x v="1"/>
    <x v="9"/>
    <x v="1"/>
    <n v="33"/>
    <x v="12"/>
    <x v="2"/>
    <s v="Silver"/>
    <x v="3"/>
    <n v="3.7"/>
    <x v="1"/>
    <x v="1"/>
    <x v="1"/>
    <x v="1"/>
    <n v="39"/>
    <x v="4"/>
    <x v="3"/>
  </r>
  <r>
    <n v="3099"/>
    <n v="66"/>
    <x v="1"/>
    <x v="13"/>
    <x v="0"/>
    <n v="64"/>
    <x v="35"/>
    <x v="0"/>
    <s v="Cyan"/>
    <x v="2"/>
    <n v="3.3"/>
    <x v="1"/>
    <x v="2"/>
    <x v="1"/>
    <x v="1"/>
    <n v="50"/>
    <x v="4"/>
    <x v="3"/>
  </r>
  <r>
    <n v="3100"/>
    <n v="42"/>
    <x v="1"/>
    <x v="5"/>
    <x v="0"/>
    <n v="98"/>
    <x v="49"/>
    <x v="1"/>
    <s v="Maroon"/>
    <x v="3"/>
    <n v="2.9"/>
    <x v="1"/>
    <x v="1"/>
    <x v="1"/>
    <x v="1"/>
    <n v="21"/>
    <x v="4"/>
    <x v="4"/>
  </r>
  <r>
    <n v="3101"/>
    <n v="50"/>
    <x v="1"/>
    <x v="19"/>
    <x v="3"/>
    <n v="85"/>
    <x v="34"/>
    <x v="0"/>
    <s v="Purple"/>
    <x v="0"/>
    <n v="3.9"/>
    <x v="1"/>
    <x v="0"/>
    <x v="1"/>
    <x v="1"/>
    <n v="3"/>
    <x v="4"/>
    <x v="1"/>
  </r>
  <r>
    <n v="3102"/>
    <n v="32"/>
    <x v="1"/>
    <x v="16"/>
    <x v="3"/>
    <n v="82"/>
    <x v="37"/>
    <x v="1"/>
    <s v="Brown"/>
    <x v="2"/>
    <n v="2.7"/>
    <x v="1"/>
    <x v="0"/>
    <x v="1"/>
    <x v="1"/>
    <n v="9"/>
    <x v="3"/>
    <x v="0"/>
  </r>
  <r>
    <n v="3103"/>
    <n v="51"/>
    <x v="1"/>
    <x v="14"/>
    <x v="2"/>
    <n v="85"/>
    <x v="45"/>
    <x v="2"/>
    <s v="Green"/>
    <x v="2"/>
    <n v="4.3"/>
    <x v="1"/>
    <x v="3"/>
    <x v="1"/>
    <x v="1"/>
    <n v="29"/>
    <x v="1"/>
    <x v="4"/>
  </r>
  <r>
    <n v="3104"/>
    <n v="27"/>
    <x v="1"/>
    <x v="5"/>
    <x v="0"/>
    <n v="37"/>
    <x v="26"/>
    <x v="1"/>
    <s v="Peach"/>
    <x v="0"/>
    <n v="3"/>
    <x v="1"/>
    <x v="4"/>
    <x v="1"/>
    <x v="1"/>
    <n v="42"/>
    <x v="4"/>
    <x v="1"/>
  </r>
  <r>
    <n v="3105"/>
    <n v="43"/>
    <x v="1"/>
    <x v="13"/>
    <x v="0"/>
    <n v="56"/>
    <x v="42"/>
    <x v="1"/>
    <s v="Turquoise"/>
    <x v="2"/>
    <n v="5"/>
    <x v="1"/>
    <x v="4"/>
    <x v="1"/>
    <x v="1"/>
    <n v="41"/>
    <x v="5"/>
    <x v="0"/>
  </r>
  <r>
    <n v="3106"/>
    <n v="48"/>
    <x v="1"/>
    <x v="11"/>
    <x v="0"/>
    <n v="33"/>
    <x v="4"/>
    <x v="2"/>
    <s v="Olive"/>
    <x v="3"/>
    <n v="2.7"/>
    <x v="1"/>
    <x v="0"/>
    <x v="1"/>
    <x v="1"/>
    <n v="17"/>
    <x v="5"/>
    <x v="5"/>
  </r>
  <r>
    <n v="3107"/>
    <n v="62"/>
    <x v="1"/>
    <x v="3"/>
    <x v="1"/>
    <n v="57"/>
    <x v="15"/>
    <x v="2"/>
    <s v="Yellow"/>
    <x v="0"/>
    <n v="4.7"/>
    <x v="1"/>
    <x v="2"/>
    <x v="1"/>
    <x v="1"/>
    <n v="20"/>
    <x v="3"/>
    <x v="2"/>
  </r>
  <r>
    <n v="3108"/>
    <n v="65"/>
    <x v="1"/>
    <x v="0"/>
    <x v="0"/>
    <n v="31"/>
    <x v="11"/>
    <x v="0"/>
    <s v="Gray"/>
    <x v="0"/>
    <n v="4.5999999999999996"/>
    <x v="1"/>
    <x v="3"/>
    <x v="1"/>
    <x v="1"/>
    <n v="18"/>
    <x v="2"/>
    <x v="4"/>
  </r>
  <r>
    <n v="3109"/>
    <n v="50"/>
    <x v="1"/>
    <x v="20"/>
    <x v="0"/>
    <n v="69"/>
    <x v="4"/>
    <x v="2"/>
    <s v="Purple"/>
    <x v="3"/>
    <n v="3.2"/>
    <x v="1"/>
    <x v="4"/>
    <x v="1"/>
    <x v="1"/>
    <n v="7"/>
    <x v="3"/>
    <x v="5"/>
  </r>
  <r>
    <n v="3110"/>
    <n v="60"/>
    <x v="1"/>
    <x v="14"/>
    <x v="2"/>
    <n v="92"/>
    <x v="26"/>
    <x v="2"/>
    <s v="Gray"/>
    <x v="0"/>
    <n v="4.3"/>
    <x v="1"/>
    <x v="1"/>
    <x v="1"/>
    <x v="1"/>
    <n v="47"/>
    <x v="4"/>
    <x v="0"/>
  </r>
  <r>
    <n v="3111"/>
    <n v="19"/>
    <x v="1"/>
    <x v="8"/>
    <x v="3"/>
    <n v="46"/>
    <x v="21"/>
    <x v="0"/>
    <s v="Lavender"/>
    <x v="3"/>
    <n v="4.5999999999999996"/>
    <x v="1"/>
    <x v="2"/>
    <x v="1"/>
    <x v="1"/>
    <n v="2"/>
    <x v="4"/>
    <x v="4"/>
  </r>
  <r>
    <n v="3112"/>
    <n v="21"/>
    <x v="1"/>
    <x v="22"/>
    <x v="3"/>
    <n v="81"/>
    <x v="23"/>
    <x v="3"/>
    <s v="Indigo"/>
    <x v="1"/>
    <n v="4.9000000000000004"/>
    <x v="1"/>
    <x v="1"/>
    <x v="1"/>
    <x v="1"/>
    <n v="25"/>
    <x v="5"/>
    <x v="3"/>
  </r>
  <r>
    <n v="3113"/>
    <n v="19"/>
    <x v="1"/>
    <x v="0"/>
    <x v="0"/>
    <n v="97"/>
    <x v="21"/>
    <x v="1"/>
    <s v="Green"/>
    <x v="3"/>
    <n v="3.8"/>
    <x v="1"/>
    <x v="0"/>
    <x v="1"/>
    <x v="1"/>
    <n v="26"/>
    <x v="0"/>
    <x v="2"/>
  </r>
  <r>
    <n v="3114"/>
    <n v="46"/>
    <x v="1"/>
    <x v="5"/>
    <x v="0"/>
    <n v="93"/>
    <x v="43"/>
    <x v="0"/>
    <s v="Green"/>
    <x v="2"/>
    <n v="2.6"/>
    <x v="1"/>
    <x v="0"/>
    <x v="1"/>
    <x v="1"/>
    <n v="2"/>
    <x v="5"/>
    <x v="1"/>
  </r>
  <r>
    <n v="3115"/>
    <n v="21"/>
    <x v="1"/>
    <x v="8"/>
    <x v="3"/>
    <n v="56"/>
    <x v="10"/>
    <x v="2"/>
    <s v="Olive"/>
    <x v="1"/>
    <n v="4.7"/>
    <x v="1"/>
    <x v="5"/>
    <x v="1"/>
    <x v="1"/>
    <n v="45"/>
    <x v="0"/>
    <x v="4"/>
  </r>
  <r>
    <n v="3116"/>
    <n v="26"/>
    <x v="1"/>
    <x v="18"/>
    <x v="3"/>
    <n v="53"/>
    <x v="45"/>
    <x v="2"/>
    <s v="Charcoal"/>
    <x v="3"/>
    <n v="4.0999999999999996"/>
    <x v="1"/>
    <x v="1"/>
    <x v="1"/>
    <x v="1"/>
    <n v="9"/>
    <x v="4"/>
    <x v="4"/>
  </r>
  <r>
    <n v="3117"/>
    <n v="50"/>
    <x v="1"/>
    <x v="7"/>
    <x v="2"/>
    <n v="66"/>
    <x v="6"/>
    <x v="0"/>
    <s v="Gray"/>
    <x v="1"/>
    <n v="3.7"/>
    <x v="1"/>
    <x v="5"/>
    <x v="1"/>
    <x v="1"/>
    <n v="1"/>
    <x v="0"/>
    <x v="1"/>
  </r>
  <r>
    <n v="3118"/>
    <n v="43"/>
    <x v="1"/>
    <x v="15"/>
    <x v="0"/>
    <n v="50"/>
    <x v="20"/>
    <x v="2"/>
    <s v="Olive"/>
    <x v="3"/>
    <n v="3"/>
    <x v="1"/>
    <x v="1"/>
    <x v="1"/>
    <x v="1"/>
    <n v="4"/>
    <x v="3"/>
    <x v="4"/>
  </r>
  <r>
    <n v="3119"/>
    <n v="61"/>
    <x v="1"/>
    <x v="6"/>
    <x v="0"/>
    <n v="97"/>
    <x v="41"/>
    <x v="0"/>
    <s v="Blue"/>
    <x v="2"/>
    <n v="4.7"/>
    <x v="1"/>
    <x v="3"/>
    <x v="1"/>
    <x v="1"/>
    <n v="31"/>
    <x v="5"/>
    <x v="3"/>
  </r>
  <r>
    <n v="3120"/>
    <n v="63"/>
    <x v="1"/>
    <x v="3"/>
    <x v="1"/>
    <n v="79"/>
    <x v="7"/>
    <x v="3"/>
    <s v="Silver"/>
    <x v="0"/>
    <n v="4.7"/>
    <x v="1"/>
    <x v="4"/>
    <x v="1"/>
    <x v="1"/>
    <n v="21"/>
    <x v="2"/>
    <x v="6"/>
  </r>
  <r>
    <n v="3121"/>
    <n v="46"/>
    <x v="1"/>
    <x v="5"/>
    <x v="0"/>
    <n v="76"/>
    <x v="7"/>
    <x v="2"/>
    <s v="Magenta"/>
    <x v="3"/>
    <n v="4"/>
    <x v="1"/>
    <x v="5"/>
    <x v="1"/>
    <x v="1"/>
    <n v="32"/>
    <x v="5"/>
    <x v="0"/>
  </r>
  <r>
    <n v="3122"/>
    <n v="63"/>
    <x v="1"/>
    <x v="15"/>
    <x v="0"/>
    <n v="38"/>
    <x v="7"/>
    <x v="0"/>
    <s v="Black"/>
    <x v="3"/>
    <n v="2.6"/>
    <x v="1"/>
    <x v="3"/>
    <x v="1"/>
    <x v="1"/>
    <n v="16"/>
    <x v="0"/>
    <x v="1"/>
  </r>
  <r>
    <n v="3123"/>
    <n v="23"/>
    <x v="1"/>
    <x v="20"/>
    <x v="0"/>
    <n v="45"/>
    <x v="42"/>
    <x v="2"/>
    <s v="Pink"/>
    <x v="3"/>
    <n v="3"/>
    <x v="1"/>
    <x v="0"/>
    <x v="1"/>
    <x v="1"/>
    <n v="34"/>
    <x v="2"/>
    <x v="0"/>
  </r>
  <r>
    <n v="3124"/>
    <n v="57"/>
    <x v="1"/>
    <x v="8"/>
    <x v="3"/>
    <n v="77"/>
    <x v="44"/>
    <x v="3"/>
    <s v="Red"/>
    <x v="3"/>
    <n v="3.3"/>
    <x v="1"/>
    <x v="2"/>
    <x v="1"/>
    <x v="1"/>
    <n v="40"/>
    <x v="0"/>
    <x v="4"/>
  </r>
  <r>
    <n v="3125"/>
    <n v="57"/>
    <x v="1"/>
    <x v="16"/>
    <x v="3"/>
    <n v="51"/>
    <x v="18"/>
    <x v="2"/>
    <s v="Peach"/>
    <x v="2"/>
    <n v="3.4"/>
    <x v="1"/>
    <x v="3"/>
    <x v="1"/>
    <x v="1"/>
    <n v="4"/>
    <x v="1"/>
    <x v="6"/>
  </r>
  <r>
    <n v="3126"/>
    <n v="33"/>
    <x v="1"/>
    <x v="7"/>
    <x v="2"/>
    <n v="26"/>
    <x v="4"/>
    <x v="0"/>
    <s v="Lavender"/>
    <x v="1"/>
    <n v="4"/>
    <x v="1"/>
    <x v="3"/>
    <x v="1"/>
    <x v="1"/>
    <n v="3"/>
    <x v="1"/>
    <x v="3"/>
  </r>
  <r>
    <n v="3127"/>
    <n v="57"/>
    <x v="1"/>
    <x v="12"/>
    <x v="3"/>
    <n v="76"/>
    <x v="1"/>
    <x v="0"/>
    <s v="Lavender"/>
    <x v="0"/>
    <n v="2.6"/>
    <x v="1"/>
    <x v="5"/>
    <x v="1"/>
    <x v="1"/>
    <n v="28"/>
    <x v="4"/>
    <x v="4"/>
  </r>
  <r>
    <n v="3128"/>
    <n v="55"/>
    <x v="1"/>
    <x v="24"/>
    <x v="3"/>
    <n v="94"/>
    <x v="7"/>
    <x v="2"/>
    <s v="Beige"/>
    <x v="0"/>
    <n v="3.4"/>
    <x v="1"/>
    <x v="1"/>
    <x v="1"/>
    <x v="1"/>
    <n v="43"/>
    <x v="2"/>
    <x v="6"/>
  </r>
  <r>
    <n v="3129"/>
    <n v="65"/>
    <x v="1"/>
    <x v="14"/>
    <x v="2"/>
    <n v="32"/>
    <x v="10"/>
    <x v="1"/>
    <s v="Indigo"/>
    <x v="3"/>
    <n v="4.4000000000000004"/>
    <x v="1"/>
    <x v="3"/>
    <x v="1"/>
    <x v="1"/>
    <n v="20"/>
    <x v="1"/>
    <x v="2"/>
  </r>
  <r>
    <n v="3130"/>
    <n v="60"/>
    <x v="1"/>
    <x v="3"/>
    <x v="1"/>
    <n v="20"/>
    <x v="33"/>
    <x v="1"/>
    <s v="Cyan"/>
    <x v="2"/>
    <n v="4.7"/>
    <x v="1"/>
    <x v="0"/>
    <x v="1"/>
    <x v="1"/>
    <n v="40"/>
    <x v="0"/>
    <x v="6"/>
  </r>
  <r>
    <n v="3131"/>
    <n v="52"/>
    <x v="1"/>
    <x v="13"/>
    <x v="0"/>
    <n v="20"/>
    <x v="34"/>
    <x v="2"/>
    <s v="Yellow"/>
    <x v="2"/>
    <n v="4.5"/>
    <x v="1"/>
    <x v="5"/>
    <x v="1"/>
    <x v="1"/>
    <n v="34"/>
    <x v="0"/>
    <x v="6"/>
  </r>
  <r>
    <n v="3132"/>
    <n v="34"/>
    <x v="1"/>
    <x v="14"/>
    <x v="2"/>
    <n v="59"/>
    <x v="25"/>
    <x v="2"/>
    <s v="Peach"/>
    <x v="3"/>
    <n v="2.9"/>
    <x v="1"/>
    <x v="5"/>
    <x v="1"/>
    <x v="1"/>
    <n v="11"/>
    <x v="4"/>
    <x v="6"/>
  </r>
  <r>
    <n v="3133"/>
    <n v="33"/>
    <x v="1"/>
    <x v="1"/>
    <x v="0"/>
    <n v="97"/>
    <x v="49"/>
    <x v="2"/>
    <s v="Yellow"/>
    <x v="2"/>
    <n v="4.2"/>
    <x v="1"/>
    <x v="0"/>
    <x v="1"/>
    <x v="1"/>
    <n v="26"/>
    <x v="1"/>
    <x v="3"/>
  </r>
  <r>
    <n v="3134"/>
    <n v="58"/>
    <x v="1"/>
    <x v="17"/>
    <x v="0"/>
    <n v="68"/>
    <x v="10"/>
    <x v="2"/>
    <s v="Orange"/>
    <x v="1"/>
    <n v="4.0999999999999996"/>
    <x v="1"/>
    <x v="2"/>
    <x v="1"/>
    <x v="1"/>
    <n v="29"/>
    <x v="1"/>
    <x v="4"/>
  </r>
  <r>
    <n v="3135"/>
    <n v="35"/>
    <x v="1"/>
    <x v="23"/>
    <x v="1"/>
    <n v="66"/>
    <x v="0"/>
    <x v="0"/>
    <s v="Gray"/>
    <x v="1"/>
    <n v="4.4000000000000004"/>
    <x v="1"/>
    <x v="5"/>
    <x v="1"/>
    <x v="1"/>
    <n v="47"/>
    <x v="4"/>
    <x v="1"/>
  </r>
  <r>
    <n v="3136"/>
    <n v="68"/>
    <x v="1"/>
    <x v="9"/>
    <x v="1"/>
    <n v="85"/>
    <x v="27"/>
    <x v="0"/>
    <s v="Yellow"/>
    <x v="1"/>
    <n v="4.7"/>
    <x v="1"/>
    <x v="1"/>
    <x v="1"/>
    <x v="1"/>
    <n v="48"/>
    <x v="0"/>
    <x v="0"/>
  </r>
  <r>
    <n v="3137"/>
    <n v="58"/>
    <x v="1"/>
    <x v="11"/>
    <x v="0"/>
    <n v="32"/>
    <x v="46"/>
    <x v="2"/>
    <s v="Gray"/>
    <x v="3"/>
    <n v="3.1"/>
    <x v="1"/>
    <x v="2"/>
    <x v="1"/>
    <x v="1"/>
    <n v="29"/>
    <x v="1"/>
    <x v="4"/>
  </r>
  <r>
    <n v="3138"/>
    <n v="34"/>
    <x v="1"/>
    <x v="7"/>
    <x v="2"/>
    <n v="44"/>
    <x v="7"/>
    <x v="2"/>
    <s v="Turquoise"/>
    <x v="1"/>
    <n v="2.7"/>
    <x v="1"/>
    <x v="4"/>
    <x v="1"/>
    <x v="1"/>
    <n v="14"/>
    <x v="4"/>
    <x v="5"/>
  </r>
  <r>
    <n v="3139"/>
    <n v="47"/>
    <x v="1"/>
    <x v="0"/>
    <x v="0"/>
    <n v="95"/>
    <x v="0"/>
    <x v="0"/>
    <s v="Gray"/>
    <x v="3"/>
    <n v="4.5999999999999996"/>
    <x v="1"/>
    <x v="2"/>
    <x v="1"/>
    <x v="1"/>
    <n v="40"/>
    <x v="1"/>
    <x v="6"/>
  </r>
  <r>
    <n v="3140"/>
    <n v="35"/>
    <x v="1"/>
    <x v="12"/>
    <x v="3"/>
    <n v="85"/>
    <x v="42"/>
    <x v="2"/>
    <s v="Olive"/>
    <x v="0"/>
    <n v="4.4000000000000004"/>
    <x v="1"/>
    <x v="2"/>
    <x v="1"/>
    <x v="1"/>
    <n v="4"/>
    <x v="0"/>
    <x v="1"/>
  </r>
  <r>
    <n v="3141"/>
    <n v="34"/>
    <x v="1"/>
    <x v="24"/>
    <x v="3"/>
    <n v="44"/>
    <x v="29"/>
    <x v="3"/>
    <s v="Peach"/>
    <x v="2"/>
    <n v="4.5999999999999996"/>
    <x v="1"/>
    <x v="1"/>
    <x v="1"/>
    <x v="1"/>
    <n v="37"/>
    <x v="4"/>
    <x v="1"/>
  </r>
  <r>
    <n v="3142"/>
    <n v="36"/>
    <x v="1"/>
    <x v="12"/>
    <x v="3"/>
    <n v="30"/>
    <x v="16"/>
    <x v="1"/>
    <s v="Peach"/>
    <x v="0"/>
    <n v="4.9000000000000004"/>
    <x v="1"/>
    <x v="0"/>
    <x v="1"/>
    <x v="1"/>
    <n v="47"/>
    <x v="2"/>
    <x v="4"/>
  </r>
  <r>
    <n v="3143"/>
    <n v="23"/>
    <x v="1"/>
    <x v="4"/>
    <x v="1"/>
    <n v="21"/>
    <x v="23"/>
    <x v="0"/>
    <s v="Magenta"/>
    <x v="0"/>
    <n v="4"/>
    <x v="1"/>
    <x v="4"/>
    <x v="1"/>
    <x v="1"/>
    <n v="1"/>
    <x v="0"/>
    <x v="3"/>
  </r>
  <r>
    <n v="3144"/>
    <n v="68"/>
    <x v="1"/>
    <x v="15"/>
    <x v="0"/>
    <n v="22"/>
    <x v="28"/>
    <x v="2"/>
    <s v="Purple"/>
    <x v="2"/>
    <n v="2.9"/>
    <x v="1"/>
    <x v="5"/>
    <x v="1"/>
    <x v="1"/>
    <n v="26"/>
    <x v="1"/>
    <x v="3"/>
  </r>
  <r>
    <n v="3145"/>
    <n v="23"/>
    <x v="1"/>
    <x v="23"/>
    <x v="1"/>
    <n v="70"/>
    <x v="1"/>
    <x v="0"/>
    <s v="Beige"/>
    <x v="1"/>
    <n v="2.6"/>
    <x v="1"/>
    <x v="1"/>
    <x v="1"/>
    <x v="1"/>
    <n v="12"/>
    <x v="5"/>
    <x v="3"/>
  </r>
  <r>
    <n v="3146"/>
    <n v="57"/>
    <x v="1"/>
    <x v="8"/>
    <x v="3"/>
    <n v="29"/>
    <x v="21"/>
    <x v="3"/>
    <s v="Purple"/>
    <x v="1"/>
    <n v="4.5999999999999996"/>
    <x v="1"/>
    <x v="3"/>
    <x v="1"/>
    <x v="1"/>
    <n v="16"/>
    <x v="3"/>
    <x v="0"/>
  </r>
  <r>
    <n v="3147"/>
    <n v="21"/>
    <x v="1"/>
    <x v="5"/>
    <x v="0"/>
    <n v="83"/>
    <x v="41"/>
    <x v="1"/>
    <s v="Yellow"/>
    <x v="0"/>
    <n v="4.9000000000000004"/>
    <x v="1"/>
    <x v="1"/>
    <x v="1"/>
    <x v="1"/>
    <n v="19"/>
    <x v="3"/>
    <x v="2"/>
  </r>
  <r>
    <n v="3148"/>
    <n v="45"/>
    <x v="1"/>
    <x v="1"/>
    <x v="0"/>
    <n v="99"/>
    <x v="25"/>
    <x v="2"/>
    <s v="Pink"/>
    <x v="0"/>
    <n v="4.3"/>
    <x v="1"/>
    <x v="0"/>
    <x v="1"/>
    <x v="1"/>
    <n v="21"/>
    <x v="2"/>
    <x v="1"/>
  </r>
  <r>
    <n v="3149"/>
    <n v="37"/>
    <x v="1"/>
    <x v="6"/>
    <x v="0"/>
    <n v="35"/>
    <x v="8"/>
    <x v="0"/>
    <s v="Purple"/>
    <x v="3"/>
    <n v="4.3"/>
    <x v="1"/>
    <x v="1"/>
    <x v="1"/>
    <x v="1"/>
    <n v="15"/>
    <x v="0"/>
    <x v="1"/>
  </r>
  <r>
    <n v="3150"/>
    <n v="18"/>
    <x v="1"/>
    <x v="22"/>
    <x v="3"/>
    <n v="40"/>
    <x v="17"/>
    <x v="2"/>
    <s v="Lavender"/>
    <x v="0"/>
    <n v="4.5999999999999996"/>
    <x v="1"/>
    <x v="1"/>
    <x v="1"/>
    <x v="1"/>
    <n v="9"/>
    <x v="0"/>
    <x v="2"/>
  </r>
  <r>
    <n v="3151"/>
    <n v="55"/>
    <x v="1"/>
    <x v="0"/>
    <x v="0"/>
    <n v="25"/>
    <x v="42"/>
    <x v="2"/>
    <s v="Peach"/>
    <x v="1"/>
    <n v="2.6"/>
    <x v="1"/>
    <x v="0"/>
    <x v="1"/>
    <x v="1"/>
    <n v="7"/>
    <x v="4"/>
    <x v="4"/>
  </r>
  <r>
    <n v="3152"/>
    <n v="52"/>
    <x v="1"/>
    <x v="17"/>
    <x v="0"/>
    <n v="64"/>
    <x v="35"/>
    <x v="0"/>
    <s v="Orange"/>
    <x v="3"/>
    <n v="3.1"/>
    <x v="1"/>
    <x v="4"/>
    <x v="1"/>
    <x v="1"/>
    <n v="47"/>
    <x v="4"/>
    <x v="3"/>
  </r>
  <r>
    <n v="3153"/>
    <n v="49"/>
    <x v="1"/>
    <x v="22"/>
    <x v="3"/>
    <n v="90"/>
    <x v="17"/>
    <x v="2"/>
    <s v="Red"/>
    <x v="3"/>
    <n v="3.1"/>
    <x v="1"/>
    <x v="5"/>
    <x v="1"/>
    <x v="1"/>
    <n v="17"/>
    <x v="3"/>
    <x v="5"/>
  </r>
  <r>
    <n v="3154"/>
    <n v="56"/>
    <x v="1"/>
    <x v="20"/>
    <x v="0"/>
    <n v="88"/>
    <x v="15"/>
    <x v="0"/>
    <s v="Red"/>
    <x v="3"/>
    <n v="3.1"/>
    <x v="1"/>
    <x v="2"/>
    <x v="1"/>
    <x v="1"/>
    <n v="46"/>
    <x v="0"/>
    <x v="0"/>
  </r>
  <r>
    <n v="3155"/>
    <n v="27"/>
    <x v="1"/>
    <x v="22"/>
    <x v="3"/>
    <n v="55"/>
    <x v="39"/>
    <x v="2"/>
    <s v="Gold"/>
    <x v="0"/>
    <n v="4.4000000000000004"/>
    <x v="1"/>
    <x v="3"/>
    <x v="1"/>
    <x v="1"/>
    <n v="32"/>
    <x v="1"/>
    <x v="3"/>
  </r>
  <r>
    <n v="3156"/>
    <n v="22"/>
    <x v="1"/>
    <x v="8"/>
    <x v="3"/>
    <n v="90"/>
    <x v="6"/>
    <x v="2"/>
    <s v="Brown"/>
    <x v="3"/>
    <n v="4.3"/>
    <x v="1"/>
    <x v="1"/>
    <x v="1"/>
    <x v="1"/>
    <n v="34"/>
    <x v="1"/>
    <x v="2"/>
  </r>
  <r>
    <n v="3157"/>
    <n v="18"/>
    <x v="1"/>
    <x v="5"/>
    <x v="0"/>
    <n v="50"/>
    <x v="6"/>
    <x v="2"/>
    <s v="Black"/>
    <x v="0"/>
    <n v="3.1"/>
    <x v="1"/>
    <x v="4"/>
    <x v="1"/>
    <x v="1"/>
    <n v="18"/>
    <x v="1"/>
    <x v="5"/>
  </r>
  <r>
    <n v="3158"/>
    <n v="21"/>
    <x v="1"/>
    <x v="22"/>
    <x v="3"/>
    <n v="34"/>
    <x v="1"/>
    <x v="0"/>
    <s v="Red"/>
    <x v="3"/>
    <n v="3.1"/>
    <x v="1"/>
    <x v="5"/>
    <x v="1"/>
    <x v="1"/>
    <n v="5"/>
    <x v="5"/>
    <x v="0"/>
  </r>
  <r>
    <n v="3159"/>
    <n v="30"/>
    <x v="1"/>
    <x v="16"/>
    <x v="3"/>
    <n v="77"/>
    <x v="16"/>
    <x v="2"/>
    <s v="Gray"/>
    <x v="0"/>
    <n v="4.9000000000000004"/>
    <x v="1"/>
    <x v="4"/>
    <x v="1"/>
    <x v="1"/>
    <n v="44"/>
    <x v="2"/>
    <x v="5"/>
  </r>
  <r>
    <n v="3160"/>
    <n v="62"/>
    <x v="1"/>
    <x v="19"/>
    <x v="3"/>
    <n v="89"/>
    <x v="7"/>
    <x v="0"/>
    <s v="Pink"/>
    <x v="0"/>
    <n v="2.9"/>
    <x v="1"/>
    <x v="5"/>
    <x v="1"/>
    <x v="1"/>
    <n v="4"/>
    <x v="4"/>
    <x v="3"/>
  </r>
  <r>
    <n v="3161"/>
    <n v="28"/>
    <x v="1"/>
    <x v="21"/>
    <x v="3"/>
    <n v="87"/>
    <x v="43"/>
    <x v="3"/>
    <s v="Turquoise"/>
    <x v="3"/>
    <n v="3.8"/>
    <x v="1"/>
    <x v="2"/>
    <x v="1"/>
    <x v="1"/>
    <n v="37"/>
    <x v="1"/>
    <x v="0"/>
  </r>
  <r>
    <n v="3162"/>
    <n v="66"/>
    <x v="1"/>
    <x v="10"/>
    <x v="0"/>
    <n v="77"/>
    <x v="2"/>
    <x v="1"/>
    <s v="Charcoal"/>
    <x v="0"/>
    <n v="4.2"/>
    <x v="1"/>
    <x v="4"/>
    <x v="1"/>
    <x v="1"/>
    <n v="43"/>
    <x v="1"/>
    <x v="5"/>
  </r>
  <r>
    <n v="3163"/>
    <n v="66"/>
    <x v="1"/>
    <x v="9"/>
    <x v="1"/>
    <n v="85"/>
    <x v="48"/>
    <x v="0"/>
    <s v="Blue"/>
    <x v="0"/>
    <n v="3.9"/>
    <x v="1"/>
    <x v="3"/>
    <x v="1"/>
    <x v="1"/>
    <n v="28"/>
    <x v="4"/>
    <x v="3"/>
  </r>
  <r>
    <n v="3164"/>
    <n v="49"/>
    <x v="1"/>
    <x v="13"/>
    <x v="0"/>
    <n v="66"/>
    <x v="43"/>
    <x v="3"/>
    <s v="Turquoise"/>
    <x v="2"/>
    <n v="2.8"/>
    <x v="1"/>
    <x v="0"/>
    <x v="1"/>
    <x v="1"/>
    <n v="36"/>
    <x v="1"/>
    <x v="5"/>
  </r>
  <r>
    <n v="3165"/>
    <n v="40"/>
    <x v="1"/>
    <x v="10"/>
    <x v="0"/>
    <n v="32"/>
    <x v="28"/>
    <x v="0"/>
    <s v="Silver"/>
    <x v="0"/>
    <n v="2.6"/>
    <x v="1"/>
    <x v="3"/>
    <x v="1"/>
    <x v="1"/>
    <n v="16"/>
    <x v="2"/>
    <x v="2"/>
  </r>
  <r>
    <n v="3166"/>
    <n v="49"/>
    <x v="1"/>
    <x v="14"/>
    <x v="2"/>
    <n v="92"/>
    <x v="11"/>
    <x v="2"/>
    <s v="Lavender"/>
    <x v="1"/>
    <n v="3"/>
    <x v="1"/>
    <x v="5"/>
    <x v="1"/>
    <x v="1"/>
    <n v="38"/>
    <x v="4"/>
    <x v="6"/>
  </r>
  <r>
    <n v="3167"/>
    <n v="19"/>
    <x v="1"/>
    <x v="5"/>
    <x v="0"/>
    <n v="80"/>
    <x v="42"/>
    <x v="2"/>
    <s v="Gold"/>
    <x v="0"/>
    <n v="2.7"/>
    <x v="1"/>
    <x v="2"/>
    <x v="1"/>
    <x v="1"/>
    <n v="37"/>
    <x v="4"/>
    <x v="0"/>
  </r>
  <r>
    <n v="3168"/>
    <n v="24"/>
    <x v="1"/>
    <x v="10"/>
    <x v="0"/>
    <n v="78"/>
    <x v="4"/>
    <x v="2"/>
    <s v="Blue"/>
    <x v="3"/>
    <n v="2.8"/>
    <x v="1"/>
    <x v="4"/>
    <x v="1"/>
    <x v="1"/>
    <n v="9"/>
    <x v="1"/>
    <x v="4"/>
  </r>
  <r>
    <n v="3169"/>
    <n v="31"/>
    <x v="1"/>
    <x v="2"/>
    <x v="0"/>
    <n v="24"/>
    <x v="6"/>
    <x v="2"/>
    <s v="Orange"/>
    <x v="1"/>
    <n v="2.9"/>
    <x v="1"/>
    <x v="4"/>
    <x v="1"/>
    <x v="1"/>
    <n v="14"/>
    <x v="3"/>
    <x v="0"/>
  </r>
  <r>
    <n v="3170"/>
    <n v="35"/>
    <x v="1"/>
    <x v="17"/>
    <x v="0"/>
    <n v="59"/>
    <x v="42"/>
    <x v="2"/>
    <s v="White"/>
    <x v="3"/>
    <n v="3.8"/>
    <x v="1"/>
    <x v="1"/>
    <x v="1"/>
    <x v="1"/>
    <n v="3"/>
    <x v="0"/>
    <x v="1"/>
  </r>
  <r>
    <n v="3171"/>
    <n v="65"/>
    <x v="1"/>
    <x v="12"/>
    <x v="3"/>
    <n v="41"/>
    <x v="3"/>
    <x v="3"/>
    <s v="Charcoal"/>
    <x v="1"/>
    <n v="4.4000000000000004"/>
    <x v="1"/>
    <x v="0"/>
    <x v="1"/>
    <x v="1"/>
    <n v="10"/>
    <x v="2"/>
    <x v="0"/>
  </r>
  <r>
    <n v="3172"/>
    <n v="68"/>
    <x v="1"/>
    <x v="16"/>
    <x v="3"/>
    <n v="26"/>
    <x v="30"/>
    <x v="2"/>
    <s v="Maroon"/>
    <x v="1"/>
    <n v="3.1"/>
    <x v="1"/>
    <x v="0"/>
    <x v="1"/>
    <x v="1"/>
    <n v="26"/>
    <x v="4"/>
    <x v="4"/>
  </r>
  <r>
    <n v="3173"/>
    <n v="57"/>
    <x v="1"/>
    <x v="20"/>
    <x v="0"/>
    <n v="52"/>
    <x v="9"/>
    <x v="2"/>
    <s v="Olive"/>
    <x v="3"/>
    <n v="3.7"/>
    <x v="1"/>
    <x v="3"/>
    <x v="1"/>
    <x v="1"/>
    <n v="30"/>
    <x v="5"/>
    <x v="4"/>
  </r>
  <r>
    <n v="3174"/>
    <n v="69"/>
    <x v="1"/>
    <x v="11"/>
    <x v="0"/>
    <n v="46"/>
    <x v="47"/>
    <x v="0"/>
    <s v="Teal"/>
    <x v="2"/>
    <n v="4.9000000000000004"/>
    <x v="1"/>
    <x v="2"/>
    <x v="1"/>
    <x v="1"/>
    <n v="32"/>
    <x v="3"/>
    <x v="0"/>
  </r>
  <r>
    <n v="3175"/>
    <n v="45"/>
    <x v="1"/>
    <x v="13"/>
    <x v="0"/>
    <n v="52"/>
    <x v="19"/>
    <x v="0"/>
    <s v="Orange"/>
    <x v="0"/>
    <n v="3.8"/>
    <x v="1"/>
    <x v="5"/>
    <x v="1"/>
    <x v="1"/>
    <n v="35"/>
    <x v="3"/>
    <x v="5"/>
  </r>
  <r>
    <n v="3176"/>
    <n v="35"/>
    <x v="1"/>
    <x v="20"/>
    <x v="0"/>
    <n v="42"/>
    <x v="39"/>
    <x v="2"/>
    <s v="Maroon"/>
    <x v="3"/>
    <n v="3.4"/>
    <x v="1"/>
    <x v="5"/>
    <x v="1"/>
    <x v="1"/>
    <n v="26"/>
    <x v="5"/>
    <x v="6"/>
  </r>
  <r>
    <n v="3177"/>
    <n v="36"/>
    <x v="1"/>
    <x v="3"/>
    <x v="1"/>
    <n v="37"/>
    <x v="10"/>
    <x v="3"/>
    <s v="Turquoise"/>
    <x v="1"/>
    <n v="4.5999999999999996"/>
    <x v="1"/>
    <x v="4"/>
    <x v="1"/>
    <x v="1"/>
    <n v="39"/>
    <x v="2"/>
    <x v="5"/>
  </r>
  <r>
    <n v="3178"/>
    <n v="55"/>
    <x v="1"/>
    <x v="22"/>
    <x v="3"/>
    <n v="52"/>
    <x v="9"/>
    <x v="0"/>
    <s v="Beige"/>
    <x v="3"/>
    <n v="3.2"/>
    <x v="1"/>
    <x v="3"/>
    <x v="1"/>
    <x v="1"/>
    <n v="31"/>
    <x v="2"/>
    <x v="5"/>
  </r>
  <r>
    <n v="3179"/>
    <n v="66"/>
    <x v="1"/>
    <x v="3"/>
    <x v="1"/>
    <n v="34"/>
    <x v="47"/>
    <x v="0"/>
    <s v="Beige"/>
    <x v="1"/>
    <n v="2.7"/>
    <x v="1"/>
    <x v="1"/>
    <x v="1"/>
    <x v="1"/>
    <n v="28"/>
    <x v="2"/>
    <x v="2"/>
  </r>
  <r>
    <n v="3180"/>
    <n v="57"/>
    <x v="1"/>
    <x v="6"/>
    <x v="0"/>
    <n v="88"/>
    <x v="37"/>
    <x v="2"/>
    <s v="Olive"/>
    <x v="1"/>
    <n v="4.3"/>
    <x v="1"/>
    <x v="1"/>
    <x v="1"/>
    <x v="1"/>
    <n v="12"/>
    <x v="5"/>
    <x v="4"/>
  </r>
  <r>
    <n v="3181"/>
    <n v="18"/>
    <x v="1"/>
    <x v="8"/>
    <x v="3"/>
    <n v="88"/>
    <x v="6"/>
    <x v="0"/>
    <s v="Turquoise"/>
    <x v="3"/>
    <n v="3.8"/>
    <x v="1"/>
    <x v="3"/>
    <x v="1"/>
    <x v="1"/>
    <n v="46"/>
    <x v="3"/>
    <x v="1"/>
  </r>
  <r>
    <n v="3182"/>
    <n v="31"/>
    <x v="1"/>
    <x v="14"/>
    <x v="2"/>
    <n v="51"/>
    <x v="6"/>
    <x v="2"/>
    <s v="Charcoal"/>
    <x v="2"/>
    <n v="4.4000000000000004"/>
    <x v="1"/>
    <x v="1"/>
    <x v="1"/>
    <x v="1"/>
    <n v="27"/>
    <x v="3"/>
    <x v="6"/>
  </r>
  <r>
    <n v="3183"/>
    <n v="50"/>
    <x v="1"/>
    <x v="12"/>
    <x v="3"/>
    <n v="97"/>
    <x v="42"/>
    <x v="0"/>
    <s v="Green"/>
    <x v="3"/>
    <n v="3.6"/>
    <x v="1"/>
    <x v="1"/>
    <x v="1"/>
    <x v="1"/>
    <n v="4"/>
    <x v="2"/>
    <x v="2"/>
  </r>
  <r>
    <n v="3184"/>
    <n v="50"/>
    <x v="1"/>
    <x v="4"/>
    <x v="1"/>
    <n v="56"/>
    <x v="16"/>
    <x v="2"/>
    <s v="Green"/>
    <x v="0"/>
    <n v="3.5"/>
    <x v="1"/>
    <x v="3"/>
    <x v="1"/>
    <x v="1"/>
    <n v="14"/>
    <x v="1"/>
    <x v="6"/>
  </r>
  <r>
    <n v="3185"/>
    <n v="61"/>
    <x v="1"/>
    <x v="1"/>
    <x v="0"/>
    <n v="53"/>
    <x v="11"/>
    <x v="0"/>
    <s v="Green"/>
    <x v="1"/>
    <n v="4.2"/>
    <x v="1"/>
    <x v="4"/>
    <x v="1"/>
    <x v="1"/>
    <n v="30"/>
    <x v="0"/>
    <x v="3"/>
  </r>
  <r>
    <n v="3186"/>
    <n v="52"/>
    <x v="1"/>
    <x v="11"/>
    <x v="0"/>
    <n v="71"/>
    <x v="31"/>
    <x v="0"/>
    <s v="Gold"/>
    <x v="3"/>
    <n v="4.7"/>
    <x v="1"/>
    <x v="0"/>
    <x v="1"/>
    <x v="1"/>
    <n v="6"/>
    <x v="3"/>
    <x v="2"/>
  </r>
  <r>
    <n v="3187"/>
    <n v="38"/>
    <x v="1"/>
    <x v="16"/>
    <x v="3"/>
    <n v="93"/>
    <x v="41"/>
    <x v="1"/>
    <s v="Cyan"/>
    <x v="0"/>
    <n v="4.8"/>
    <x v="1"/>
    <x v="5"/>
    <x v="1"/>
    <x v="1"/>
    <n v="43"/>
    <x v="0"/>
    <x v="2"/>
  </r>
  <r>
    <n v="3188"/>
    <n v="67"/>
    <x v="1"/>
    <x v="0"/>
    <x v="0"/>
    <n v="72"/>
    <x v="21"/>
    <x v="0"/>
    <s v="Indigo"/>
    <x v="0"/>
    <n v="3.2"/>
    <x v="1"/>
    <x v="1"/>
    <x v="1"/>
    <x v="1"/>
    <n v="28"/>
    <x v="5"/>
    <x v="1"/>
  </r>
  <r>
    <n v="3189"/>
    <n v="42"/>
    <x v="1"/>
    <x v="0"/>
    <x v="0"/>
    <n v="59"/>
    <x v="34"/>
    <x v="2"/>
    <s v="Lavender"/>
    <x v="0"/>
    <n v="3.5"/>
    <x v="1"/>
    <x v="3"/>
    <x v="1"/>
    <x v="1"/>
    <n v="39"/>
    <x v="4"/>
    <x v="5"/>
  </r>
  <r>
    <n v="3190"/>
    <n v="25"/>
    <x v="1"/>
    <x v="23"/>
    <x v="1"/>
    <n v="87"/>
    <x v="23"/>
    <x v="2"/>
    <s v="Beige"/>
    <x v="2"/>
    <n v="4.2"/>
    <x v="1"/>
    <x v="5"/>
    <x v="1"/>
    <x v="1"/>
    <n v="30"/>
    <x v="3"/>
    <x v="4"/>
  </r>
  <r>
    <n v="3191"/>
    <n v="41"/>
    <x v="1"/>
    <x v="2"/>
    <x v="0"/>
    <n v="78"/>
    <x v="18"/>
    <x v="1"/>
    <s v="Purple"/>
    <x v="3"/>
    <n v="3.4"/>
    <x v="1"/>
    <x v="1"/>
    <x v="1"/>
    <x v="1"/>
    <n v="5"/>
    <x v="2"/>
    <x v="0"/>
  </r>
  <r>
    <n v="3192"/>
    <n v="62"/>
    <x v="1"/>
    <x v="15"/>
    <x v="0"/>
    <n v="68"/>
    <x v="16"/>
    <x v="3"/>
    <s v="Maroon"/>
    <x v="0"/>
    <n v="4.7"/>
    <x v="1"/>
    <x v="5"/>
    <x v="1"/>
    <x v="1"/>
    <n v="42"/>
    <x v="2"/>
    <x v="6"/>
  </r>
  <r>
    <n v="3193"/>
    <n v="19"/>
    <x v="1"/>
    <x v="1"/>
    <x v="0"/>
    <n v="76"/>
    <x v="44"/>
    <x v="1"/>
    <s v="Maroon"/>
    <x v="3"/>
    <n v="3"/>
    <x v="1"/>
    <x v="1"/>
    <x v="1"/>
    <x v="1"/>
    <n v="20"/>
    <x v="1"/>
    <x v="0"/>
  </r>
  <r>
    <n v="3194"/>
    <n v="63"/>
    <x v="1"/>
    <x v="24"/>
    <x v="3"/>
    <n v="99"/>
    <x v="41"/>
    <x v="0"/>
    <s v="Teal"/>
    <x v="0"/>
    <n v="4"/>
    <x v="1"/>
    <x v="0"/>
    <x v="1"/>
    <x v="1"/>
    <n v="35"/>
    <x v="2"/>
    <x v="0"/>
  </r>
  <r>
    <n v="3195"/>
    <n v="43"/>
    <x v="1"/>
    <x v="4"/>
    <x v="1"/>
    <n v="52"/>
    <x v="33"/>
    <x v="0"/>
    <s v="Gold"/>
    <x v="2"/>
    <n v="4.5999999999999996"/>
    <x v="1"/>
    <x v="3"/>
    <x v="1"/>
    <x v="1"/>
    <n v="10"/>
    <x v="2"/>
    <x v="4"/>
  </r>
  <r>
    <n v="3196"/>
    <n v="68"/>
    <x v="1"/>
    <x v="12"/>
    <x v="3"/>
    <n v="58"/>
    <x v="9"/>
    <x v="1"/>
    <s v="Red"/>
    <x v="1"/>
    <n v="4.9000000000000004"/>
    <x v="1"/>
    <x v="2"/>
    <x v="1"/>
    <x v="1"/>
    <n v="36"/>
    <x v="2"/>
    <x v="3"/>
  </r>
  <r>
    <n v="3197"/>
    <n v="24"/>
    <x v="1"/>
    <x v="22"/>
    <x v="3"/>
    <n v="59"/>
    <x v="48"/>
    <x v="0"/>
    <s v="Maroon"/>
    <x v="0"/>
    <n v="2.8"/>
    <x v="1"/>
    <x v="0"/>
    <x v="1"/>
    <x v="1"/>
    <n v="21"/>
    <x v="5"/>
    <x v="0"/>
  </r>
  <r>
    <n v="3198"/>
    <n v="27"/>
    <x v="1"/>
    <x v="1"/>
    <x v="0"/>
    <n v="71"/>
    <x v="1"/>
    <x v="2"/>
    <s v="Teal"/>
    <x v="1"/>
    <n v="3.2"/>
    <x v="1"/>
    <x v="1"/>
    <x v="1"/>
    <x v="1"/>
    <n v="29"/>
    <x v="2"/>
    <x v="6"/>
  </r>
  <r>
    <n v="3199"/>
    <n v="61"/>
    <x v="1"/>
    <x v="24"/>
    <x v="3"/>
    <n v="94"/>
    <x v="38"/>
    <x v="0"/>
    <s v="Peach"/>
    <x v="0"/>
    <n v="2.8"/>
    <x v="1"/>
    <x v="1"/>
    <x v="1"/>
    <x v="1"/>
    <n v="39"/>
    <x v="5"/>
    <x v="1"/>
  </r>
  <r>
    <n v="3200"/>
    <n v="59"/>
    <x v="1"/>
    <x v="8"/>
    <x v="3"/>
    <n v="40"/>
    <x v="1"/>
    <x v="3"/>
    <s v="Pink"/>
    <x v="0"/>
    <n v="4.2"/>
    <x v="1"/>
    <x v="0"/>
    <x v="1"/>
    <x v="1"/>
    <n v="16"/>
    <x v="3"/>
    <x v="5"/>
  </r>
  <r>
    <n v="3201"/>
    <n v="67"/>
    <x v="1"/>
    <x v="20"/>
    <x v="0"/>
    <n v="24"/>
    <x v="9"/>
    <x v="0"/>
    <s v="Black"/>
    <x v="1"/>
    <n v="4.8"/>
    <x v="1"/>
    <x v="1"/>
    <x v="1"/>
    <x v="1"/>
    <n v="32"/>
    <x v="2"/>
    <x v="5"/>
  </r>
  <r>
    <n v="3202"/>
    <n v="46"/>
    <x v="1"/>
    <x v="13"/>
    <x v="0"/>
    <n v="38"/>
    <x v="34"/>
    <x v="1"/>
    <s v="Indigo"/>
    <x v="3"/>
    <n v="2.8"/>
    <x v="1"/>
    <x v="4"/>
    <x v="1"/>
    <x v="1"/>
    <n v="34"/>
    <x v="1"/>
    <x v="5"/>
  </r>
  <r>
    <n v="3203"/>
    <n v="65"/>
    <x v="1"/>
    <x v="18"/>
    <x v="3"/>
    <n v="37"/>
    <x v="48"/>
    <x v="0"/>
    <s v="Green"/>
    <x v="3"/>
    <n v="4.5"/>
    <x v="1"/>
    <x v="3"/>
    <x v="1"/>
    <x v="1"/>
    <n v="38"/>
    <x v="0"/>
    <x v="2"/>
  </r>
  <r>
    <n v="3204"/>
    <n v="63"/>
    <x v="1"/>
    <x v="7"/>
    <x v="2"/>
    <n v="29"/>
    <x v="32"/>
    <x v="0"/>
    <s v="Teal"/>
    <x v="1"/>
    <n v="4.0999999999999996"/>
    <x v="1"/>
    <x v="0"/>
    <x v="1"/>
    <x v="1"/>
    <n v="14"/>
    <x v="0"/>
    <x v="2"/>
  </r>
  <r>
    <n v="3205"/>
    <n v="57"/>
    <x v="1"/>
    <x v="14"/>
    <x v="2"/>
    <n v="92"/>
    <x v="35"/>
    <x v="3"/>
    <s v="Lavender"/>
    <x v="3"/>
    <n v="4.3"/>
    <x v="1"/>
    <x v="1"/>
    <x v="1"/>
    <x v="1"/>
    <n v="23"/>
    <x v="5"/>
    <x v="4"/>
  </r>
  <r>
    <n v="3206"/>
    <n v="40"/>
    <x v="1"/>
    <x v="15"/>
    <x v="0"/>
    <n v="24"/>
    <x v="24"/>
    <x v="3"/>
    <s v="Magenta"/>
    <x v="3"/>
    <n v="4.4000000000000004"/>
    <x v="1"/>
    <x v="4"/>
    <x v="1"/>
    <x v="1"/>
    <n v="50"/>
    <x v="4"/>
    <x v="6"/>
  </r>
  <r>
    <n v="3207"/>
    <n v="36"/>
    <x v="1"/>
    <x v="23"/>
    <x v="1"/>
    <n v="52"/>
    <x v="18"/>
    <x v="2"/>
    <s v="Brown"/>
    <x v="0"/>
    <n v="3"/>
    <x v="1"/>
    <x v="1"/>
    <x v="1"/>
    <x v="1"/>
    <n v="49"/>
    <x v="3"/>
    <x v="5"/>
  </r>
  <r>
    <n v="3208"/>
    <n v="67"/>
    <x v="1"/>
    <x v="20"/>
    <x v="0"/>
    <n v="29"/>
    <x v="28"/>
    <x v="3"/>
    <s v="Beige"/>
    <x v="2"/>
    <n v="2.7"/>
    <x v="1"/>
    <x v="2"/>
    <x v="1"/>
    <x v="1"/>
    <n v="14"/>
    <x v="3"/>
    <x v="2"/>
  </r>
  <r>
    <n v="3209"/>
    <n v="61"/>
    <x v="1"/>
    <x v="16"/>
    <x v="3"/>
    <n v="30"/>
    <x v="27"/>
    <x v="0"/>
    <s v="Indigo"/>
    <x v="0"/>
    <n v="3.3"/>
    <x v="1"/>
    <x v="4"/>
    <x v="1"/>
    <x v="1"/>
    <n v="42"/>
    <x v="3"/>
    <x v="1"/>
  </r>
  <r>
    <n v="3210"/>
    <n v="64"/>
    <x v="1"/>
    <x v="9"/>
    <x v="1"/>
    <n v="31"/>
    <x v="10"/>
    <x v="0"/>
    <s v="Peach"/>
    <x v="3"/>
    <n v="4.3"/>
    <x v="1"/>
    <x v="3"/>
    <x v="1"/>
    <x v="1"/>
    <n v="39"/>
    <x v="5"/>
    <x v="2"/>
  </r>
  <r>
    <n v="3211"/>
    <n v="30"/>
    <x v="1"/>
    <x v="20"/>
    <x v="0"/>
    <n v="67"/>
    <x v="22"/>
    <x v="2"/>
    <s v="Magenta"/>
    <x v="2"/>
    <n v="2.9"/>
    <x v="1"/>
    <x v="0"/>
    <x v="1"/>
    <x v="1"/>
    <n v="43"/>
    <x v="0"/>
    <x v="4"/>
  </r>
  <r>
    <n v="3212"/>
    <n v="53"/>
    <x v="1"/>
    <x v="13"/>
    <x v="0"/>
    <n v="65"/>
    <x v="3"/>
    <x v="0"/>
    <s v="Turquoise"/>
    <x v="0"/>
    <n v="4.9000000000000004"/>
    <x v="1"/>
    <x v="3"/>
    <x v="1"/>
    <x v="1"/>
    <n v="12"/>
    <x v="1"/>
    <x v="5"/>
  </r>
  <r>
    <n v="3213"/>
    <n v="27"/>
    <x v="1"/>
    <x v="4"/>
    <x v="1"/>
    <n v="22"/>
    <x v="5"/>
    <x v="2"/>
    <s v="Indigo"/>
    <x v="0"/>
    <n v="3.6"/>
    <x v="1"/>
    <x v="4"/>
    <x v="1"/>
    <x v="1"/>
    <n v="21"/>
    <x v="5"/>
    <x v="1"/>
  </r>
  <r>
    <n v="3214"/>
    <n v="27"/>
    <x v="1"/>
    <x v="12"/>
    <x v="3"/>
    <n v="56"/>
    <x v="21"/>
    <x v="2"/>
    <s v="Brown"/>
    <x v="0"/>
    <n v="3.3"/>
    <x v="1"/>
    <x v="3"/>
    <x v="1"/>
    <x v="1"/>
    <n v="33"/>
    <x v="2"/>
    <x v="5"/>
  </r>
  <r>
    <n v="3215"/>
    <n v="53"/>
    <x v="1"/>
    <x v="11"/>
    <x v="0"/>
    <n v="78"/>
    <x v="47"/>
    <x v="2"/>
    <s v="Yellow"/>
    <x v="1"/>
    <n v="3.1"/>
    <x v="1"/>
    <x v="1"/>
    <x v="1"/>
    <x v="1"/>
    <n v="6"/>
    <x v="5"/>
    <x v="2"/>
  </r>
  <r>
    <n v="3216"/>
    <n v="34"/>
    <x v="1"/>
    <x v="7"/>
    <x v="2"/>
    <n v="90"/>
    <x v="3"/>
    <x v="2"/>
    <s v="Magenta"/>
    <x v="2"/>
    <n v="2.7"/>
    <x v="1"/>
    <x v="1"/>
    <x v="1"/>
    <x v="1"/>
    <n v="10"/>
    <x v="3"/>
    <x v="6"/>
  </r>
  <r>
    <n v="3217"/>
    <n v="39"/>
    <x v="1"/>
    <x v="15"/>
    <x v="0"/>
    <n v="85"/>
    <x v="26"/>
    <x v="1"/>
    <s v="Olive"/>
    <x v="0"/>
    <n v="3.4"/>
    <x v="1"/>
    <x v="2"/>
    <x v="1"/>
    <x v="1"/>
    <n v="18"/>
    <x v="1"/>
    <x v="1"/>
  </r>
  <r>
    <n v="3218"/>
    <n v="44"/>
    <x v="1"/>
    <x v="12"/>
    <x v="3"/>
    <n v="58"/>
    <x v="4"/>
    <x v="2"/>
    <s v="Silver"/>
    <x v="3"/>
    <n v="3.4"/>
    <x v="1"/>
    <x v="0"/>
    <x v="1"/>
    <x v="1"/>
    <n v="46"/>
    <x v="0"/>
    <x v="1"/>
  </r>
  <r>
    <n v="3219"/>
    <n v="37"/>
    <x v="1"/>
    <x v="11"/>
    <x v="0"/>
    <n v="34"/>
    <x v="20"/>
    <x v="2"/>
    <s v="Teal"/>
    <x v="3"/>
    <n v="3.9"/>
    <x v="1"/>
    <x v="0"/>
    <x v="1"/>
    <x v="1"/>
    <n v="49"/>
    <x v="3"/>
    <x v="5"/>
  </r>
  <r>
    <n v="3220"/>
    <n v="57"/>
    <x v="1"/>
    <x v="7"/>
    <x v="2"/>
    <n v="40"/>
    <x v="23"/>
    <x v="0"/>
    <s v="White"/>
    <x v="2"/>
    <n v="3.5"/>
    <x v="1"/>
    <x v="4"/>
    <x v="1"/>
    <x v="1"/>
    <n v="39"/>
    <x v="2"/>
    <x v="1"/>
  </r>
  <r>
    <n v="3221"/>
    <n v="38"/>
    <x v="1"/>
    <x v="8"/>
    <x v="3"/>
    <n v="29"/>
    <x v="25"/>
    <x v="2"/>
    <s v="Blue"/>
    <x v="3"/>
    <n v="4.0999999999999996"/>
    <x v="1"/>
    <x v="1"/>
    <x v="1"/>
    <x v="1"/>
    <n v="16"/>
    <x v="1"/>
    <x v="5"/>
  </r>
  <r>
    <n v="3222"/>
    <n v="21"/>
    <x v="1"/>
    <x v="17"/>
    <x v="0"/>
    <n v="76"/>
    <x v="13"/>
    <x v="2"/>
    <s v="Yellow"/>
    <x v="0"/>
    <n v="3.2"/>
    <x v="1"/>
    <x v="3"/>
    <x v="1"/>
    <x v="1"/>
    <n v="28"/>
    <x v="1"/>
    <x v="2"/>
  </r>
  <r>
    <n v="3223"/>
    <n v="45"/>
    <x v="1"/>
    <x v="12"/>
    <x v="3"/>
    <n v="84"/>
    <x v="21"/>
    <x v="1"/>
    <s v="Maroon"/>
    <x v="3"/>
    <n v="4.5999999999999996"/>
    <x v="1"/>
    <x v="5"/>
    <x v="1"/>
    <x v="1"/>
    <n v="22"/>
    <x v="3"/>
    <x v="3"/>
  </r>
  <r>
    <n v="3224"/>
    <n v="68"/>
    <x v="1"/>
    <x v="5"/>
    <x v="0"/>
    <n v="65"/>
    <x v="6"/>
    <x v="1"/>
    <s v="Gray"/>
    <x v="1"/>
    <n v="3.9"/>
    <x v="1"/>
    <x v="3"/>
    <x v="1"/>
    <x v="1"/>
    <n v="36"/>
    <x v="0"/>
    <x v="4"/>
  </r>
  <r>
    <n v="3225"/>
    <n v="37"/>
    <x v="1"/>
    <x v="15"/>
    <x v="0"/>
    <n v="80"/>
    <x v="12"/>
    <x v="0"/>
    <s v="Indigo"/>
    <x v="0"/>
    <n v="2.7"/>
    <x v="1"/>
    <x v="1"/>
    <x v="1"/>
    <x v="1"/>
    <n v="18"/>
    <x v="3"/>
    <x v="5"/>
  </r>
  <r>
    <n v="3226"/>
    <n v="53"/>
    <x v="1"/>
    <x v="0"/>
    <x v="0"/>
    <n v="98"/>
    <x v="13"/>
    <x v="2"/>
    <s v="Pink"/>
    <x v="3"/>
    <n v="3"/>
    <x v="1"/>
    <x v="5"/>
    <x v="1"/>
    <x v="1"/>
    <n v="31"/>
    <x v="2"/>
    <x v="1"/>
  </r>
  <r>
    <n v="3227"/>
    <n v="57"/>
    <x v="1"/>
    <x v="4"/>
    <x v="1"/>
    <n v="71"/>
    <x v="46"/>
    <x v="3"/>
    <s v="Beige"/>
    <x v="1"/>
    <n v="3.3"/>
    <x v="1"/>
    <x v="2"/>
    <x v="1"/>
    <x v="1"/>
    <n v="38"/>
    <x v="4"/>
    <x v="0"/>
  </r>
  <r>
    <n v="3228"/>
    <n v="28"/>
    <x v="1"/>
    <x v="18"/>
    <x v="3"/>
    <n v="69"/>
    <x v="29"/>
    <x v="3"/>
    <s v="White"/>
    <x v="3"/>
    <n v="2.7"/>
    <x v="1"/>
    <x v="1"/>
    <x v="1"/>
    <x v="1"/>
    <n v="42"/>
    <x v="5"/>
    <x v="3"/>
  </r>
  <r>
    <n v="3229"/>
    <n v="37"/>
    <x v="1"/>
    <x v="16"/>
    <x v="3"/>
    <n v="95"/>
    <x v="39"/>
    <x v="2"/>
    <s v="Yellow"/>
    <x v="1"/>
    <n v="4.5999999999999996"/>
    <x v="1"/>
    <x v="4"/>
    <x v="1"/>
    <x v="1"/>
    <n v="27"/>
    <x v="3"/>
    <x v="2"/>
  </r>
  <r>
    <n v="3230"/>
    <n v="54"/>
    <x v="1"/>
    <x v="13"/>
    <x v="0"/>
    <n v="67"/>
    <x v="39"/>
    <x v="2"/>
    <s v="Teal"/>
    <x v="3"/>
    <n v="2.7"/>
    <x v="1"/>
    <x v="0"/>
    <x v="1"/>
    <x v="1"/>
    <n v="24"/>
    <x v="1"/>
    <x v="5"/>
  </r>
  <r>
    <n v="3231"/>
    <n v="49"/>
    <x v="1"/>
    <x v="4"/>
    <x v="1"/>
    <n v="49"/>
    <x v="23"/>
    <x v="2"/>
    <s v="Olive"/>
    <x v="2"/>
    <n v="2.5"/>
    <x v="1"/>
    <x v="2"/>
    <x v="1"/>
    <x v="1"/>
    <n v="38"/>
    <x v="5"/>
    <x v="2"/>
  </r>
  <r>
    <n v="3232"/>
    <n v="62"/>
    <x v="1"/>
    <x v="9"/>
    <x v="1"/>
    <n v="97"/>
    <x v="22"/>
    <x v="2"/>
    <s v="Maroon"/>
    <x v="0"/>
    <n v="4.4000000000000004"/>
    <x v="1"/>
    <x v="1"/>
    <x v="1"/>
    <x v="1"/>
    <n v="9"/>
    <x v="2"/>
    <x v="2"/>
  </r>
  <r>
    <n v="3233"/>
    <n v="45"/>
    <x v="1"/>
    <x v="17"/>
    <x v="0"/>
    <n v="34"/>
    <x v="2"/>
    <x v="2"/>
    <s v="White"/>
    <x v="1"/>
    <n v="4"/>
    <x v="1"/>
    <x v="2"/>
    <x v="1"/>
    <x v="1"/>
    <n v="19"/>
    <x v="4"/>
    <x v="5"/>
  </r>
  <r>
    <n v="3234"/>
    <n v="45"/>
    <x v="1"/>
    <x v="22"/>
    <x v="3"/>
    <n v="74"/>
    <x v="27"/>
    <x v="2"/>
    <s v="Lavender"/>
    <x v="3"/>
    <n v="3.8"/>
    <x v="1"/>
    <x v="0"/>
    <x v="1"/>
    <x v="1"/>
    <n v="11"/>
    <x v="5"/>
    <x v="4"/>
  </r>
  <r>
    <n v="3235"/>
    <n v="49"/>
    <x v="1"/>
    <x v="16"/>
    <x v="3"/>
    <n v="96"/>
    <x v="47"/>
    <x v="2"/>
    <s v="Black"/>
    <x v="0"/>
    <n v="2.5"/>
    <x v="1"/>
    <x v="4"/>
    <x v="1"/>
    <x v="1"/>
    <n v="16"/>
    <x v="5"/>
    <x v="3"/>
  </r>
  <r>
    <n v="3236"/>
    <n v="27"/>
    <x v="1"/>
    <x v="22"/>
    <x v="3"/>
    <n v="68"/>
    <x v="23"/>
    <x v="2"/>
    <s v="Green"/>
    <x v="2"/>
    <n v="4"/>
    <x v="1"/>
    <x v="1"/>
    <x v="1"/>
    <x v="1"/>
    <n v="18"/>
    <x v="0"/>
    <x v="5"/>
  </r>
  <r>
    <n v="3237"/>
    <n v="63"/>
    <x v="1"/>
    <x v="22"/>
    <x v="3"/>
    <n v="84"/>
    <x v="36"/>
    <x v="0"/>
    <s v="Olive"/>
    <x v="3"/>
    <n v="4.0999999999999996"/>
    <x v="1"/>
    <x v="2"/>
    <x v="1"/>
    <x v="1"/>
    <n v="8"/>
    <x v="1"/>
    <x v="5"/>
  </r>
  <r>
    <n v="3238"/>
    <n v="61"/>
    <x v="1"/>
    <x v="17"/>
    <x v="0"/>
    <n v="57"/>
    <x v="34"/>
    <x v="2"/>
    <s v="Gray"/>
    <x v="2"/>
    <n v="2.8"/>
    <x v="1"/>
    <x v="0"/>
    <x v="1"/>
    <x v="1"/>
    <n v="4"/>
    <x v="1"/>
    <x v="1"/>
  </r>
  <r>
    <n v="3239"/>
    <n v="25"/>
    <x v="1"/>
    <x v="4"/>
    <x v="1"/>
    <n v="84"/>
    <x v="5"/>
    <x v="3"/>
    <s v="Teal"/>
    <x v="3"/>
    <n v="3.4"/>
    <x v="1"/>
    <x v="4"/>
    <x v="1"/>
    <x v="1"/>
    <n v="37"/>
    <x v="1"/>
    <x v="3"/>
  </r>
  <r>
    <n v="3240"/>
    <n v="33"/>
    <x v="1"/>
    <x v="12"/>
    <x v="3"/>
    <n v="32"/>
    <x v="24"/>
    <x v="2"/>
    <s v="Charcoal"/>
    <x v="3"/>
    <n v="2.7"/>
    <x v="1"/>
    <x v="4"/>
    <x v="1"/>
    <x v="1"/>
    <n v="30"/>
    <x v="1"/>
    <x v="5"/>
  </r>
  <r>
    <n v="3241"/>
    <n v="56"/>
    <x v="1"/>
    <x v="3"/>
    <x v="1"/>
    <n v="37"/>
    <x v="8"/>
    <x v="2"/>
    <s v="Violet"/>
    <x v="3"/>
    <n v="3.8"/>
    <x v="1"/>
    <x v="4"/>
    <x v="1"/>
    <x v="1"/>
    <n v="37"/>
    <x v="4"/>
    <x v="5"/>
  </r>
  <r>
    <n v="3242"/>
    <n v="50"/>
    <x v="1"/>
    <x v="8"/>
    <x v="3"/>
    <n v="58"/>
    <x v="39"/>
    <x v="2"/>
    <s v="Lavender"/>
    <x v="2"/>
    <n v="4.4000000000000004"/>
    <x v="1"/>
    <x v="5"/>
    <x v="1"/>
    <x v="1"/>
    <n v="30"/>
    <x v="3"/>
    <x v="3"/>
  </r>
  <r>
    <n v="3243"/>
    <n v="45"/>
    <x v="1"/>
    <x v="20"/>
    <x v="0"/>
    <n v="74"/>
    <x v="4"/>
    <x v="1"/>
    <s v="Beige"/>
    <x v="3"/>
    <n v="2.8"/>
    <x v="1"/>
    <x v="0"/>
    <x v="1"/>
    <x v="1"/>
    <n v="17"/>
    <x v="0"/>
    <x v="1"/>
  </r>
  <r>
    <n v="3244"/>
    <n v="45"/>
    <x v="1"/>
    <x v="15"/>
    <x v="0"/>
    <n v="99"/>
    <x v="37"/>
    <x v="0"/>
    <s v="Black"/>
    <x v="2"/>
    <n v="5"/>
    <x v="1"/>
    <x v="5"/>
    <x v="1"/>
    <x v="1"/>
    <n v="11"/>
    <x v="4"/>
    <x v="6"/>
  </r>
  <r>
    <n v="3245"/>
    <n v="65"/>
    <x v="1"/>
    <x v="1"/>
    <x v="0"/>
    <n v="81"/>
    <x v="10"/>
    <x v="2"/>
    <s v="Black"/>
    <x v="3"/>
    <n v="4.7"/>
    <x v="1"/>
    <x v="0"/>
    <x v="1"/>
    <x v="1"/>
    <n v="42"/>
    <x v="2"/>
    <x v="2"/>
  </r>
  <r>
    <n v="3246"/>
    <n v="63"/>
    <x v="1"/>
    <x v="13"/>
    <x v="0"/>
    <n v="76"/>
    <x v="23"/>
    <x v="2"/>
    <s v="Purple"/>
    <x v="3"/>
    <n v="3.2"/>
    <x v="1"/>
    <x v="2"/>
    <x v="1"/>
    <x v="1"/>
    <n v="20"/>
    <x v="1"/>
    <x v="1"/>
  </r>
  <r>
    <n v="3247"/>
    <n v="70"/>
    <x v="1"/>
    <x v="4"/>
    <x v="1"/>
    <n v="98"/>
    <x v="49"/>
    <x v="2"/>
    <s v="Magenta"/>
    <x v="2"/>
    <n v="2.9"/>
    <x v="1"/>
    <x v="5"/>
    <x v="1"/>
    <x v="1"/>
    <n v="37"/>
    <x v="1"/>
    <x v="5"/>
  </r>
  <r>
    <n v="3248"/>
    <n v="53"/>
    <x v="1"/>
    <x v="24"/>
    <x v="3"/>
    <n v="91"/>
    <x v="10"/>
    <x v="2"/>
    <s v="Teal"/>
    <x v="2"/>
    <n v="3.7"/>
    <x v="1"/>
    <x v="0"/>
    <x v="1"/>
    <x v="1"/>
    <n v="12"/>
    <x v="3"/>
    <x v="0"/>
  </r>
  <r>
    <n v="3249"/>
    <n v="22"/>
    <x v="1"/>
    <x v="17"/>
    <x v="0"/>
    <n v="79"/>
    <x v="38"/>
    <x v="1"/>
    <s v="Teal"/>
    <x v="2"/>
    <n v="4.2"/>
    <x v="1"/>
    <x v="1"/>
    <x v="1"/>
    <x v="1"/>
    <n v="41"/>
    <x v="4"/>
    <x v="3"/>
  </r>
  <r>
    <n v="3250"/>
    <n v="26"/>
    <x v="1"/>
    <x v="21"/>
    <x v="3"/>
    <n v="83"/>
    <x v="41"/>
    <x v="2"/>
    <s v="Pink"/>
    <x v="2"/>
    <n v="3.4"/>
    <x v="1"/>
    <x v="0"/>
    <x v="1"/>
    <x v="1"/>
    <n v="32"/>
    <x v="2"/>
    <x v="3"/>
  </r>
  <r>
    <n v="3251"/>
    <n v="23"/>
    <x v="1"/>
    <x v="7"/>
    <x v="2"/>
    <n v="90"/>
    <x v="46"/>
    <x v="2"/>
    <s v="Teal"/>
    <x v="1"/>
    <n v="2.9"/>
    <x v="1"/>
    <x v="4"/>
    <x v="1"/>
    <x v="1"/>
    <n v="15"/>
    <x v="0"/>
    <x v="1"/>
  </r>
  <r>
    <n v="3252"/>
    <n v="25"/>
    <x v="1"/>
    <x v="7"/>
    <x v="2"/>
    <n v="20"/>
    <x v="22"/>
    <x v="2"/>
    <s v="Gold"/>
    <x v="0"/>
    <n v="3.7"/>
    <x v="1"/>
    <x v="3"/>
    <x v="1"/>
    <x v="1"/>
    <n v="39"/>
    <x v="0"/>
    <x v="3"/>
  </r>
  <r>
    <n v="3253"/>
    <n v="69"/>
    <x v="1"/>
    <x v="3"/>
    <x v="1"/>
    <n v="21"/>
    <x v="6"/>
    <x v="0"/>
    <s v="Brown"/>
    <x v="1"/>
    <n v="2.7"/>
    <x v="1"/>
    <x v="5"/>
    <x v="1"/>
    <x v="1"/>
    <n v="48"/>
    <x v="2"/>
    <x v="0"/>
  </r>
  <r>
    <n v="3254"/>
    <n v="36"/>
    <x v="1"/>
    <x v="21"/>
    <x v="3"/>
    <n v="60"/>
    <x v="43"/>
    <x v="2"/>
    <s v="Brown"/>
    <x v="3"/>
    <n v="3.2"/>
    <x v="1"/>
    <x v="4"/>
    <x v="1"/>
    <x v="1"/>
    <n v="8"/>
    <x v="0"/>
    <x v="0"/>
  </r>
  <r>
    <n v="3255"/>
    <n v="21"/>
    <x v="1"/>
    <x v="1"/>
    <x v="0"/>
    <n v="31"/>
    <x v="27"/>
    <x v="1"/>
    <s v="Magenta"/>
    <x v="0"/>
    <n v="4.9000000000000004"/>
    <x v="1"/>
    <x v="5"/>
    <x v="1"/>
    <x v="1"/>
    <n v="11"/>
    <x v="4"/>
    <x v="6"/>
  </r>
  <r>
    <n v="3256"/>
    <n v="57"/>
    <x v="1"/>
    <x v="6"/>
    <x v="0"/>
    <n v="40"/>
    <x v="32"/>
    <x v="2"/>
    <s v="Black"/>
    <x v="3"/>
    <n v="2.8"/>
    <x v="1"/>
    <x v="2"/>
    <x v="1"/>
    <x v="1"/>
    <n v="36"/>
    <x v="4"/>
    <x v="5"/>
  </r>
  <r>
    <n v="3257"/>
    <n v="60"/>
    <x v="1"/>
    <x v="12"/>
    <x v="3"/>
    <n v="26"/>
    <x v="48"/>
    <x v="0"/>
    <s v="Teal"/>
    <x v="0"/>
    <n v="4.7"/>
    <x v="1"/>
    <x v="1"/>
    <x v="1"/>
    <x v="1"/>
    <n v="50"/>
    <x v="0"/>
    <x v="6"/>
  </r>
  <r>
    <n v="3258"/>
    <n v="44"/>
    <x v="1"/>
    <x v="5"/>
    <x v="0"/>
    <n v="98"/>
    <x v="46"/>
    <x v="2"/>
    <s v="Brown"/>
    <x v="3"/>
    <n v="3.3"/>
    <x v="1"/>
    <x v="0"/>
    <x v="1"/>
    <x v="1"/>
    <n v="39"/>
    <x v="0"/>
    <x v="6"/>
  </r>
  <r>
    <n v="3259"/>
    <n v="31"/>
    <x v="1"/>
    <x v="9"/>
    <x v="1"/>
    <n v="51"/>
    <x v="32"/>
    <x v="2"/>
    <s v="Magenta"/>
    <x v="1"/>
    <n v="4.3"/>
    <x v="1"/>
    <x v="0"/>
    <x v="1"/>
    <x v="1"/>
    <n v="11"/>
    <x v="2"/>
    <x v="4"/>
  </r>
  <r>
    <n v="3260"/>
    <n v="57"/>
    <x v="1"/>
    <x v="19"/>
    <x v="3"/>
    <n v="95"/>
    <x v="19"/>
    <x v="3"/>
    <s v="Indigo"/>
    <x v="3"/>
    <n v="3.7"/>
    <x v="1"/>
    <x v="4"/>
    <x v="1"/>
    <x v="1"/>
    <n v="5"/>
    <x v="5"/>
    <x v="6"/>
  </r>
  <r>
    <n v="3261"/>
    <n v="39"/>
    <x v="1"/>
    <x v="18"/>
    <x v="3"/>
    <n v="36"/>
    <x v="48"/>
    <x v="2"/>
    <s v="Violet"/>
    <x v="2"/>
    <n v="4.5"/>
    <x v="1"/>
    <x v="4"/>
    <x v="1"/>
    <x v="1"/>
    <n v="7"/>
    <x v="2"/>
    <x v="2"/>
  </r>
  <r>
    <n v="3262"/>
    <n v="48"/>
    <x v="1"/>
    <x v="22"/>
    <x v="3"/>
    <n v="52"/>
    <x v="3"/>
    <x v="0"/>
    <s v="Cyan"/>
    <x v="0"/>
    <n v="3.4"/>
    <x v="1"/>
    <x v="5"/>
    <x v="1"/>
    <x v="1"/>
    <n v="50"/>
    <x v="5"/>
    <x v="1"/>
  </r>
  <r>
    <n v="3263"/>
    <n v="42"/>
    <x v="1"/>
    <x v="17"/>
    <x v="0"/>
    <n v="35"/>
    <x v="27"/>
    <x v="2"/>
    <s v="Violet"/>
    <x v="1"/>
    <n v="2.7"/>
    <x v="1"/>
    <x v="3"/>
    <x v="1"/>
    <x v="1"/>
    <n v="21"/>
    <x v="1"/>
    <x v="6"/>
  </r>
  <r>
    <n v="3264"/>
    <n v="56"/>
    <x v="1"/>
    <x v="6"/>
    <x v="0"/>
    <n v="68"/>
    <x v="34"/>
    <x v="1"/>
    <s v="Black"/>
    <x v="3"/>
    <n v="4.4000000000000004"/>
    <x v="1"/>
    <x v="0"/>
    <x v="1"/>
    <x v="1"/>
    <n v="31"/>
    <x v="5"/>
    <x v="0"/>
  </r>
  <r>
    <n v="3265"/>
    <n v="28"/>
    <x v="1"/>
    <x v="13"/>
    <x v="0"/>
    <n v="50"/>
    <x v="1"/>
    <x v="1"/>
    <s v="Charcoal"/>
    <x v="0"/>
    <n v="4"/>
    <x v="1"/>
    <x v="0"/>
    <x v="1"/>
    <x v="1"/>
    <n v="39"/>
    <x v="1"/>
    <x v="4"/>
  </r>
  <r>
    <n v="3266"/>
    <n v="40"/>
    <x v="1"/>
    <x v="12"/>
    <x v="3"/>
    <n v="100"/>
    <x v="15"/>
    <x v="2"/>
    <s v="White"/>
    <x v="0"/>
    <n v="3.2"/>
    <x v="1"/>
    <x v="0"/>
    <x v="1"/>
    <x v="1"/>
    <n v="28"/>
    <x v="2"/>
    <x v="0"/>
  </r>
  <r>
    <n v="3267"/>
    <n v="49"/>
    <x v="1"/>
    <x v="7"/>
    <x v="2"/>
    <n v="74"/>
    <x v="15"/>
    <x v="1"/>
    <s v="Gray"/>
    <x v="0"/>
    <n v="4.2"/>
    <x v="1"/>
    <x v="2"/>
    <x v="1"/>
    <x v="1"/>
    <n v="33"/>
    <x v="4"/>
    <x v="1"/>
  </r>
  <r>
    <n v="3268"/>
    <n v="37"/>
    <x v="1"/>
    <x v="15"/>
    <x v="0"/>
    <n v="45"/>
    <x v="37"/>
    <x v="0"/>
    <s v="Pink"/>
    <x v="0"/>
    <n v="3"/>
    <x v="1"/>
    <x v="5"/>
    <x v="1"/>
    <x v="1"/>
    <n v="42"/>
    <x v="2"/>
    <x v="3"/>
  </r>
  <r>
    <n v="3269"/>
    <n v="22"/>
    <x v="1"/>
    <x v="10"/>
    <x v="0"/>
    <n v="97"/>
    <x v="10"/>
    <x v="2"/>
    <s v="Cyan"/>
    <x v="3"/>
    <n v="2.8"/>
    <x v="1"/>
    <x v="1"/>
    <x v="1"/>
    <x v="1"/>
    <n v="5"/>
    <x v="4"/>
    <x v="6"/>
  </r>
  <r>
    <n v="3270"/>
    <n v="27"/>
    <x v="1"/>
    <x v="0"/>
    <x v="0"/>
    <n v="60"/>
    <x v="31"/>
    <x v="2"/>
    <s v="Blue"/>
    <x v="0"/>
    <n v="4.9000000000000004"/>
    <x v="1"/>
    <x v="0"/>
    <x v="1"/>
    <x v="1"/>
    <n v="25"/>
    <x v="1"/>
    <x v="5"/>
  </r>
  <r>
    <n v="3271"/>
    <n v="59"/>
    <x v="1"/>
    <x v="20"/>
    <x v="0"/>
    <n v="25"/>
    <x v="26"/>
    <x v="2"/>
    <s v="Indigo"/>
    <x v="0"/>
    <n v="4.7"/>
    <x v="1"/>
    <x v="0"/>
    <x v="1"/>
    <x v="1"/>
    <n v="48"/>
    <x v="3"/>
    <x v="2"/>
  </r>
  <r>
    <n v="3272"/>
    <n v="35"/>
    <x v="1"/>
    <x v="20"/>
    <x v="0"/>
    <n v="55"/>
    <x v="22"/>
    <x v="3"/>
    <s v="Magenta"/>
    <x v="1"/>
    <n v="4.4000000000000004"/>
    <x v="1"/>
    <x v="3"/>
    <x v="1"/>
    <x v="1"/>
    <n v="30"/>
    <x v="2"/>
    <x v="1"/>
  </r>
  <r>
    <n v="3273"/>
    <n v="58"/>
    <x v="1"/>
    <x v="9"/>
    <x v="1"/>
    <n v="99"/>
    <x v="21"/>
    <x v="2"/>
    <s v="Lavender"/>
    <x v="0"/>
    <n v="3.1"/>
    <x v="1"/>
    <x v="2"/>
    <x v="1"/>
    <x v="1"/>
    <n v="34"/>
    <x v="3"/>
    <x v="3"/>
  </r>
  <r>
    <n v="3274"/>
    <n v="58"/>
    <x v="1"/>
    <x v="22"/>
    <x v="3"/>
    <n v="45"/>
    <x v="22"/>
    <x v="1"/>
    <s v="Orange"/>
    <x v="2"/>
    <n v="2.6"/>
    <x v="1"/>
    <x v="1"/>
    <x v="1"/>
    <x v="1"/>
    <n v="34"/>
    <x v="3"/>
    <x v="6"/>
  </r>
  <r>
    <n v="3275"/>
    <n v="46"/>
    <x v="1"/>
    <x v="1"/>
    <x v="0"/>
    <n v="20"/>
    <x v="19"/>
    <x v="2"/>
    <s v="Cyan"/>
    <x v="1"/>
    <n v="3.9"/>
    <x v="1"/>
    <x v="5"/>
    <x v="1"/>
    <x v="1"/>
    <n v="14"/>
    <x v="1"/>
    <x v="0"/>
  </r>
  <r>
    <n v="3276"/>
    <n v="43"/>
    <x v="1"/>
    <x v="13"/>
    <x v="0"/>
    <n v="88"/>
    <x v="15"/>
    <x v="3"/>
    <s v="Green"/>
    <x v="2"/>
    <n v="2.6"/>
    <x v="1"/>
    <x v="4"/>
    <x v="1"/>
    <x v="1"/>
    <n v="2"/>
    <x v="5"/>
    <x v="1"/>
  </r>
  <r>
    <n v="3277"/>
    <n v="39"/>
    <x v="1"/>
    <x v="18"/>
    <x v="3"/>
    <n v="99"/>
    <x v="45"/>
    <x v="2"/>
    <s v="White"/>
    <x v="2"/>
    <n v="4"/>
    <x v="1"/>
    <x v="5"/>
    <x v="1"/>
    <x v="1"/>
    <n v="41"/>
    <x v="3"/>
    <x v="6"/>
  </r>
  <r>
    <n v="3278"/>
    <n v="59"/>
    <x v="1"/>
    <x v="11"/>
    <x v="0"/>
    <n v="86"/>
    <x v="21"/>
    <x v="2"/>
    <s v="Blue"/>
    <x v="1"/>
    <n v="4.9000000000000004"/>
    <x v="1"/>
    <x v="5"/>
    <x v="1"/>
    <x v="1"/>
    <n v="3"/>
    <x v="2"/>
    <x v="5"/>
  </r>
  <r>
    <n v="3279"/>
    <n v="59"/>
    <x v="1"/>
    <x v="10"/>
    <x v="0"/>
    <n v="70"/>
    <x v="6"/>
    <x v="2"/>
    <s v="Black"/>
    <x v="2"/>
    <n v="3.3"/>
    <x v="1"/>
    <x v="4"/>
    <x v="1"/>
    <x v="1"/>
    <n v="18"/>
    <x v="4"/>
    <x v="1"/>
  </r>
  <r>
    <n v="3280"/>
    <n v="59"/>
    <x v="1"/>
    <x v="19"/>
    <x v="3"/>
    <n v="50"/>
    <x v="5"/>
    <x v="1"/>
    <s v="Red"/>
    <x v="3"/>
    <n v="3"/>
    <x v="1"/>
    <x v="0"/>
    <x v="1"/>
    <x v="1"/>
    <n v="1"/>
    <x v="5"/>
    <x v="0"/>
  </r>
  <r>
    <n v="3281"/>
    <n v="45"/>
    <x v="1"/>
    <x v="8"/>
    <x v="3"/>
    <n v="57"/>
    <x v="14"/>
    <x v="0"/>
    <s v="Red"/>
    <x v="0"/>
    <n v="2.7"/>
    <x v="1"/>
    <x v="2"/>
    <x v="1"/>
    <x v="1"/>
    <n v="5"/>
    <x v="3"/>
    <x v="5"/>
  </r>
  <r>
    <n v="3282"/>
    <n v="27"/>
    <x v="1"/>
    <x v="13"/>
    <x v="0"/>
    <n v="69"/>
    <x v="4"/>
    <x v="0"/>
    <s v="Gold"/>
    <x v="0"/>
    <n v="3.1"/>
    <x v="1"/>
    <x v="1"/>
    <x v="1"/>
    <x v="1"/>
    <n v="41"/>
    <x v="4"/>
    <x v="2"/>
  </r>
  <r>
    <n v="3283"/>
    <n v="24"/>
    <x v="1"/>
    <x v="17"/>
    <x v="0"/>
    <n v="94"/>
    <x v="18"/>
    <x v="2"/>
    <s v="Red"/>
    <x v="3"/>
    <n v="4.8"/>
    <x v="1"/>
    <x v="2"/>
    <x v="1"/>
    <x v="1"/>
    <n v="5"/>
    <x v="2"/>
    <x v="5"/>
  </r>
  <r>
    <n v="3284"/>
    <n v="47"/>
    <x v="1"/>
    <x v="14"/>
    <x v="2"/>
    <n v="24"/>
    <x v="17"/>
    <x v="0"/>
    <s v="Purple"/>
    <x v="1"/>
    <n v="2.9"/>
    <x v="1"/>
    <x v="0"/>
    <x v="1"/>
    <x v="1"/>
    <n v="10"/>
    <x v="5"/>
    <x v="6"/>
  </r>
  <r>
    <n v="3285"/>
    <n v="70"/>
    <x v="1"/>
    <x v="18"/>
    <x v="3"/>
    <n v="79"/>
    <x v="0"/>
    <x v="0"/>
    <s v="White"/>
    <x v="1"/>
    <n v="4.5"/>
    <x v="1"/>
    <x v="4"/>
    <x v="1"/>
    <x v="1"/>
    <n v="20"/>
    <x v="0"/>
    <x v="2"/>
  </r>
  <r>
    <n v="3286"/>
    <n v="58"/>
    <x v="1"/>
    <x v="19"/>
    <x v="3"/>
    <n v="31"/>
    <x v="11"/>
    <x v="3"/>
    <s v="Magenta"/>
    <x v="3"/>
    <n v="4.5999999999999996"/>
    <x v="1"/>
    <x v="1"/>
    <x v="1"/>
    <x v="1"/>
    <n v="11"/>
    <x v="1"/>
    <x v="1"/>
  </r>
  <r>
    <n v="3287"/>
    <n v="45"/>
    <x v="1"/>
    <x v="14"/>
    <x v="2"/>
    <n v="67"/>
    <x v="26"/>
    <x v="0"/>
    <s v="Pink"/>
    <x v="0"/>
    <n v="5"/>
    <x v="1"/>
    <x v="0"/>
    <x v="1"/>
    <x v="1"/>
    <n v="4"/>
    <x v="0"/>
    <x v="0"/>
  </r>
  <r>
    <n v="3288"/>
    <n v="24"/>
    <x v="1"/>
    <x v="11"/>
    <x v="0"/>
    <n v="63"/>
    <x v="8"/>
    <x v="0"/>
    <s v="Black"/>
    <x v="1"/>
    <n v="4.3"/>
    <x v="1"/>
    <x v="4"/>
    <x v="1"/>
    <x v="1"/>
    <n v="38"/>
    <x v="2"/>
    <x v="1"/>
  </r>
  <r>
    <n v="3289"/>
    <n v="67"/>
    <x v="1"/>
    <x v="8"/>
    <x v="3"/>
    <n v="61"/>
    <x v="36"/>
    <x v="3"/>
    <s v="White"/>
    <x v="1"/>
    <n v="4.9000000000000004"/>
    <x v="1"/>
    <x v="2"/>
    <x v="1"/>
    <x v="1"/>
    <n v="19"/>
    <x v="2"/>
    <x v="4"/>
  </r>
  <r>
    <n v="3290"/>
    <n v="31"/>
    <x v="1"/>
    <x v="21"/>
    <x v="3"/>
    <n v="50"/>
    <x v="6"/>
    <x v="2"/>
    <s v="Maroon"/>
    <x v="2"/>
    <n v="4"/>
    <x v="1"/>
    <x v="4"/>
    <x v="1"/>
    <x v="1"/>
    <n v="16"/>
    <x v="0"/>
    <x v="6"/>
  </r>
  <r>
    <n v="3291"/>
    <n v="52"/>
    <x v="1"/>
    <x v="7"/>
    <x v="2"/>
    <n v="82"/>
    <x v="25"/>
    <x v="0"/>
    <s v="Black"/>
    <x v="1"/>
    <n v="3.1"/>
    <x v="1"/>
    <x v="1"/>
    <x v="1"/>
    <x v="1"/>
    <n v="2"/>
    <x v="3"/>
    <x v="5"/>
  </r>
  <r>
    <n v="3292"/>
    <n v="29"/>
    <x v="1"/>
    <x v="22"/>
    <x v="3"/>
    <n v="51"/>
    <x v="35"/>
    <x v="0"/>
    <s v="Olive"/>
    <x v="3"/>
    <n v="2.6"/>
    <x v="1"/>
    <x v="4"/>
    <x v="1"/>
    <x v="1"/>
    <n v="11"/>
    <x v="1"/>
    <x v="5"/>
  </r>
  <r>
    <n v="3293"/>
    <n v="62"/>
    <x v="1"/>
    <x v="8"/>
    <x v="3"/>
    <n v="23"/>
    <x v="9"/>
    <x v="0"/>
    <s v="Gray"/>
    <x v="1"/>
    <n v="4.9000000000000004"/>
    <x v="1"/>
    <x v="3"/>
    <x v="1"/>
    <x v="1"/>
    <n v="18"/>
    <x v="4"/>
    <x v="0"/>
  </r>
  <r>
    <n v="3294"/>
    <n v="19"/>
    <x v="1"/>
    <x v="7"/>
    <x v="2"/>
    <n v="91"/>
    <x v="8"/>
    <x v="2"/>
    <s v="Gold"/>
    <x v="1"/>
    <n v="3.5"/>
    <x v="1"/>
    <x v="4"/>
    <x v="1"/>
    <x v="1"/>
    <n v="47"/>
    <x v="2"/>
    <x v="0"/>
  </r>
  <r>
    <n v="3295"/>
    <n v="62"/>
    <x v="1"/>
    <x v="1"/>
    <x v="0"/>
    <n v="60"/>
    <x v="36"/>
    <x v="1"/>
    <s v="Magenta"/>
    <x v="1"/>
    <n v="4.5"/>
    <x v="1"/>
    <x v="5"/>
    <x v="1"/>
    <x v="1"/>
    <n v="15"/>
    <x v="4"/>
    <x v="4"/>
  </r>
  <r>
    <n v="3296"/>
    <n v="70"/>
    <x v="1"/>
    <x v="0"/>
    <x v="0"/>
    <n v="34"/>
    <x v="8"/>
    <x v="1"/>
    <s v="Lavender"/>
    <x v="2"/>
    <n v="2.8"/>
    <x v="1"/>
    <x v="2"/>
    <x v="1"/>
    <x v="1"/>
    <n v="15"/>
    <x v="1"/>
    <x v="1"/>
  </r>
  <r>
    <n v="3297"/>
    <n v="20"/>
    <x v="1"/>
    <x v="0"/>
    <x v="0"/>
    <n v="23"/>
    <x v="29"/>
    <x v="2"/>
    <s v="Green"/>
    <x v="1"/>
    <n v="4.2"/>
    <x v="1"/>
    <x v="2"/>
    <x v="1"/>
    <x v="1"/>
    <n v="47"/>
    <x v="0"/>
    <x v="3"/>
  </r>
  <r>
    <n v="3298"/>
    <n v="67"/>
    <x v="1"/>
    <x v="22"/>
    <x v="3"/>
    <n v="82"/>
    <x v="8"/>
    <x v="2"/>
    <s v="Violet"/>
    <x v="3"/>
    <n v="4.0999999999999996"/>
    <x v="1"/>
    <x v="1"/>
    <x v="1"/>
    <x v="1"/>
    <n v="47"/>
    <x v="3"/>
    <x v="5"/>
  </r>
  <r>
    <n v="3299"/>
    <n v="65"/>
    <x v="1"/>
    <x v="14"/>
    <x v="2"/>
    <n v="73"/>
    <x v="35"/>
    <x v="2"/>
    <s v="Brown"/>
    <x v="3"/>
    <n v="3.5"/>
    <x v="1"/>
    <x v="0"/>
    <x v="1"/>
    <x v="1"/>
    <n v="6"/>
    <x v="4"/>
    <x v="6"/>
  </r>
  <r>
    <n v="3300"/>
    <n v="45"/>
    <x v="1"/>
    <x v="6"/>
    <x v="0"/>
    <n v="32"/>
    <x v="45"/>
    <x v="0"/>
    <s v="Teal"/>
    <x v="1"/>
    <n v="4"/>
    <x v="1"/>
    <x v="4"/>
    <x v="1"/>
    <x v="1"/>
    <n v="18"/>
    <x v="0"/>
    <x v="5"/>
  </r>
  <r>
    <n v="3301"/>
    <n v="26"/>
    <x v="1"/>
    <x v="19"/>
    <x v="3"/>
    <n v="80"/>
    <x v="19"/>
    <x v="2"/>
    <s v="Charcoal"/>
    <x v="1"/>
    <n v="4"/>
    <x v="1"/>
    <x v="0"/>
    <x v="1"/>
    <x v="1"/>
    <n v="40"/>
    <x v="4"/>
    <x v="4"/>
  </r>
  <r>
    <n v="3302"/>
    <n v="36"/>
    <x v="1"/>
    <x v="13"/>
    <x v="0"/>
    <n v="58"/>
    <x v="19"/>
    <x v="3"/>
    <s v="Charcoal"/>
    <x v="2"/>
    <n v="2.5"/>
    <x v="1"/>
    <x v="1"/>
    <x v="1"/>
    <x v="1"/>
    <n v="31"/>
    <x v="2"/>
    <x v="0"/>
  </r>
  <r>
    <n v="3303"/>
    <n v="36"/>
    <x v="1"/>
    <x v="0"/>
    <x v="0"/>
    <n v="82"/>
    <x v="15"/>
    <x v="3"/>
    <s v="Beige"/>
    <x v="0"/>
    <n v="4.2"/>
    <x v="1"/>
    <x v="3"/>
    <x v="1"/>
    <x v="1"/>
    <n v="31"/>
    <x v="0"/>
    <x v="4"/>
  </r>
  <r>
    <n v="3304"/>
    <n v="20"/>
    <x v="1"/>
    <x v="22"/>
    <x v="3"/>
    <n v="60"/>
    <x v="16"/>
    <x v="1"/>
    <s v="Turquoise"/>
    <x v="2"/>
    <n v="3.4"/>
    <x v="1"/>
    <x v="2"/>
    <x v="1"/>
    <x v="1"/>
    <n v="4"/>
    <x v="2"/>
    <x v="0"/>
  </r>
  <r>
    <n v="3305"/>
    <n v="30"/>
    <x v="1"/>
    <x v="8"/>
    <x v="3"/>
    <n v="79"/>
    <x v="16"/>
    <x v="3"/>
    <s v="Orange"/>
    <x v="3"/>
    <n v="4.8"/>
    <x v="1"/>
    <x v="2"/>
    <x v="1"/>
    <x v="1"/>
    <n v="36"/>
    <x v="4"/>
    <x v="6"/>
  </r>
  <r>
    <n v="3306"/>
    <n v="34"/>
    <x v="1"/>
    <x v="15"/>
    <x v="0"/>
    <n v="41"/>
    <x v="43"/>
    <x v="0"/>
    <s v="Cyan"/>
    <x v="2"/>
    <n v="4.9000000000000004"/>
    <x v="1"/>
    <x v="3"/>
    <x v="1"/>
    <x v="1"/>
    <n v="31"/>
    <x v="3"/>
    <x v="4"/>
  </r>
  <r>
    <n v="3307"/>
    <n v="63"/>
    <x v="1"/>
    <x v="14"/>
    <x v="2"/>
    <n v="39"/>
    <x v="24"/>
    <x v="0"/>
    <s v="Orange"/>
    <x v="2"/>
    <n v="3.6"/>
    <x v="1"/>
    <x v="5"/>
    <x v="1"/>
    <x v="1"/>
    <n v="6"/>
    <x v="0"/>
    <x v="0"/>
  </r>
  <r>
    <n v="3308"/>
    <n v="18"/>
    <x v="1"/>
    <x v="18"/>
    <x v="3"/>
    <n v="36"/>
    <x v="38"/>
    <x v="1"/>
    <s v="Green"/>
    <x v="0"/>
    <n v="4"/>
    <x v="1"/>
    <x v="5"/>
    <x v="1"/>
    <x v="1"/>
    <n v="1"/>
    <x v="1"/>
    <x v="5"/>
  </r>
  <r>
    <n v="3309"/>
    <n v="55"/>
    <x v="1"/>
    <x v="2"/>
    <x v="0"/>
    <n v="70"/>
    <x v="40"/>
    <x v="2"/>
    <s v="Pink"/>
    <x v="3"/>
    <n v="2.6"/>
    <x v="1"/>
    <x v="0"/>
    <x v="1"/>
    <x v="1"/>
    <n v="29"/>
    <x v="1"/>
    <x v="5"/>
  </r>
  <r>
    <n v="3310"/>
    <n v="48"/>
    <x v="1"/>
    <x v="8"/>
    <x v="3"/>
    <n v="47"/>
    <x v="2"/>
    <x v="2"/>
    <s v="Blue"/>
    <x v="2"/>
    <n v="3.1"/>
    <x v="1"/>
    <x v="5"/>
    <x v="1"/>
    <x v="1"/>
    <n v="19"/>
    <x v="3"/>
    <x v="5"/>
  </r>
  <r>
    <n v="3311"/>
    <n v="45"/>
    <x v="1"/>
    <x v="14"/>
    <x v="2"/>
    <n v="27"/>
    <x v="44"/>
    <x v="2"/>
    <s v="Pink"/>
    <x v="0"/>
    <n v="3.6"/>
    <x v="1"/>
    <x v="1"/>
    <x v="1"/>
    <x v="1"/>
    <n v="12"/>
    <x v="3"/>
    <x v="0"/>
  </r>
  <r>
    <n v="3312"/>
    <n v="29"/>
    <x v="1"/>
    <x v="19"/>
    <x v="3"/>
    <n v="52"/>
    <x v="20"/>
    <x v="0"/>
    <s v="Blue"/>
    <x v="2"/>
    <n v="4"/>
    <x v="1"/>
    <x v="0"/>
    <x v="1"/>
    <x v="1"/>
    <n v="18"/>
    <x v="4"/>
    <x v="2"/>
  </r>
  <r>
    <n v="3313"/>
    <n v="55"/>
    <x v="1"/>
    <x v="4"/>
    <x v="1"/>
    <n v="75"/>
    <x v="7"/>
    <x v="0"/>
    <s v="Black"/>
    <x v="2"/>
    <n v="3.9"/>
    <x v="1"/>
    <x v="2"/>
    <x v="1"/>
    <x v="1"/>
    <n v="45"/>
    <x v="1"/>
    <x v="3"/>
  </r>
  <r>
    <n v="3314"/>
    <n v="55"/>
    <x v="1"/>
    <x v="19"/>
    <x v="3"/>
    <n v="30"/>
    <x v="23"/>
    <x v="3"/>
    <s v="Black"/>
    <x v="3"/>
    <n v="3.9"/>
    <x v="1"/>
    <x v="0"/>
    <x v="1"/>
    <x v="1"/>
    <n v="45"/>
    <x v="2"/>
    <x v="5"/>
  </r>
  <r>
    <n v="3315"/>
    <n v="55"/>
    <x v="1"/>
    <x v="20"/>
    <x v="0"/>
    <n v="94"/>
    <x v="23"/>
    <x v="2"/>
    <s v="Violet"/>
    <x v="1"/>
    <n v="3.3"/>
    <x v="1"/>
    <x v="3"/>
    <x v="1"/>
    <x v="1"/>
    <n v="8"/>
    <x v="2"/>
    <x v="3"/>
  </r>
  <r>
    <n v="3316"/>
    <n v="48"/>
    <x v="1"/>
    <x v="18"/>
    <x v="3"/>
    <n v="68"/>
    <x v="0"/>
    <x v="1"/>
    <s v="Gold"/>
    <x v="2"/>
    <n v="2.9"/>
    <x v="1"/>
    <x v="3"/>
    <x v="1"/>
    <x v="1"/>
    <n v="4"/>
    <x v="3"/>
    <x v="6"/>
  </r>
  <r>
    <n v="3317"/>
    <n v="42"/>
    <x v="1"/>
    <x v="20"/>
    <x v="0"/>
    <n v="45"/>
    <x v="35"/>
    <x v="2"/>
    <s v="Olive"/>
    <x v="2"/>
    <n v="3.1"/>
    <x v="1"/>
    <x v="1"/>
    <x v="1"/>
    <x v="1"/>
    <n v="5"/>
    <x v="5"/>
    <x v="0"/>
  </r>
  <r>
    <n v="3318"/>
    <n v="21"/>
    <x v="1"/>
    <x v="19"/>
    <x v="3"/>
    <n v="67"/>
    <x v="17"/>
    <x v="3"/>
    <s v="Pink"/>
    <x v="2"/>
    <n v="4.7"/>
    <x v="1"/>
    <x v="3"/>
    <x v="1"/>
    <x v="1"/>
    <n v="30"/>
    <x v="1"/>
    <x v="3"/>
  </r>
  <r>
    <n v="3319"/>
    <n v="45"/>
    <x v="1"/>
    <x v="14"/>
    <x v="2"/>
    <n v="46"/>
    <x v="25"/>
    <x v="2"/>
    <s v="Olive"/>
    <x v="2"/>
    <n v="3.9"/>
    <x v="1"/>
    <x v="1"/>
    <x v="1"/>
    <x v="1"/>
    <n v="15"/>
    <x v="3"/>
    <x v="5"/>
  </r>
  <r>
    <n v="3320"/>
    <n v="23"/>
    <x v="1"/>
    <x v="6"/>
    <x v="0"/>
    <n v="31"/>
    <x v="25"/>
    <x v="2"/>
    <s v="Indigo"/>
    <x v="2"/>
    <n v="4.3"/>
    <x v="1"/>
    <x v="2"/>
    <x v="1"/>
    <x v="1"/>
    <n v="17"/>
    <x v="2"/>
    <x v="6"/>
  </r>
  <r>
    <n v="3321"/>
    <n v="66"/>
    <x v="1"/>
    <x v="0"/>
    <x v="0"/>
    <n v="44"/>
    <x v="26"/>
    <x v="3"/>
    <s v="Silver"/>
    <x v="3"/>
    <n v="4.2"/>
    <x v="1"/>
    <x v="4"/>
    <x v="1"/>
    <x v="1"/>
    <n v="45"/>
    <x v="1"/>
    <x v="6"/>
  </r>
  <r>
    <n v="3322"/>
    <n v="32"/>
    <x v="1"/>
    <x v="7"/>
    <x v="2"/>
    <n v="100"/>
    <x v="1"/>
    <x v="1"/>
    <s v="Charcoal"/>
    <x v="0"/>
    <n v="4.3"/>
    <x v="1"/>
    <x v="2"/>
    <x v="1"/>
    <x v="1"/>
    <n v="3"/>
    <x v="0"/>
    <x v="2"/>
  </r>
  <r>
    <n v="3323"/>
    <n v="52"/>
    <x v="1"/>
    <x v="1"/>
    <x v="0"/>
    <n v="92"/>
    <x v="27"/>
    <x v="3"/>
    <s v="Orange"/>
    <x v="0"/>
    <n v="4.5999999999999996"/>
    <x v="1"/>
    <x v="2"/>
    <x v="1"/>
    <x v="1"/>
    <n v="43"/>
    <x v="3"/>
    <x v="1"/>
  </r>
  <r>
    <n v="3324"/>
    <n v="54"/>
    <x v="1"/>
    <x v="8"/>
    <x v="3"/>
    <n v="78"/>
    <x v="25"/>
    <x v="2"/>
    <s v="Yellow"/>
    <x v="0"/>
    <n v="3.8"/>
    <x v="1"/>
    <x v="1"/>
    <x v="1"/>
    <x v="1"/>
    <n v="4"/>
    <x v="2"/>
    <x v="5"/>
  </r>
  <r>
    <n v="3325"/>
    <n v="37"/>
    <x v="1"/>
    <x v="17"/>
    <x v="0"/>
    <n v="32"/>
    <x v="9"/>
    <x v="1"/>
    <s v="Red"/>
    <x v="3"/>
    <n v="3.3"/>
    <x v="1"/>
    <x v="3"/>
    <x v="1"/>
    <x v="1"/>
    <n v="41"/>
    <x v="0"/>
    <x v="1"/>
  </r>
  <r>
    <n v="3326"/>
    <n v="29"/>
    <x v="1"/>
    <x v="3"/>
    <x v="1"/>
    <n v="97"/>
    <x v="29"/>
    <x v="2"/>
    <s v="Maroon"/>
    <x v="3"/>
    <n v="3.7"/>
    <x v="1"/>
    <x v="4"/>
    <x v="1"/>
    <x v="1"/>
    <n v="16"/>
    <x v="0"/>
    <x v="5"/>
  </r>
  <r>
    <n v="3327"/>
    <n v="47"/>
    <x v="1"/>
    <x v="24"/>
    <x v="3"/>
    <n v="95"/>
    <x v="25"/>
    <x v="2"/>
    <s v="Magenta"/>
    <x v="2"/>
    <n v="4.3"/>
    <x v="1"/>
    <x v="3"/>
    <x v="1"/>
    <x v="1"/>
    <n v="10"/>
    <x v="5"/>
    <x v="2"/>
  </r>
  <r>
    <n v="3328"/>
    <n v="47"/>
    <x v="1"/>
    <x v="6"/>
    <x v="0"/>
    <n v="64"/>
    <x v="39"/>
    <x v="2"/>
    <s v="Black"/>
    <x v="1"/>
    <n v="4.0999999999999996"/>
    <x v="1"/>
    <x v="0"/>
    <x v="1"/>
    <x v="1"/>
    <n v="2"/>
    <x v="5"/>
    <x v="3"/>
  </r>
  <r>
    <n v="3329"/>
    <n v="42"/>
    <x v="1"/>
    <x v="3"/>
    <x v="1"/>
    <n v="35"/>
    <x v="48"/>
    <x v="2"/>
    <s v="Violet"/>
    <x v="1"/>
    <n v="3.2"/>
    <x v="1"/>
    <x v="1"/>
    <x v="1"/>
    <x v="1"/>
    <n v="11"/>
    <x v="1"/>
    <x v="4"/>
  </r>
  <r>
    <n v="3330"/>
    <n v="34"/>
    <x v="1"/>
    <x v="21"/>
    <x v="3"/>
    <n v="54"/>
    <x v="32"/>
    <x v="2"/>
    <s v="Gray"/>
    <x v="0"/>
    <n v="3.8"/>
    <x v="1"/>
    <x v="0"/>
    <x v="1"/>
    <x v="1"/>
    <n v="1"/>
    <x v="5"/>
    <x v="4"/>
  </r>
  <r>
    <n v="3331"/>
    <n v="38"/>
    <x v="1"/>
    <x v="4"/>
    <x v="1"/>
    <n v="96"/>
    <x v="9"/>
    <x v="2"/>
    <s v="Black"/>
    <x v="1"/>
    <n v="3.2"/>
    <x v="1"/>
    <x v="4"/>
    <x v="1"/>
    <x v="1"/>
    <n v="41"/>
    <x v="4"/>
    <x v="3"/>
  </r>
  <r>
    <n v="3332"/>
    <n v="55"/>
    <x v="1"/>
    <x v="12"/>
    <x v="3"/>
    <n v="58"/>
    <x v="18"/>
    <x v="2"/>
    <s v="Pink"/>
    <x v="2"/>
    <n v="3.5"/>
    <x v="1"/>
    <x v="1"/>
    <x v="1"/>
    <x v="1"/>
    <n v="39"/>
    <x v="3"/>
    <x v="3"/>
  </r>
  <r>
    <n v="3333"/>
    <n v="27"/>
    <x v="1"/>
    <x v="17"/>
    <x v="0"/>
    <n v="23"/>
    <x v="47"/>
    <x v="2"/>
    <s v="Silver"/>
    <x v="2"/>
    <n v="3.1"/>
    <x v="1"/>
    <x v="4"/>
    <x v="1"/>
    <x v="1"/>
    <n v="1"/>
    <x v="3"/>
    <x v="4"/>
  </r>
  <r>
    <n v="3334"/>
    <n v="55"/>
    <x v="1"/>
    <x v="2"/>
    <x v="0"/>
    <n v="35"/>
    <x v="46"/>
    <x v="2"/>
    <s v="Violet"/>
    <x v="1"/>
    <n v="4.2"/>
    <x v="1"/>
    <x v="0"/>
    <x v="1"/>
    <x v="1"/>
    <n v="3"/>
    <x v="3"/>
    <x v="5"/>
  </r>
  <r>
    <n v="3335"/>
    <n v="66"/>
    <x v="1"/>
    <x v="5"/>
    <x v="0"/>
    <n v="23"/>
    <x v="18"/>
    <x v="2"/>
    <s v="Beige"/>
    <x v="2"/>
    <n v="3.4"/>
    <x v="1"/>
    <x v="1"/>
    <x v="1"/>
    <x v="1"/>
    <n v="21"/>
    <x v="2"/>
    <x v="2"/>
  </r>
  <r>
    <n v="3336"/>
    <n v="44"/>
    <x v="1"/>
    <x v="19"/>
    <x v="3"/>
    <n v="94"/>
    <x v="21"/>
    <x v="3"/>
    <s v="Cyan"/>
    <x v="0"/>
    <n v="3.5"/>
    <x v="1"/>
    <x v="0"/>
    <x v="1"/>
    <x v="1"/>
    <n v="48"/>
    <x v="4"/>
    <x v="3"/>
  </r>
  <r>
    <n v="3337"/>
    <n v="39"/>
    <x v="1"/>
    <x v="0"/>
    <x v="0"/>
    <n v="45"/>
    <x v="6"/>
    <x v="2"/>
    <s v="Brown"/>
    <x v="3"/>
    <n v="4"/>
    <x v="1"/>
    <x v="1"/>
    <x v="1"/>
    <x v="1"/>
    <n v="24"/>
    <x v="5"/>
    <x v="2"/>
  </r>
  <r>
    <n v="3338"/>
    <n v="23"/>
    <x v="1"/>
    <x v="14"/>
    <x v="2"/>
    <n v="23"/>
    <x v="28"/>
    <x v="0"/>
    <s v="Blue"/>
    <x v="0"/>
    <n v="4.4000000000000004"/>
    <x v="1"/>
    <x v="4"/>
    <x v="1"/>
    <x v="1"/>
    <n v="45"/>
    <x v="4"/>
    <x v="4"/>
  </r>
  <r>
    <n v="3339"/>
    <n v="29"/>
    <x v="1"/>
    <x v="11"/>
    <x v="0"/>
    <n v="94"/>
    <x v="46"/>
    <x v="0"/>
    <s v="White"/>
    <x v="0"/>
    <n v="2.9"/>
    <x v="1"/>
    <x v="4"/>
    <x v="1"/>
    <x v="1"/>
    <n v="46"/>
    <x v="2"/>
    <x v="5"/>
  </r>
  <r>
    <n v="3340"/>
    <n v="20"/>
    <x v="1"/>
    <x v="24"/>
    <x v="3"/>
    <n v="99"/>
    <x v="43"/>
    <x v="2"/>
    <s v="Cyan"/>
    <x v="3"/>
    <n v="3.6"/>
    <x v="1"/>
    <x v="5"/>
    <x v="1"/>
    <x v="1"/>
    <n v="35"/>
    <x v="1"/>
    <x v="0"/>
  </r>
  <r>
    <n v="3341"/>
    <n v="42"/>
    <x v="1"/>
    <x v="17"/>
    <x v="0"/>
    <n v="36"/>
    <x v="41"/>
    <x v="3"/>
    <s v="Maroon"/>
    <x v="3"/>
    <n v="4.4000000000000004"/>
    <x v="1"/>
    <x v="1"/>
    <x v="1"/>
    <x v="1"/>
    <n v="47"/>
    <x v="2"/>
    <x v="0"/>
  </r>
  <r>
    <n v="3342"/>
    <n v="55"/>
    <x v="1"/>
    <x v="14"/>
    <x v="2"/>
    <n v="50"/>
    <x v="39"/>
    <x v="3"/>
    <s v="Olive"/>
    <x v="2"/>
    <n v="4.5"/>
    <x v="1"/>
    <x v="3"/>
    <x v="1"/>
    <x v="1"/>
    <n v="35"/>
    <x v="2"/>
    <x v="5"/>
  </r>
  <r>
    <n v="3343"/>
    <n v="66"/>
    <x v="1"/>
    <x v="14"/>
    <x v="2"/>
    <n v="81"/>
    <x v="32"/>
    <x v="2"/>
    <s v="Violet"/>
    <x v="1"/>
    <n v="3.8"/>
    <x v="1"/>
    <x v="1"/>
    <x v="1"/>
    <x v="1"/>
    <n v="45"/>
    <x v="2"/>
    <x v="1"/>
  </r>
  <r>
    <n v="3344"/>
    <n v="24"/>
    <x v="1"/>
    <x v="6"/>
    <x v="0"/>
    <n v="31"/>
    <x v="0"/>
    <x v="3"/>
    <s v="Green"/>
    <x v="0"/>
    <n v="3.6"/>
    <x v="1"/>
    <x v="4"/>
    <x v="1"/>
    <x v="1"/>
    <n v="6"/>
    <x v="1"/>
    <x v="4"/>
  </r>
  <r>
    <n v="3345"/>
    <n v="62"/>
    <x v="1"/>
    <x v="19"/>
    <x v="3"/>
    <n v="48"/>
    <x v="47"/>
    <x v="3"/>
    <s v="Magenta"/>
    <x v="3"/>
    <n v="4.3"/>
    <x v="1"/>
    <x v="1"/>
    <x v="1"/>
    <x v="1"/>
    <n v="20"/>
    <x v="1"/>
    <x v="2"/>
  </r>
  <r>
    <n v="3346"/>
    <n v="28"/>
    <x v="1"/>
    <x v="8"/>
    <x v="3"/>
    <n v="91"/>
    <x v="20"/>
    <x v="2"/>
    <s v="Turquoise"/>
    <x v="2"/>
    <n v="4"/>
    <x v="1"/>
    <x v="4"/>
    <x v="1"/>
    <x v="1"/>
    <n v="3"/>
    <x v="0"/>
    <x v="4"/>
  </r>
  <r>
    <n v="3347"/>
    <n v="30"/>
    <x v="1"/>
    <x v="2"/>
    <x v="0"/>
    <n v="99"/>
    <x v="19"/>
    <x v="2"/>
    <s v="Black"/>
    <x v="2"/>
    <n v="3.4"/>
    <x v="1"/>
    <x v="0"/>
    <x v="1"/>
    <x v="1"/>
    <n v="30"/>
    <x v="0"/>
    <x v="3"/>
  </r>
  <r>
    <n v="3348"/>
    <n v="22"/>
    <x v="1"/>
    <x v="9"/>
    <x v="1"/>
    <n v="70"/>
    <x v="44"/>
    <x v="3"/>
    <s v="Cyan"/>
    <x v="2"/>
    <n v="4.4000000000000004"/>
    <x v="1"/>
    <x v="3"/>
    <x v="1"/>
    <x v="1"/>
    <n v="28"/>
    <x v="3"/>
    <x v="4"/>
  </r>
  <r>
    <n v="3349"/>
    <n v="28"/>
    <x v="1"/>
    <x v="17"/>
    <x v="0"/>
    <n v="74"/>
    <x v="13"/>
    <x v="0"/>
    <s v="Gray"/>
    <x v="0"/>
    <n v="2.8"/>
    <x v="1"/>
    <x v="3"/>
    <x v="1"/>
    <x v="1"/>
    <n v="15"/>
    <x v="1"/>
    <x v="6"/>
  </r>
  <r>
    <n v="3350"/>
    <n v="35"/>
    <x v="1"/>
    <x v="16"/>
    <x v="3"/>
    <n v="79"/>
    <x v="42"/>
    <x v="2"/>
    <s v="Red"/>
    <x v="3"/>
    <n v="2.8"/>
    <x v="1"/>
    <x v="5"/>
    <x v="1"/>
    <x v="1"/>
    <n v="29"/>
    <x v="3"/>
    <x v="3"/>
  </r>
  <r>
    <n v="3351"/>
    <n v="45"/>
    <x v="1"/>
    <x v="8"/>
    <x v="3"/>
    <n v="33"/>
    <x v="16"/>
    <x v="1"/>
    <s v="Olive"/>
    <x v="3"/>
    <n v="4.9000000000000004"/>
    <x v="1"/>
    <x v="4"/>
    <x v="1"/>
    <x v="1"/>
    <n v="15"/>
    <x v="1"/>
    <x v="4"/>
  </r>
  <r>
    <n v="3352"/>
    <n v="43"/>
    <x v="1"/>
    <x v="5"/>
    <x v="0"/>
    <n v="49"/>
    <x v="13"/>
    <x v="0"/>
    <s v="Cyan"/>
    <x v="1"/>
    <n v="4.2"/>
    <x v="1"/>
    <x v="4"/>
    <x v="1"/>
    <x v="1"/>
    <n v="18"/>
    <x v="4"/>
    <x v="0"/>
  </r>
  <r>
    <n v="3353"/>
    <n v="55"/>
    <x v="1"/>
    <x v="22"/>
    <x v="3"/>
    <n v="96"/>
    <x v="47"/>
    <x v="2"/>
    <s v="Teal"/>
    <x v="2"/>
    <n v="2.9"/>
    <x v="1"/>
    <x v="2"/>
    <x v="1"/>
    <x v="1"/>
    <n v="7"/>
    <x v="4"/>
    <x v="4"/>
  </r>
  <r>
    <n v="3354"/>
    <n v="31"/>
    <x v="1"/>
    <x v="10"/>
    <x v="0"/>
    <n v="66"/>
    <x v="31"/>
    <x v="0"/>
    <s v="Teal"/>
    <x v="3"/>
    <n v="4.5999999999999996"/>
    <x v="1"/>
    <x v="1"/>
    <x v="1"/>
    <x v="1"/>
    <n v="19"/>
    <x v="2"/>
    <x v="6"/>
  </r>
  <r>
    <n v="3355"/>
    <n v="42"/>
    <x v="1"/>
    <x v="11"/>
    <x v="0"/>
    <n v="45"/>
    <x v="33"/>
    <x v="2"/>
    <s v="Orange"/>
    <x v="3"/>
    <n v="2.8"/>
    <x v="1"/>
    <x v="2"/>
    <x v="1"/>
    <x v="1"/>
    <n v="15"/>
    <x v="3"/>
    <x v="1"/>
  </r>
  <r>
    <n v="3356"/>
    <n v="40"/>
    <x v="1"/>
    <x v="0"/>
    <x v="0"/>
    <n v="28"/>
    <x v="12"/>
    <x v="2"/>
    <s v="Peach"/>
    <x v="1"/>
    <n v="2.6"/>
    <x v="1"/>
    <x v="5"/>
    <x v="1"/>
    <x v="1"/>
    <n v="3"/>
    <x v="4"/>
    <x v="4"/>
  </r>
  <r>
    <n v="3357"/>
    <n v="39"/>
    <x v="1"/>
    <x v="2"/>
    <x v="0"/>
    <n v="48"/>
    <x v="30"/>
    <x v="2"/>
    <s v="Silver"/>
    <x v="2"/>
    <n v="3.5"/>
    <x v="1"/>
    <x v="5"/>
    <x v="1"/>
    <x v="1"/>
    <n v="13"/>
    <x v="3"/>
    <x v="4"/>
  </r>
  <r>
    <n v="3358"/>
    <n v="41"/>
    <x v="1"/>
    <x v="15"/>
    <x v="0"/>
    <n v="67"/>
    <x v="10"/>
    <x v="2"/>
    <s v="Pink"/>
    <x v="0"/>
    <n v="3.5"/>
    <x v="1"/>
    <x v="1"/>
    <x v="1"/>
    <x v="1"/>
    <n v="37"/>
    <x v="2"/>
    <x v="5"/>
  </r>
  <r>
    <n v="3359"/>
    <n v="56"/>
    <x v="1"/>
    <x v="17"/>
    <x v="0"/>
    <n v="59"/>
    <x v="30"/>
    <x v="2"/>
    <s v="Magenta"/>
    <x v="3"/>
    <n v="3.4"/>
    <x v="1"/>
    <x v="4"/>
    <x v="1"/>
    <x v="1"/>
    <n v="26"/>
    <x v="1"/>
    <x v="2"/>
  </r>
  <r>
    <n v="3360"/>
    <n v="43"/>
    <x v="1"/>
    <x v="12"/>
    <x v="3"/>
    <n v="74"/>
    <x v="13"/>
    <x v="0"/>
    <s v="Red"/>
    <x v="3"/>
    <n v="3.9"/>
    <x v="1"/>
    <x v="2"/>
    <x v="1"/>
    <x v="1"/>
    <n v="29"/>
    <x v="5"/>
    <x v="5"/>
  </r>
  <r>
    <n v="3361"/>
    <n v="22"/>
    <x v="1"/>
    <x v="14"/>
    <x v="2"/>
    <n v="81"/>
    <x v="46"/>
    <x v="2"/>
    <s v="Maroon"/>
    <x v="1"/>
    <n v="3.3"/>
    <x v="1"/>
    <x v="4"/>
    <x v="1"/>
    <x v="1"/>
    <n v="47"/>
    <x v="1"/>
    <x v="6"/>
  </r>
  <r>
    <n v="3362"/>
    <n v="47"/>
    <x v="1"/>
    <x v="9"/>
    <x v="1"/>
    <n v="26"/>
    <x v="20"/>
    <x v="2"/>
    <s v="Silver"/>
    <x v="1"/>
    <n v="4.0999999999999996"/>
    <x v="1"/>
    <x v="1"/>
    <x v="1"/>
    <x v="1"/>
    <n v="47"/>
    <x v="2"/>
    <x v="4"/>
  </r>
  <r>
    <n v="3363"/>
    <n v="50"/>
    <x v="1"/>
    <x v="8"/>
    <x v="3"/>
    <n v="61"/>
    <x v="30"/>
    <x v="2"/>
    <s v="Gray"/>
    <x v="2"/>
    <n v="3"/>
    <x v="1"/>
    <x v="2"/>
    <x v="1"/>
    <x v="1"/>
    <n v="48"/>
    <x v="0"/>
    <x v="0"/>
  </r>
  <r>
    <n v="3364"/>
    <n v="58"/>
    <x v="1"/>
    <x v="1"/>
    <x v="0"/>
    <n v="23"/>
    <x v="18"/>
    <x v="2"/>
    <s v="Turquoise"/>
    <x v="0"/>
    <n v="3"/>
    <x v="1"/>
    <x v="2"/>
    <x v="1"/>
    <x v="1"/>
    <n v="46"/>
    <x v="4"/>
    <x v="4"/>
  </r>
  <r>
    <n v="3365"/>
    <n v="50"/>
    <x v="1"/>
    <x v="18"/>
    <x v="3"/>
    <n v="33"/>
    <x v="4"/>
    <x v="2"/>
    <s v="Peach"/>
    <x v="3"/>
    <n v="3.2"/>
    <x v="1"/>
    <x v="3"/>
    <x v="1"/>
    <x v="1"/>
    <n v="7"/>
    <x v="2"/>
    <x v="5"/>
  </r>
  <r>
    <n v="3366"/>
    <n v="43"/>
    <x v="1"/>
    <x v="11"/>
    <x v="0"/>
    <n v="58"/>
    <x v="30"/>
    <x v="0"/>
    <s v="Teal"/>
    <x v="3"/>
    <n v="3.9"/>
    <x v="1"/>
    <x v="0"/>
    <x v="1"/>
    <x v="1"/>
    <n v="45"/>
    <x v="2"/>
    <x v="6"/>
  </r>
  <r>
    <n v="3367"/>
    <n v="38"/>
    <x v="1"/>
    <x v="24"/>
    <x v="3"/>
    <n v="65"/>
    <x v="17"/>
    <x v="2"/>
    <s v="Red"/>
    <x v="1"/>
    <n v="3.6"/>
    <x v="1"/>
    <x v="4"/>
    <x v="1"/>
    <x v="1"/>
    <n v="47"/>
    <x v="5"/>
    <x v="3"/>
  </r>
  <r>
    <n v="3368"/>
    <n v="44"/>
    <x v="1"/>
    <x v="17"/>
    <x v="0"/>
    <n v="48"/>
    <x v="30"/>
    <x v="2"/>
    <s v="Blue"/>
    <x v="2"/>
    <n v="3.1"/>
    <x v="1"/>
    <x v="5"/>
    <x v="1"/>
    <x v="1"/>
    <n v="6"/>
    <x v="0"/>
    <x v="0"/>
  </r>
  <r>
    <n v="3369"/>
    <n v="30"/>
    <x v="1"/>
    <x v="3"/>
    <x v="1"/>
    <n v="25"/>
    <x v="43"/>
    <x v="2"/>
    <s v="Blue"/>
    <x v="1"/>
    <n v="4.8"/>
    <x v="1"/>
    <x v="0"/>
    <x v="1"/>
    <x v="1"/>
    <n v="29"/>
    <x v="4"/>
    <x v="6"/>
  </r>
  <r>
    <n v="3370"/>
    <n v="47"/>
    <x v="1"/>
    <x v="1"/>
    <x v="0"/>
    <n v="51"/>
    <x v="1"/>
    <x v="2"/>
    <s v="Indigo"/>
    <x v="0"/>
    <n v="3.8"/>
    <x v="1"/>
    <x v="4"/>
    <x v="1"/>
    <x v="1"/>
    <n v="42"/>
    <x v="1"/>
    <x v="5"/>
  </r>
  <r>
    <n v="3371"/>
    <n v="30"/>
    <x v="1"/>
    <x v="22"/>
    <x v="3"/>
    <n v="31"/>
    <x v="26"/>
    <x v="2"/>
    <s v="Charcoal"/>
    <x v="2"/>
    <n v="2.8"/>
    <x v="1"/>
    <x v="5"/>
    <x v="1"/>
    <x v="1"/>
    <n v="46"/>
    <x v="1"/>
    <x v="0"/>
  </r>
  <r>
    <n v="3372"/>
    <n v="49"/>
    <x v="1"/>
    <x v="15"/>
    <x v="0"/>
    <n v="99"/>
    <x v="24"/>
    <x v="1"/>
    <s v="Turquoise"/>
    <x v="0"/>
    <n v="4"/>
    <x v="1"/>
    <x v="2"/>
    <x v="1"/>
    <x v="1"/>
    <n v="28"/>
    <x v="3"/>
    <x v="2"/>
  </r>
  <r>
    <n v="3373"/>
    <n v="56"/>
    <x v="1"/>
    <x v="20"/>
    <x v="0"/>
    <n v="25"/>
    <x v="38"/>
    <x v="2"/>
    <s v="Maroon"/>
    <x v="0"/>
    <n v="4.5999999999999996"/>
    <x v="1"/>
    <x v="1"/>
    <x v="1"/>
    <x v="1"/>
    <n v="14"/>
    <x v="2"/>
    <x v="6"/>
  </r>
  <r>
    <n v="3374"/>
    <n v="70"/>
    <x v="1"/>
    <x v="3"/>
    <x v="1"/>
    <n v="52"/>
    <x v="46"/>
    <x v="2"/>
    <s v="Purple"/>
    <x v="1"/>
    <n v="3.5"/>
    <x v="1"/>
    <x v="5"/>
    <x v="1"/>
    <x v="1"/>
    <n v="12"/>
    <x v="5"/>
    <x v="6"/>
  </r>
  <r>
    <n v="3375"/>
    <n v="22"/>
    <x v="1"/>
    <x v="0"/>
    <x v="0"/>
    <n v="47"/>
    <x v="22"/>
    <x v="1"/>
    <s v="Lavender"/>
    <x v="1"/>
    <n v="3.7"/>
    <x v="1"/>
    <x v="4"/>
    <x v="1"/>
    <x v="1"/>
    <n v="41"/>
    <x v="5"/>
    <x v="2"/>
  </r>
  <r>
    <n v="3376"/>
    <n v="51"/>
    <x v="1"/>
    <x v="23"/>
    <x v="1"/>
    <n v="98"/>
    <x v="39"/>
    <x v="3"/>
    <s v="Yellow"/>
    <x v="3"/>
    <n v="4.9000000000000004"/>
    <x v="1"/>
    <x v="0"/>
    <x v="1"/>
    <x v="1"/>
    <n v="8"/>
    <x v="2"/>
    <x v="2"/>
  </r>
  <r>
    <n v="3377"/>
    <n v="22"/>
    <x v="1"/>
    <x v="19"/>
    <x v="3"/>
    <n v="46"/>
    <x v="31"/>
    <x v="2"/>
    <s v="Green"/>
    <x v="0"/>
    <n v="4.0999999999999996"/>
    <x v="1"/>
    <x v="5"/>
    <x v="1"/>
    <x v="1"/>
    <n v="24"/>
    <x v="1"/>
    <x v="3"/>
  </r>
  <r>
    <n v="3378"/>
    <n v="37"/>
    <x v="1"/>
    <x v="5"/>
    <x v="0"/>
    <n v="32"/>
    <x v="0"/>
    <x v="2"/>
    <s v="Yellow"/>
    <x v="0"/>
    <n v="4.5999999999999996"/>
    <x v="1"/>
    <x v="2"/>
    <x v="1"/>
    <x v="1"/>
    <n v="18"/>
    <x v="3"/>
    <x v="0"/>
  </r>
  <r>
    <n v="3379"/>
    <n v="49"/>
    <x v="1"/>
    <x v="6"/>
    <x v="0"/>
    <n v="75"/>
    <x v="46"/>
    <x v="0"/>
    <s v="Gold"/>
    <x v="3"/>
    <n v="4.5"/>
    <x v="1"/>
    <x v="2"/>
    <x v="1"/>
    <x v="1"/>
    <n v="6"/>
    <x v="1"/>
    <x v="3"/>
  </r>
  <r>
    <n v="3380"/>
    <n v="61"/>
    <x v="1"/>
    <x v="8"/>
    <x v="3"/>
    <n v="51"/>
    <x v="30"/>
    <x v="0"/>
    <s v="Turquoise"/>
    <x v="2"/>
    <n v="5"/>
    <x v="1"/>
    <x v="5"/>
    <x v="1"/>
    <x v="1"/>
    <n v="40"/>
    <x v="1"/>
    <x v="1"/>
  </r>
  <r>
    <n v="3381"/>
    <n v="41"/>
    <x v="1"/>
    <x v="10"/>
    <x v="0"/>
    <n v="52"/>
    <x v="25"/>
    <x v="0"/>
    <s v="Blue"/>
    <x v="2"/>
    <n v="3.8"/>
    <x v="1"/>
    <x v="3"/>
    <x v="1"/>
    <x v="1"/>
    <n v="6"/>
    <x v="3"/>
    <x v="6"/>
  </r>
  <r>
    <n v="3382"/>
    <n v="57"/>
    <x v="1"/>
    <x v="19"/>
    <x v="3"/>
    <n v="66"/>
    <x v="46"/>
    <x v="0"/>
    <s v="Turquoise"/>
    <x v="0"/>
    <n v="4.7"/>
    <x v="1"/>
    <x v="3"/>
    <x v="1"/>
    <x v="1"/>
    <n v="27"/>
    <x v="2"/>
    <x v="3"/>
  </r>
  <r>
    <n v="3383"/>
    <n v="34"/>
    <x v="1"/>
    <x v="1"/>
    <x v="0"/>
    <n v="35"/>
    <x v="43"/>
    <x v="2"/>
    <s v="Maroon"/>
    <x v="1"/>
    <n v="2.8"/>
    <x v="1"/>
    <x v="0"/>
    <x v="1"/>
    <x v="1"/>
    <n v="2"/>
    <x v="4"/>
    <x v="1"/>
  </r>
  <r>
    <n v="3384"/>
    <n v="27"/>
    <x v="1"/>
    <x v="7"/>
    <x v="2"/>
    <n v="43"/>
    <x v="12"/>
    <x v="2"/>
    <s v="Pink"/>
    <x v="3"/>
    <n v="2.6"/>
    <x v="1"/>
    <x v="2"/>
    <x v="1"/>
    <x v="1"/>
    <n v="39"/>
    <x v="0"/>
    <x v="4"/>
  </r>
  <r>
    <n v="3385"/>
    <n v="39"/>
    <x v="1"/>
    <x v="15"/>
    <x v="0"/>
    <n v="24"/>
    <x v="46"/>
    <x v="0"/>
    <s v="Maroon"/>
    <x v="2"/>
    <n v="3.8"/>
    <x v="1"/>
    <x v="1"/>
    <x v="1"/>
    <x v="1"/>
    <n v="9"/>
    <x v="0"/>
    <x v="3"/>
  </r>
  <r>
    <n v="3386"/>
    <n v="62"/>
    <x v="1"/>
    <x v="16"/>
    <x v="3"/>
    <n v="83"/>
    <x v="3"/>
    <x v="2"/>
    <s v="Olive"/>
    <x v="0"/>
    <n v="2.8"/>
    <x v="1"/>
    <x v="3"/>
    <x v="1"/>
    <x v="1"/>
    <n v="16"/>
    <x v="2"/>
    <x v="6"/>
  </r>
  <r>
    <n v="3387"/>
    <n v="34"/>
    <x v="1"/>
    <x v="17"/>
    <x v="0"/>
    <n v="62"/>
    <x v="49"/>
    <x v="2"/>
    <s v="Lavender"/>
    <x v="3"/>
    <n v="2.6"/>
    <x v="1"/>
    <x v="4"/>
    <x v="1"/>
    <x v="1"/>
    <n v="36"/>
    <x v="1"/>
    <x v="3"/>
  </r>
  <r>
    <n v="3388"/>
    <n v="53"/>
    <x v="1"/>
    <x v="13"/>
    <x v="0"/>
    <n v="78"/>
    <x v="32"/>
    <x v="1"/>
    <s v="Pink"/>
    <x v="1"/>
    <n v="3.4"/>
    <x v="1"/>
    <x v="4"/>
    <x v="1"/>
    <x v="1"/>
    <n v="2"/>
    <x v="2"/>
    <x v="4"/>
  </r>
  <r>
    <n v="3389"/>
    <n v="35"/>
    <x v="1"/>
    <x v="1"/>
    <x v="0"/>
    <n v="61"/>
    <x v="45"/>
    <x v="2"/>
    <s v="Cyan"/>
    <x v="1"/>
    <n v="4.5"/>
    <x v="1"/>
    <x v="5"/>
    <x v="1"/>
    <x v="1"/>
    <n v="21"/>
    <x v="2"/>
    <x v="1"/>
  </r>
  <r>
    <n v="3390"/>
    <n v="38"/>
    <x v="1"/>
    <x v="13"/>
    <x v="0"/>
    <n v="57"/>
    <x v="17"/>
    <x v="0"/>
    <s v="Maroon"/>
    <x v="3"/>
    <n v="3.8"/>
    <x v="1"/>
    <x v="1"/>
    <x v="1"/>
    <x v="1"/>
    <n v="39"/>
    <x v="0"/>
    <x v="2"/>
  </r>
  <r>
    <n v="3391"/>
    <n v="32"/>
    <x v="1"/>
    <x v="20"/>
    <x v="0"/>
    <n v="70"/>
    <x v="4"/>
    <x v="1"/>
    <s v="Red"/>
    <x v="2"/>
    <n v="3"/>
    <x v="1"/>
    <x v="2"/>
    <x v="1"/>
    <x v="1"/>
    <n v="38"/>
    <x v="3"/>
    <x v="2"/>
  </r>
  <r>
    <n v="3392"/>
    <n v="47"/>
    <x v="1"/>
    <x v="15"/>
    <x v="0"/>
    <n v="57"/>
    <x v="6"/>
    <x v="2"/>
    <s v="Silver"/>
    <x v="3"/>
    <n v="3.7"/>
    <x v="1"/>
    <x v="4"/>
    <x v="1"/>
    <x v="1"/>
    <n v="6"/>
    <x v="5"/>
    <x v="6"/>
  </r>
  <r>
    <n v="3393"/>
    <n v="53"/>
    <x v="1"/>
    <x v="18"/>
    <x v="3"/>
    <n v="74"/>
    <x v="32"/>
    <x v="3"/>
    <s v="Blue"/>
    <x v="0"/>
    <n v="4.4000000000000004"/>
    <x v="1"/>
    <x v="1"/>
    <x v="1"/>
    <x v="1"/>
    <n v="6"/>
    <x v="0"/>
    <x v="4"/>
  </r>
  <r>
    <n v="3394"/>
    <n v="60"/>
    <x v="1"/>
    <x v="10"/>
    <x v="0"/>
    <n v="90"/>
    <x v="28"/>
    <x v="2"/>
    <s v="Gold"/>
    <x v="3"/>
    <n v="3.1"/>
    <x v="1"/>
    <x v="2"/>
    <x v="1"/>
    <x v="1"/>
    <n v="50"/>
    <x v="5"/>
    <x v="5"/>
  </r>
  <r>
    <n v="3395"/>
    <n v="31"/>
    <x v="1"/>
    <x v="3"/>
    <x v="1"/>
    <n v="98"/>
    <x v="34"/>
    <x v="1"/>
    <s v="Yellow"/>
    <x v="1"/>
    <n v="4.2"/>
    <x v="1"/>
    <x v="5"/>
    <x v="1"/>
    <x v="1"/>
    <n v="9"/>
    <x v="3"/>
    <x v="2"/>
  </r>
  <r>
    <n v="3396"/>
    <n v="44"/>
    <x v="1"/>
    <x v="10"/>
    <x v="0"/>
    <n v="43"/>
    <x v="24"/>
    <x v="2"/>
    <s v="Silver"/>
    <x v="0"/>
    <n v="3.1"/>
    <x v="1"/>
    <x v="1"/>
    <x v="1"/>
    <x v="1"/>
    <n v="15"/>
    <x v="5"/>
    <x v="6"/>
  </r>
  <r>
    <n v="3397"/>
    <n v="29"/>
    <x v="1"/>
    <x v="13"/>
    <x v="0"/>
    <n v="37"/>
    <x v="30"/>
    <x v="3"/>
    <s v="Black"/>
    <x v="0"/>
    <n v="5"/>
    <x v="1"/>
    <x v="2"/>
    <x v="1"/>
    <x v="1"/>
    <n v="5"/>
    <x v="3"/>
    <x v="3"/>
  </r>
  <r>
    <n v="3398"/>
    <n v="19"/>
    <x v="1"/>
    <x v="0"/>
    <x v="0"/>
    <n v="38"/>
    <x v="32"/>
    <x v="0"/>
    <s v="Yellow"/>
    <x v="2"/>
    <n v="2.7"/>
    <x v="1"/>
    <x v="3"/>
    <x v="1"/>
    <x v="1"/>
    <n v="13"/>
    <x v="4"/>
    <x v="4"/>
  </r>
  <r>
    <n v="3399"/>
    <n v="54"/>
    <x v="1"/>
    <x v="2"/>
    <x v="0"/>
    <n v="60"/>
    <x v="6"/>
    <x v="0"/>
    <s v="Pink"/>
    <x v="0"/>
    <n v="3.8"/>
    <x v="1"/>
    <x v="3"/>
    <x v="1"/>
    <x v="1"/>
    <n v="44"/>
    <x v="1"/>
    <x v="0"/>
  </r>
  <r>
    <n v="3400"/>
    <n v="40"/>
    <x v="1"/>
    <x v="13"/>
    <x v="0"/>
    <n v="55"/>
    <x v="6"/>
    <x v="3"/>
    <s v="Yellow"/>
    <x v="0"/>
    <n v="3.3"/>
    <x v="1"/>
    <x v="3"/>
    <x v="1"/>
    <x v="1"/>
    <n v="36"/>
    <x v="5"/>
    <x v="2"/>
  </r>
  <r>
    <n v="3401"/>
    <n v="39"/>
    <x v="1"/>
    <x v="12"/>
    <x v="3"/>
    <n v="51"/>
    <x v="22"/>
    <x v="2"/>
    <s v="Lavender"/>
    <x v="3"/>
    <n v="4.8"/>
    <x v="1"/>
    <x v="1"/>
    <x v="1"/>
    <x v="1"/>
    <n v="18"/>
    <x v="0"/>
    <x v="0"/>
  </r>
  <r>
    <n v="3402"/>
    <n v="44"/>
    <x v="1"/>
    <x v="21"/>
    <x v="3"/>
    <n v="71"/>
    <x v="22"/>
    <x v="0"/>
    <s v="Peach"/>
    <x v="0"/>
    <n v="3.4"/>
    <x v="1"/>
    <x v="3"/>
    <x v="1"/>
    <x v="1"/>
    <n v="39"/>
    <x v="2"/>
    <x v="1"/>
  </r>
  <r>
    <n v="3403"/>
    <n v="22"/>
    <x v="1"/>
    <x v="15"/>
    <x v="0"/>
    <n v="61"/>
    <x v="7"/>
    <x v="2"/>
    <s v="Black"/>
    <x v="1"/>
    <n v="4.4000000000000004"/>
    <x v="1"/>
    <x v="4"/>
    <x v="1"/>
    <x v="1"/>
    <n v="11"/>
    <x v="3"/>
    <x v="6"/>
  </r>
  <r>
    <n v="3404"/>
    <n v="30"/>
    <x v="1"/>
    <x v="23"/>
    <x v="1"/>
    <n v="65"/>
    <x v="26"/>
    <x v="2"/>
    <s v="Olive"/>
    <x v="2"/>
    <n v="3.9"/>
    <x v="1"/>
    <x v="3"/>
    <x v="1"/>
    <x v="1"/>
    <n v="1"/>
    <x v="1"/>
    <x v="4"/>
  </r>
  <r>
    <n v="3405"/>
    <n v="69"/>
    <x v="1"/>
    <x v="24"/>
    <x v="3"/>
    <n v="34"/>
    <x v="36"/>
    <x v="0"/>
    <s v="Olive"/>
    <x v="3"/>
    <n v="3.9"/>
    <x v="1"/>
    <x v="4"/>
    <x v="1"/>
    <x v="1"/>
    <n v="34"/>
    <x v="2"/>
    <x v="2"/>
  </r>
  <r>
    <n v="3406"/>
    <n v="28"/>
    <x v="1"/>
    <x v="0"/>
    <x v="0"/>
    <n v="87"/>
    <x v="47"/>
    <x v="2"/>
    <s v="White"/>
    <x v="2"/>
    <n v="4.2"/>
    <x v="1"/>
    <x v="5"/>
    <x v="1"/>
    <x v="1"/>
    <n v="47"/>
    <x v="4"/>
    <x v="4"/>
  </r>
  <r>
    <n v="3407"/>
    <n v="57"/>
    <x v="1"/>
    <x v="1"/>
    <x v="0"/>
    <n v="79"/>
    <x v="43"/>
    <x v="2"/>
    <s v="Red"/>
    <x v="1"/>
    <n v="4"/>
    <x v="1"/>
    <x v="5"/>
    <x v="1"/>
    <x v="1"/>
    <n v="24"/>
    <x v="0"/>
    <x v="3"/>
  </r>
  <r>
    <n v="3408"/>
    <n v="46"/>
    <x v="1"/>
    <x v="10"/>
    <x v="0"/>
    <n v="46"/>
    <x v="15"/>
    <x v="1"/>
    <s v="Purple"/>
    <x v="1"/>
    <n v="2.6"/>
    <x v="1"/>
    <x v="5"/>
    <x v="1"/>
    <x v="1"/>
    <n v="20"/>
    <x v="1"/>
    <x v="3"/>
  </r>
  <r>
    <n v="3409"/>
    <n v="48"/>
    <x v="1"/>
    <x v="20"/>
    <x v="0"/>
    <n v="72"/>
    <x v="6"/>
    <x v="0"/>
    <s v="Purple"/>
    <x v="2"/>
    <n v="4.4000000000000004"/>
    <x v="1"/>
    <x v="3"/>
    <x v="1"/>
    <x v="1"/>
    <n v="11"/>
    <x v="4"/>
    <x v="2"/>
  </r>
  <r>
    <n v="3410"/>
    <n v="24"/>
    <x v="1"/>
    <x v="5"/>
    <x v="0"/>
    <n v="93"/>
    <x v="46"/>
    <x v="2"/>
    <s v="Teal"/>
    <x v="2"/>
    <n v="3.2"/>
    <x v="1"/>
    <x v="2"/>
    <x v="1"/>
    <x v="1"/>
    <n v="3"/>
    <x v="2"/>
    <x v="6"/>
  </r>
  <r>
    <n v="3411"/>
    <n v="50"/>
    <x v="1"/>
    <x v="3"/>
    <x v="1"/>
    <n v="76"/>
    <x v="31"/>
    <x v="0"/>
    <s v="Teal"/>
    <x v="2"/>
    <n v="4.3"/>
    <x v="1"/>
    <x v="1"/>
    <x v="1"/>
    <x v="1"/>
    <n v="38"/>
    <x v="4"/>
    <x v="4"/>
  </r>
  <r>
    <n v="3412"/>
    <n v="29"/>
    <x v="1"/>
    <x v="9"/>
    <x v="1"/>
    <n v="56"/>
    <x v="14"/>
    <x v="0"/>
    <s v="Gray"/>
    <x v="0"/>
    <n v="4.9000000000000004"/>
    <x v="1"/>
    <x v="4"/>
    <x v="1"/>
    <x v="1"/>
    <n v="45"/>
    <x v="1"/>
    <x v="1"/>
  </r>
  <r>
    <n v="3413"/>
    <n v="61"/>
    <x v="1"/>
    <x v="3"/>
    <x v="1"/>
    <n v="83"/>
    <x v="27"/>
    <x v="2"/>
    <s v="Magenta"/>
    <x v="3"/>
    <n v="3.8"/>
    <x v="1"/>
    <x v="5"/>
    <x v="1"/>
    <x v="1"/>
    <n v="31"/>
    <x v="0"/>
    <x v="3"/>
  </r>
  <r>
    <n v="3414"/>
    <n v="34"/>
    <x v="1"/>
    <x v="24"/>
    <x v="3"/>
    <n v="90"/>
    <x v="12"/>
    <x v="3"/>
    <s v="Black"/>
    <x v="0"/>
    <n v="2.5"/>
    <x v="1"/>
    <x v="0"/>
    <x v="1"/>
    <x v="1"/>
    <n v="16"/>
    <x v="3"/>
    <x v="4"/>
  </r>
  <r>
    <n v="3415"/>
    <n v="27"/>
    <x v="1"/>
    <x v="23"/>
    <x v="1"/>
    <n v="94"/>
    <x v="39"/>
    <x v="2"/>
    <s v="Maroon"/>
    <x v="1"/>
    <n v="4.9000000000000004"/>
    <x v="1"/>
    <x v="2"/>
    <x v="1"/>
    <x v="1"/>
    <n v="3"/>
    <x v="4"/>
    <x v="3"/>
  </r>
  <r>
    <n v="3416"/>
    <n v="38"/>
    <x v="1"/>
    <x v="0"/>
    <x v="0"/>
    <n v="68"/>
    <x v="14"/>
    <x v="2"/>
    <s v="Gold"/>
    <x v="3"/>
    <n v="3"/>
    <x v="1"/>
    <x v="4"/>
    <x v="1"/>
    <x v="1"/>
    <n v="15"/>
    <x v="4"/>
    <x v="2"/>
  </r>
  <r>
    <n v="3417"/>
    <n v="25"/>
    <x v="1"/>
    <x v="3"/>
    <x v="1"/>
    <n v="53"/>
    <x v="15"/>
    <x v="2"/>
    <s v="Purple"/>
    <x v="1"/>
    <n v="3.2"/>
    <x v="1"/>
    <x v="5"/>
    <x v="1"/>
    <x v="1"/>
    <n v="11"/>
    <x v="4"/>
    <x v="6"/>
  </r>
  <r>
    <n v="3418"/>
    <n v="54"/>
    <x v="1"/>
    <x v="7"/>
    <x v="2"/>
    <n v="35"/>
    <x v="2"/>
    <x v="2"/>
    <s v="Blue"/>
    <x v="2"/>
    <n v="2.9"/>
    <x v="1"/>
    <x v="4"/>
    <x v="1"/>
    <x v="1"/>
    <n v="22"/>
    <x v="5"/>
    <x v="0"/>
  </r>
  <r>
    <n v="3419"/>
    <n v="53"/>
    <x v="1"/>
    <x v="14"/>
    <x v="2"/>
    <n v="30"/>
    <x v="36"/>
    <x v="2"/>
    <s v="Beige"/>
    <x v="2"/>
    <n v="2.8"/>
    <x v="1"/>
    <x v="1"/>
    <x v="1"/>
    <x v="1"/>
    <n v="35"/>
    <x v="5"/>
    <x v="2"/>
  </r>
  <r>
    <n v="3420"/>
    <n v="23"/>
    <x v="1"/>
    <x v="16"/>
    <x v="3"/>
    <n v="26"/>
    <x v="8"/>
    <x v="0"/>
    <s v="Indigo"/>
    <x v="0"/>
    <n v="3.1"/>
    <x v="1"/>
    <x v="5"/>
    <x v="1"/>
    <x v="1"/>
    <n v="5"/>
    <x v="0"/>
    <x v="4"/>
  </r>
  <r>
    <n v="3421"/>
    <n v="19"/>
    <x v="1"/>
    <x v="19"/>
    <x v="3"/>
    <n v="60"/>
    <x v="0"/>
    <x v="2"/>
    <s v="Purple"/>
    <x v="0"/>
    <n v="3.4"/>
    <x v="1"/>
    <x v="0"/>
    <x v="1"/>
    <x v="1"/>
    <n v="35"/>
    <x v="3"/>
    <x v="4"/>
  </r>
  <r>
    <n v="3422"/>
    <n v="57"/>
    <x v="1"/>
    <x v="9"/>
    <x v="1"/>
    <n v="30"/>
    <x v="32"/>
    <x v="2"/>
    <s v="Maroon"/>
    <x v="2"/>
    <n v="2.9"/>
    <x v="1"/>
    <x v="1"/>
    <x v="1"/>
    <x v="1"/>
    <n v="27"/>
    <x v="3"/>
    <x v="1"/>
  </r>
  <r>
    <n v="3423"/>
    <n v="19"/>
    <x v="1"/>
    <x v="7"/>
    <x v="2"/>
    <n v="91"/>
    <x v="14"/>
    <x v="0"/>
    <s v="Beige"/>
    <x v="0"/>
    <n v="3.2"/>
    <x v="1"/>
    <x v="2"/>
    <x v="1"/>
    <x v="1"/>
    <n v="9"/>
    <x v="0"/>
    <x v="5"/>
  </r>
  <r>
    <n v="3424"/>
    <n v="33"/>
    <x v="1"/>
    <x v="23"/>
    <x v="1"/>
    <n v="71"/>
    <x v="2"/>
    <x v="2"/>
    <s v="Brown"/>
    <x v="1"/>
    <n v="3.8"/>
    <x v="1"/>
    <x v="2"/>
    <x v="1"/>
    <x v="1"/>
    <n v="21"/>
    <x v="3"/>
    <x v="4"/>
  </r>
  <r>
    <n v="3425"/>
    <n v="33"/>
    <x v="1"/>
    <x v="18"/>
    <x v="3"/>
    <n v="64"/>
    <x v="20"/>
    <x v="0"/>
    <s v="Green"/>
    <x v="2"/>
    <n v="3.6"/>
    <x v="1"/>
    <x v="4"/>
    <x v="1"/>
    <x v="1"/>
    <n v="23"/>
    <x v="2"/>
    <x v="5"/>
  </r>
  <r>
    <n v="3426"/>
    <n v="38"/>
    <x v="1"/>
    <x v="19"/>
    <x v="3"/>
    <n v="54"/>
    <x v="49"/>
    <x v="2"/>
    <s v="Blue"/>
    <x v="2"/>
    <n v="4.3"/>
    <x v="1"/>
    <x v="2"/>
    <x v="1"/>
    <x v="1"/>
    <n v="3"/>
    <x v="5"/>
    <x v="4"/>
  </r>
  <r>
    <n v="3427"/>
    <n v="47"/>
    <x v="1"/>
    <x v="20"/>
    <x v="0"/>
    <n v="35"/>
    <x v="4"/>
    <x v="3"/>
    <s v="Magenta"/>
    <x v="3"/>
    <n v="4.8"/>
    <x v="1"/>
    <x v="4"/>
    <x v="1"/>
    <x v="1"/>
    <n v="31"/>
    <x v="2"/>
    <x v="2"/>
  </r>
  <r>
    <n v="3428"/>
    <n v="39"/>
    <x v="1"/>
    <x v="17"/>
    <x v="0"/>
    <n v="38"/>
    <x v="49"/>
    <x v="3"/>
    <s v="Turquoise"/>
    <x v="0"/>
    <n v="2.5"/>
    <x v="1"/>
    <x v="5"/>
    <x v="1"/>
    <x v="1"/>
    <n v="44"/>
    <x v="1"/>
    <x v="2"/>
  </r>
  <r>
    <n v="3429"/>
    <n v="32"/>
    <x v="1"/>
    <x v="16"/>
    <x v="3"/>
    <n v="69"/>
    <x v="47"/>
    <x v="2"/>
    <s v="Gray"/>
    <x v="3"/>
    <n v="2.5"/>
    <x v="1"/>
    <x v="2"/>
    <x v="1"/>
    <x v="1"/>
    <n v="20"/>
    <x v="0"/>
    <x v="5"/>
  </r>
  <r>
    <n v="3430"/>
    <n v="27"/>
    <x v="1"/>
    <x v="11"/>
    <x v="0"/>
    <n v="96"/>
    <x v="29"/>
    <x v="1"/>
    <s v="Purple"/>
    <x v="0"/>
    <n v="4.5999999999999996"/>
    <x v="1"/>
    <x v="0"/>
    <x v="1"/>
    <x v="1"/>
    <n v="34"/>
    <x v="5"/>
    <x v="1"/>
  </r>
  <r>
    <n v="3431"/>
    <n v="67"/>
    <x v="1"/>
    <x v="20"/>
    <x v="0"/>
    <n v="73"/>
    <x v="6"/>
    <x v="2"/>
    <s v="Lavender"/>
    <x v="0"/>
    <n v="4.2"/>
    <x v="1"/>
    <x v="2"/>
    <x v="1"/>
    <x v="1"/>
    <n v="17"/>
    <x v="4"/>
    <x v="6"/>
  </r>
  <r>
    <n v="3432"/>
    <n v="46"/>
    <x v="1"/>
    <x v="22"/>
    <x v="3"/>
    <n v="49"/>
    <x v="35"/>
    <x v="1"/>
    <s v="Green"/>
    <x v="2"/>
    <n v="4.2"/>
    <x v="1"/>
    <x v="0"/>
    <x v="1"/>
    <x v="1"/>
    <n v="20"/>
    <x v="0"/>
    <x v="2"/>
  </r>
  <r>
    <n v="3433"/>
    <n v="36"/>
    <x v="1"/>
    <x v="23"/>
    <x v="1"/>
    <n v="44"/>
    <x v="39"/>
    <x v="2"/>
    <s v="Gray"/>
    <x v="2"/>
    <n v="4.8"/>
    <x v="1"/>
    <x v="4"/>
    <x v="1"/>
    <x v="1"/>
    <n v="46"/>
    <x v="3"/>
    <x v="6"/>
  </r>
  <r>
    <n v="3434"/>
    <n v="62"/>
    <x v="1"/>
    <x v="20"/>
    <x v="0"/>
    <n v="93"/>
    <x v="29"/>
    <x v="2"/>
    <s v="Yellow"/>
    <x v="1"/>
    <n v="4.5"/>
    <x v="1"/>
    <x v="1"/>
    <x v="1"/>
    <x v="1"/>
    <n v="28"/>
    <x v="3"/>
    <x v="2"/>
  </r>
  <r>
    <n v="3435"/>
    <n v="31"/>
    <x v="1"/>
    <x v="13"/>
    <x v="0"/>
    <n v="72"/>
    <x v="31"/>
    <x v="1"/>
    <s v="Orange"/>
    <x v="2"/>
    <n v="3.3"/>
    <x v="1"/>
    <x v="4"/>
    <x v="1"/>
    <x v="1"/>
    <n v="6"/>
    <x v="0"/>
    <x v="0"/>
  </r>
  <r>
    <n v="3436"/>
    <n v="68"/>
    <x v="1"/>
    <x v="20"/>
    <x v="0"/>
    <n v="91"/>
    <x v="6"/>
    <x v="2"/>
    <s v="Beige"/>
    <x v="2"/>
    <n v="2.7"/>
    <x v="1"/>
    <x v="4"/>
    <x v="1"/>
    <x v="1"/>
    <n v="50"/>
    <x v="5"/>
    <x v="4"/>
  </r>
  <r>
    <n v="3437"/>
    <n v="57"/>
    <x v="1"/>
    <x v="22"/>
    <x v="3"/>
    <n v="83"/>
    <x v="43"/>
    <x v="0"/>
    <s v="Peach"/>
    <x v="0"/>
    <n v="2.8"/>
    <x v="1"/>
    <x v="4"/>
    <x v="1"/>
    <x v="1"/>
    <n v="41"/>
    <x v="4"/>
    <x v="5"/>
  </r>
  <r>
    <n v="3438"/>
    <n v="22"/>
    <x v="1"/>
    <x v="14"/>
    <x v="2"/>
    <n v="62"/>
    <x v="19"/>
    <x v="1"/>
    <s v="Green"/>
    <x v="0"/>
    <n v="3.5"/>
    <x v="1"/>
    <x v="4"/>
    <x v="1"/>
    <x v="1"/>
    <n v="50"/>
    <x v="3"/>
    <x v="2"/>
  </r>
  <r>
    <n v="3439"/>
    <n v="26"/>
    <x v="1"/>
    <x v="5"/>
    <x v="0"/>
    <n v="71"/>
    <x v="0"/>
    <x v="2"/>
    <s v="Violet"/>
    <x v="3"/>
    <n v="3"/>
    <x v="1"/>
    <x v="5"/>
    <x v="1"/>
    <x v="1"/>
    <n v="33"/>
    <x v="2"/>
    <x v="5"/>
  </r>
  <r>
    <n v="3440"/>
    <n v="43"/>
    <x v="1"/>
    <x v="24"/>
    <x v="3"/>
    <n v="93"/>
    <x v="37"/>
    <x v="2"/>
    <s v="Gray"/>
    <x v="2"/>
    <n v="4.5"/>
    <x v="1"/>
    <x v="0"/>
    <x v="1"/>
    <x v="1"/>
    <n v="25"/>
    <x v="0"/>
    <x v="3"/>
  </r>
  <r>
    <n v="3441"/>
    <n v="45"/>
    <x v="1"/>
    <x v="8"/>
    <x v="3"/>
    <n v="63"/>
    <x v="33"/>
    <x v="0"/>
    <s v="Magenta"/>
    <x v="3"/>
    <n v="4.3"/>
    <x v="1"/>
    <x v="4"/>
    <x v="1"/>
    <x v="1"/>
    <n v="2"/>
    <x v="3"/>
    <x v="1"/>
  </r>
  <r>
    <n v="3442"/>
    <n v="64"/>
    <x v="1"/>
    <x v="1"/>
    <x v="0"/>
    <n v="96"/>
    <x v="30"/>
    <x v="3"/>
    <s v="Charcoal"/>
    <x v="3"/>
    <n v="4.0999999999999996"/>
    <x v="1"/>
    <x v="3"/>
    <x v="1"/>
    <x v="1"/>
    <n v="15"/>
    <x v="2"/>
    <x v="2"/>
  </r>
  <r>
    <n v="3443"/>
    <n v="28"/>
    <x v="1"/>
    <x v="11"/>
    <x v="0"/>
    <n v="78"/>
    <x v="49"/>
    <x v="2"/>
    <s v="Violet"/>
    <x v="1"/>
    <n v="4.3"/>
    <x v="1"/>
    <x v="2"/>
    <x v="1"/>
    <x v="1"/>
    <n v="12"/>
    <x v="3"/>
    <x v="1"/>
  </r>
  <r>
    <n v="3444"/>
    <n v="47"/>
    <x v="1"/>
    <x v="10"/>
    <x v="0"/>
    <n v="24"/>
    <x v="30"/>
    <x v="0"/>
    <s v="Silver"/>
    <x v="2"/>
    <n v="5"/>
    <x v="1"/>
    <x v="1"/>
    <x v="1"/>
    <x v="1"/>
    <n v="28"/>
    <x v="1"/>
    <x v="4"/>
  </r>
  <r>
    <n v="3445"/>
    <n v="53"/>
    <x v="1"/>
    <x v="13"/>
    <x v="0"/>
    <n v="63"/>
    <x v="3"/>
    <x v="1"/>
    <s v="Green"/>
    <x v="2"/>
    <n v="3.8"/>
    <x v="1"/>
    <x v="4"/>
    <x v="1"/>
    <x v="1"/>
    <n v="12"/>
    <x v="4"/>
    <x v="4"/>
  </r>
  <r>
    <n v="3446"/>
    <n v="42"/>
    <x v="1"/>
    <x v="19"/>
    <x v="3"/>
    <n v="58"/>
    <x v="20"/>
    <x v="2"/>
    <s v="Magenta"/>
    <x v="3"/>
    <n v="4.9000000000000004"/>
    <x v="1"/>
    <x v="3"/>
    <x v="1"/>
    <x v="1"/>
    <n v="3"/>
    <x v="5"/>
    <x v="2"/>
  </r>
  <r>
    <n v="3447"/>
    <n v="51"/>
    <x v="1"/>
    <x v="23"/>
    <x v="1"/>
    <n v="55"/>
    <x v="7"/>
    <x v="1"/>
    <s v="Purple"/>
    <x v="1"/>
    <n v="5"/>
    <x v="1"/>
    <x v="4"/>
    <x v="1"/>
    <x v="1"/>
    <n v="20"/>
    <x v="1"/>
    <x v="1"/>
  </r>
  <r>
    <n v="3448"/>
    <n v="62"/>
    <x v="1"/>
    <x v="3"/>
    <x v="1"/>
    <n v="58"/>
    <x v="10"/>
    <x v="2"/>
    <s v="Blue"/>
    <x v="3"/>
    <n v="4.3"/>
    <x v="1"/>
    <x v="0"/>
    <x v="1"/>
    <x v="1"/>
    <n v="3"/>
    <x v="4"/>
    <x v="4"/>
  </r>
  <r>
    <n v="3449"/>
    <n v="18"/>
    <x v="1"/>
    <x v="7"/>
    <x v="2"/>
    <n v="28"/>
    <x v="0"/>
    <x v="1"/>
    <s v="Yellow"/>
    <x v="0"/>
    <n v="4.0999999999999996"/>
    <x v="1"/>
    <x v="0"/>
    <x v="1"/>
    <x v="1"/>
    <n v="32"/>
    <x v="4"/>
    <x v="0"/>
  </r>
  <r>
    <n v="3450"/>
    <n v="48"/>
    <x v="1"/>
    <x v="0"/>
    <x v="0"/>
    <n v="37"/>
    <x v="23"/>
    <x v="2"/>
    <s v="Brown"/>
    <x v="1"/>
    <n v="4.5"/>
    <x v="1"/>
    <x v="3"/>
    <x v="1"/>
    <x v="1"/>
    <n v="35"/>
    <x v="1"/>
    <x v="5"/>
  </r>
  <r>
    <n v="3451"/>
    <n v="20"/>
    <x v="1"/>
    <x v="6"/>
    <x v="0"/>
    <n v="78"/>
    <x v="34"/>
    <x v="2"/>
    <s v="Pink"/>
    <x v="1"/>
    <n v="3.6"/>
    <x v="1"/>
    <x v="5"/>
    <x v="1"/>
    <x v="1"/>
    <n v="31"/>
    <x v="3"/>
    <x v="5"/>
  </r>
  <r>
    <n v="3452"/>
    <n v="32"/>
    <x v="1"/>
    <x v="0"/>
    <x v="0"/>
    <n v="73"/>
    <x v="22"/>
    <x v="3"/>
    <s v="Silver"/>
    <x v="3"/>
    <n v="3"/>
    <x v="1"/>
    <x v="1"/>
    <x v="1"/>
    <x v="1"/>
    <n v="13"/>
    <x v="2"/>
    <x v="2"/>
  </r>
  <r>
    <n v="3453"/>
    <n v="26"/>
    <x v="1"/>
    <x v="14"/>
    <x v="2"/>
    <n v="20"/>
    <x v="19"/>
    <x v="2"/>
    <s v="Indigo"/>
    <x v="1"/>
    <n v="3.7"/>
    <x v="1"/>
    <x v="2"/>
    <x v="1"/>
    <x v="1"/>
    <n v="3"/>
    <x v="0"/>
    <x v="0"/>
  </r>
  <r>
    <n v="3454"/>
    <n v="31"/>
    <x v="1"/>
    <x v="5"/>
    <x v="0"/>
    <n v="60"/>
    <x v="15"/>
    <x v="0"/>
    <s v="Pink"/>
    <x v="0"/>
    <n v="4.3"/>
    <x v="1"/>
    <x v="3"/>
    <x v="1"/>
    <x v="1"/>
    <n v="48"/>
    <x v="0"/>
    <x v="4"/>
  </r>
  <r>
    <n v="3455"/>
    <n v="55"/>
    <x v="1"/>
    <x v="8"/>
    <x v="3"/>
    <n v="71"/>
    <x v="7"/>
    <x v="1"/>
    <s v="Lavender"/>
    <x v="3"/>
    <n v="4.5999999999999996"/>
    <x v="1"/>
    <x v="5"/>
    <x v="1"/>
    <x v="1"/>
    <n v="15"/>
    <x v="3"/>
    <x v="4"/>
  </r>
  <r>
    <n v="3456"/>
    <n v="49"/>
    <x v="1"/>
    <x v="17"/>
    <x v="0"/>
    <n v="89"/>
    <x v="31"/>
    <x v="2"/>
    <s v="Orange"/>
    <x v="3"/>
    <n v="4.7"/>
    <x v="1"/>
    <x v="3"/>
    <x v="1"/>
    <x v="1"/>
    <n v="13"/>
    <x v="0"/>
    <x v="2"/>
  </r>
  <r>
    <n v="3457"/>
    <n v="42"/>
    <x v="1"/>
    <x v="15"/>
    <x v="0"/>
    <n v="53"/>
    <x v="21"/>
    <x v="2"/>
    <s v="Red"/>
    <x v="3"/>
    <n v="4.5999999999999996"/>
    <x v="1"/>
    <x v="0"/>
    <x v="1"/>
    <x v="1"/>
    <n v="21"/>
    <x v="0"/>
    <x v="5"/>
  </r>
  <r>
    <n v="3458"/>
    <n v="64"/>
    <x v="1"/>
    <x v="16"/>
    <x v="3"/>
    <n v="87"/>
    <x v="33"/>
    <x v="2"/>
    <s v="Gray"/>
    <x v="2"/>
    <n v="3"/>
    <x v="1"/>
    <x v="0"/>
    <x v="1"/>
    <x v="1"/>
    <n v="29"/>
    <x v="1"/>
    <x v="0"/>
  </r>
  <r>
    <n v="3459"/>
    <n v="68"/>
    <x v="1"/>
    <x v="16"/>
    <x v="3"/>
    <n v="37"/>
    <x v="8"/>
    <x v="0"/>
    <s v="Violet"/>
    <x v="1"/>
    <n v="3.4"/>
    <x v="1"/>
    <x v="3"/>
    <x v="1"/>
    <x v="1"/>
    <n v="24"/>
    <x v="0"/>
    <x v="3"/>
  </r>
  <r>
    <n v="3460"/>
    <n v="68"/>
    <x v="1"/>
    <x v="15"/>
    <x v="0"/>
    <n v="37"/>
    <x v="31"/>
    <x v="0"/>
    <s v="Green"/>
    <x v="3"/>
    <n v="3.8"/>
    <x v="1"/>
    <x v="0"/>
    <x v="1"/>
    <x v="1"/>
    <n v="21"/>
    <x v="3"/>
    <x v="2"/>
  </r>
  <r>
    <n v="3461"/>
    <n v="41"/>
    <x v="1"/>
    <x v="18"/>
    <x v="3"/>
    <n v="78"/>
    <x v="27"/>
    <x v="2"/>
    <s v="Gold"/>
    <x v="1"/>
    <n v="3.1"/>
    <x v="1"/>
    <x v="0"/>
    <x v="1"/>
    <x v="1"/>
    <n v="5"/>
    <x v="4"/>
    <x v="4"/>
  </r>
  <r>
    <n v="3462"/>
    <n v="51"/>
    <x v="1"/>
    <x v="9"/>
    <x v="1"/>
    <n v="23"/>
    <x v="5"/>
    <x v="1"/>
    <s v="Maroon"/>
    <x v="1"/>
    <n v="4.4000000000000004"/>
    <x v="1"/>
    <x v="3"/>
    <x v="1"/>
    <x v="1"/>
    <n v="47"/>
    <x v="1"/>
    <x v="3"/>
  </r>
  <r>
    <n v="3463"/>
    <n v="44"/>
    <x v="1"/>
    <x v="2"/>
    <x v="0"/>
    <n v="73"/>
    <x v="49"/>
    <x v="0"/>
    <s v="Olive"/>
    <x v="1"/>
    <n v="4.5"/>
    <x v="1"/>
    <x v="3"/>
    <x v="1"/>
    <x v="1"/>
    <n v="34"/>
    <x v="2"/>
    <x v="6"/>
  </r>
  <r>
    <n v="3464"/>
    <n v="27"/>
    <x v="1"/>
    <x v="16"/>
    <x v="3"/>
    <n v="27"/>
    <x v="1"/>
    <x v="2"/>
    <s v="Yellow"/>
    <x v="3"/>
    <n v="2.8"/>
    <x v="1"/>
    <x v="4"/>
    <x v="1"/>
    <x v="1"/>
    <n v="45"/>
    <x v="3"/>
    <x v="0"/>
  </r>
  <r>
    <n v="3465"/>
    <n v="36"/>
    <x v="1"/>
    <x v="7"/>
    <x v="2"/>
    <n v="59"/>
    <x v="40"/>
    <x v="1"/>
    <s v="Peach"/>
    <x v="0"/>
    <n v="2.7"/>
    <x v="1"/>
    <x v="2"/>
    <x v="1"/>
    <x v="1"/>
    <n v="12"/>
    <x v="3"/>
    <x v="2"/>
  </r>
  <r>
    <n v="3466"/>
    <n v="19"/>
    <x v="1"/>
    <x v="21"/>
    <x v="3"/>
    <n v="53"/>
    <x v="44"/>
    <x v="2"/>
    <s v="Gold"/>
    <x v="1"/>
    <n v="3.4"/>
    <x v="1"/>
    <x v="3"/>
    <x v="1"/>
    <x v="1"/>
    <n v="31"/>
    <x v="5"/>
    <x v="1"/>
  </r>
  <r>
    <n v="3467"/>
    <n v="49"/>
    <x v="1"/>
    <x v="20"/>
    <x v="0"/>
    <n v="42"/>
    <x v="33"/>
    <x v="1"/>
    <s v="Purple"/>
    <x v="2"/>
    <n v="4.5999999999999996"/>
    <x v="1"/>
    <x v="3"/>
    <x v="1"/>
    <x v="1"/>
    <n v="43"/>
    <x v="4"/>
    <x v="2"/>
  </r>
  <r>
    <n v="3468"/>
    <n v="18"/>
    <x v="1"/>
    <x v="18"/>
    <x v="3"/>
    <n v="45"/>
    <x v="21"/>
    <x v="2"/>
    <s v="Charcoal"/>
    <x v="3"/>
    <n v="5"/>
    <x v="1"/>
    <x v="2"/>
    <x v="1"/>
    <x v="1"/>
    <n v="5"/>
    <x v="2"/>
    <x v="2"/>
  </r>
  <r>
    <n v="3469"/>
    <n v="36"/>
    <x v="1"/>
    <x v="12"/>
    <x v="3"/>
    <n v="89"/>
    <x v="31"/>
    <x v="1"/>
    <s v="Indigo"/>
    <x v="0"/>
    <n v="3.5"/>
    <x v="1"/>
    <x v="3"/>
    <x v="1"/>
    <x v="1"/>
    <n v="36"/>
    <x v="5"/>
    <x v="3"/>
  </r>
  <r>
    <n v="3470"/>
    <n v="36"/>
    <x v="1"/>
    <x v="20"/>
    <x v="0"/>
    <n v="85"/>
    <x v="25"/>
    <x v="0"/>
    <s v="Magenta"/>
    <x v="3"/>
    <n v="3.3"/>
    <x v="1"/>
    <x v="5"/>
    <x v="1"/>
    <x v="1"/>
    <n v="12"/>
    <x v="1"/>
    <x v="2"/>
  </r>
  <r>
    <n v="3471"/>
    <n v="19"/>
    <x v="1"/>
    <x v="7"/>
    <x v="2"/>
    <n v="69"/>
    <x v="8"/>
    <x v="1"/>
    <s v="Olive"/>
    <x v="2"/>
    <n v="4.5"/>
    <x v="1"/>
    <x v="1"/>
    <x v="1"/>
    <x v="1"/>
    <n v="31"/>
    <x v="1"/>
    <x v="4"/>
  </r>
  <r>
    <n v="3472"/>
    <n v="43"/>
    <x v="1"/>
    <x v="3"/>
    <x v="1"/>
    <n v="66"/>
    <x v="17"/>
    <x v="1"/>
    <s v="Blue"/>
    <x v="1"/>
    <n v="3.1"/>
    <x v="1"/>
    <x v="5"/>
    <x v="1"/>
    <x v="1"/>
    <n v="31"/>
    <x v="1"/>
    <x v="4"/>
  </r>
  <r>
    <n v="3473"/>
    <n v="31"/>
    <x v="1"/>
    <x v="0"/>
    <x v="0"/>
    <n v="42"/>
    <x v="42"/>
    <x v="1"/>
    <s v="White"/>
    <x v="2"/>
    <n v="4"/>
    <x v="1"/>
    <x v="1"/>
    <x v="1"/>
    <x v="1"/>
    <n v="15"/>
    <x v="5"/>
    <x v="1"/>
  </r>
  <r>
    <n v="3474"/>
    <n v="63"/>
    <x v="1"/>
    <x v="10"/>
    <x v="0"/>
    <n v="40"/>
    <x v="23"/>
    <x v="2"/>
    <s v="Cyan"/>
    <x v="1"/>
    <n v="2.5"/>
    <x v="1"/>
    <x v="0"/>
    <x v="1"/>
    <x v="1"/>
    <n v="11"/>
    <x v="1"/>
    <x v="1"/>
  </r>
  <r>
    <n v="3475"/>
    <n v="41"/>
    <x v="1"/>
    <x v="13"/>
    <x v="0"/>
    <n v="82"/>
    <x v="1"/>
    <x v="2"/>
    <s v="Cyan"/>
    <x v="0"/>
    <n v="4.4000000000000004"/>
    <x v="1"/>
    <x v="5"/>
    <x v="1"/>
    <x v="1"/>
    <n v="18"/>
    <x v="0"/>
    <x v="5"/>
  </r>
  <r>
    <n v="3476"/>
    <n v="48"/>
    <x v="1"/>
    <x v="4"/>
    <x v="1"/>
    <n v="88"/>
    <x v="36"/>
    <x v="2"/>
    <s v="Orange"/>
    <x v="1"/>
    <n v="4.4000000000000004"/>
    <x v="1"/>
    <x v="0"/>
    <x v="1"/>
    <x v="1"/>
    <n v="9"/>
    <x v="1"/>
    <x v="3"/>
  </r>
  <r>
    <n v="3477"/>
    <n v="68"/>
    <x v="1"/>
    <x v="23"/>
    <x v="1"/>
    <n v="99"/>
    <x v="36"/>
    <x v="3"/>
    <s v="Orange"/>
    <x v="2"/>
    <n v="3.2"/>
    <x v="1"/>
    <x v="1"/>
    <x v="1"/>
    <x v="1"/>
    <n v="11"/>
    <x v="1"/>
    <x v="1"/>
  </r>
  <r>
    <n v="3478"/>
    <n v="53"/>
    <x v="1"/>
    <x v="8"/>
    <x v="3"/>
    <n v="85"/>
    <x v="0"/>
    <x v="1"/>
    <s v="Teal"/>
    <x v="1"/>
    <n v="3.8"/>
    <x v="1"/>
    <x v="5"/>
    <x v="1"/>
    <x v="1"/>
    <n v="38"/>
    <x v="5"/>
    <x v="4"/>
  </r>
  <r>
    <n v="3479"/>
    <n v="36"/>
    <x v="1"/>
    <x v="8"/>
    <x v="3"/>
    <n v="57"/>
    <x v="28"/>
    <x v="2"/>
    <s v="Magenta"/>
    <x v="3"/>
    <n v="4.5999999999999996"/>
    <x v="1"/>
    <x v="5"/>
    <x v="1"/>
    <x v="1"/>
    <n v="42"/>
    <x v="3"/>
    <x v="3"/>
  </r>
  <r>
    <n v="3480"/>
    <n v="46"/>
    <x v="1"/>
    <x v="1"/>
    <x v="0"/>
    <n v="56"/>
    <x v="14"/>
    <x v="1"/>
    <s v="Orange"/>
    <x v="2"/>
    <n v="4.9000000000000004"/>
    <x v="1"/>
    <x v="3"/>
    <x v="1"/>
    <x v="1"/>
    <n v="41"/>
    <x v="1"/>
    <x v="5"/>
  </r>
  <r>
    <n v="3481"/>
    <n v="21"/>
    <x v="1"/>
    <x v="3"/>
    <x v="1"/>
    <n v="79"/>
    <x v="13"/>
    <x v="0"/>
    <s v="Peach"/>
    <x v="0"/>
    <n v="3.5"/>
    <x v="1"/>
    <x v="1"/>
    <x v="1"/>
    <x v="1"/>
    <n v="45"/>
    <x v="3"/>
    <x v="5"/>
  </r>
  <r>
    <n v="3482"/>
    <n v="52"/>
    <x v="1"/>
    <x v="20"/>
    <x v="0"/>
    <n v="67"/>
    <x v="31"/>
    <x v="1"/>
    <s v="Maroon"/>
    <x v="2"/>
    <n v="3.4"/>
    <x v="1"/>
    <x v="5"/>
    <x v="1"/>
    <x v="1"/>
    <n v="41"/>
    <x v="5"/>
    <x v="4"/>
  </r>
  <r>
    <n v="3483"/>
    <n v="66"/>
    <x v="1"/>
    <x v="24"/>
    <x v="3"/>
    <n v="61"/>
    <x v="11"/>
    <x v="2"/>
    <s v="Gold"/>
    <x v="0"/>
    <n v="3.9"/>
    <x v="1"/>
    <x v="2"/>
    <x v="1"/>
    <x v="1"/>
    <n v="35"/>
    <x v="5"/>
    <x v="1"/>
  </r>
  <r>
    <n v="3484"/>
    <n v="19"/>
    <x v="1"/>
    <x v="15"/>
    <x v="0"/>
    <n v="37"/>
    <x v="21"/>
    <x v="0"/>
    <s v="White"/>
    <x v="0"/>
    <n v="3.9"/>
    <x v="1"/>
    <x v="0"/>
    <x v="1"/>
    <x v="1"/>
    <n v="21"/>
    <x v="2"/>
    <x v="6"/>
  </r>
  <r>
    <n v="3485"/>
    <n v="44"/>
    <x v="1"/>
    <x v="10"/>
    <x v="0"/>
    <n v="75"/>
    <x v="26"/>
    <x v="0"/>
    <s v="Gray"/>
    <x v="3"/>
    <n v="4.2"/>
    <x v="1"/>
    <x v="1"/>
    <x v="1"/>
    <x v="1"/>
    <n v="13"/>
    <x v="2"/>
    <x v="4"/>
  </r>
  <r>
    <n v="3486"/>
    <n v="50"/>
    <x v="1"/>
    <x v="5"/>
    <x v="0"/>
    <n v="21"/>
    <x v="2"/>
    <x v="3"/>
    <s v="Brown"/>
    <x v="0"/>
    <n v="3.4"/>
    <x v="1"/>
    <x v="3"/>
    <x v="1"/>
    <x v="1"/>
    <n v="23"/>
    <x v="5"/>
    <x v="0"/>
  </r>
  <r>
    <n v="3487"/>
    <n v="51"/>
    <x v="1"/>
    <x v="6"/>
    <x v="0"/>
    <n v="89"/>
    <x v="17"/>
    <x v="0"/>
    <s v="Charcoal"/>
    <x v="0"/>
    <n v="4.9000000000000004"/>
    <x v="1"/>
    <x v="3"/>
    <x v="1"/>
    <x v="1"/>
    <n v="6"/>
    <x v="3"/>
    <x v="1"/>
  </r>
  <r>
    <n v="3488"/>
    <n v="25"/>
    <x v="1"/>
    <x v="3"/>
    <x v="1"/>
    <n v="24"/>
    <x v="8"/>
    <x v="0"/>
    <s v="Beige"/>
    <x v="3"/>
    <n v="2.9"/>
    <x v="1"/>
    <x v="5"/>
    <x v="1"/>
    <x v="1"/>
    <n v="39"/>
    <x v="4"/>
    <x v="2"/>
  </r>
  <r>
    <n v="3489"/>
    <n v="62"/>
    <x v="1"/>
    <x v="1"/>
    <x v="0"/>
    <n v="27"/>
    <x v="12"/>
    <x v="3"/>
    <s v="Teal"/>
    <x v="1"/>
    <n v="4.9000000000000004"/>
    <x v="1"/>
    <x v="5"/>
    <x v="1"/>
    <x v="1"/>
    <n v="7"/>
    <x v="1"/>
    <x v="3"/>
  </r>
  <r>
    <n v="3490"/>
    <n v="48"/>
    <x v="1"/>
    <x v="10"/>
    <x v="0"/>
    <n v="26"/>
    <x v="37"/>
    <x v="0"/>
    <s v="Black"/>
    <x v="2"/>
    <n v="4.5999999999999996"/>
    <x v="1"/>
    <x v="4"/>
    <x v="1"/>
    <x v="1"/>
    <n v="32"/>
    <x v="3"/>
    <x v="6"/>
  </r>
  <r>
    <n v="3491"/>
    <n v="62"/>
    <x v="1"/>
    <x v="23"/>
    <x v="1"/>
    <n v="82"/>
    <x v="4"/>
    <x v="2"/>
    <s v="Violet"/>
    <x v="1"/>
    <n v="3.6"/>
    <x v="1"/>
    <x v="5"/>
    <x v="1"/>
    <x v="1"/>
    <n v="43"/>
    <x v="2"/>
    <x v="3"/>
  </r>
  <r>
    <n v="3492"/>
    <n v="22"/>
    <x v="1"/>
    <x v="13"/>
    <x v="0"/>
    <n v="28"/>
    <x v="1"/>
    <x v="2"/>
    <s v="Orange"/>
    <x v="0"/>
    <n v="4.3"/>
    <x v="1"/>
    <x v="0"/>
    <x v="1"/>
    <x v="1"/>
    <n v="15"/>
    <x v="1"/>
    <x v="5"/>
  </r>
  <r>
    <n v="3493"/>
    <n v="48"/>
    <x v="1"/>
    <x v="24"/>
    <x v="3"/>
    <n v="65"/>
    <x v="45"/>
    <x v="2"/>
    <s v="Turquoise"/>
    <x v="3"/>
    <n v="4.5999999999999996"/>
    <x v="1"/>
    <x v="3"/>
    <x v="1"/>
    <x v="1"/>
    <n v="48"/>
    <x v="4"/>
    <x v="2"/>
  </r>
  <r>
    <n v="3494"/>
    <n v="48"/>
    <x v="1"/>
    <x v="13"/>
    <x v="0"/>
    <n v="82"/>
    <x v="35"/>
    <x v="3"/>
    <s v="Black"/>
    <x v="0"/>
    <n v="4.7"/>
    <x v="1"/>
    <x v="5"/>
    <x v="1"/>
    <x v="1"/>
    <n v="35"/>
    <x v="2"/>
    <x v="1"/>
  </r>
  <r>
    <n v="3495"/>
    <n v="62"/>
    <x v="1"/>
    <x v="18"/>
    <x v="3"/>
    <n v="38"/>
    <x v="47"/>
    <x v="2"/>
    <s v="Silver"/>
    <x v="0"/>
    <n v="3.5"/>
    <x v="1"/>
    <x v="1"/>
    <x v="1"/>
    <x v="1"/>
    <n v="41"/>
    <x v="3"/>
    <x v="3"/>
  </r>
  <r>
    <n v="3496"/>
    <n v="24"/>
    <x v="1"/>
    <x v="6"/>
    <x v="0"/>
    <n v="33"/>
    <x v="42"/>
    <x v="3"/>
    <s v="Gray"/>
    <x v="1"/>
    <n v="2.8"/>
    <x v="1"/>
    <x v="1"/>
    <x v="1"/>
    <x v="1"/>
    <n v="14"/>
    <x v="1"/>
    <x v="1"/>
  </r>
  <r>
    <n v="3497"/>
    <n v="39"/>
    <x v="1"/>
    <x v="9"/>
    <x v="1"/>
    <n v="38"/>
    <x v="37"/>
    <x v="2"/>
    <s v="Pink"/>
    <x v="2"/>
    <n v="4"/>
    <x v="1"/>
    <x v="1"/>
    <x v="1"/>
    <x v="1"/>
    <n v="22"/>
    <x v="3"/>
    <x v="5"/>
  </r>
  <r>
    <n v="3498"/>
    <n v="35"/>
    <x v="1"/>
    <x v="8"/>
    <x v="3"/>
    <n v="48"/>
    <x v="24"/>
    <x v="2"/>
    <s v="Red"/>
    <x v="1"/>
    <n v="4.3"/>
    <x v="1"/>
    <x v="5"/>
    <x v="1"/>
    <x v="1"/>
    <n v="16"/>
    <x v="0"/>
    <x v="6"/>
  </r>
  <r>
    <n v="3499"/>
    <n v="47"/>
    <x v="1"/>
    <x v="3"/>
    <x v="1"/>
    <n v="35"/>
    <x v="0"/>
    <x v="2"/>
    <s v="Lavender"/>
    <x v="2"/>
    <n v="3.8"/>
    <x v="1"/>
    <x v="3"/>
    <x v="1"/>
    <x v="1"/>
    <n v="2"/>
    <x v="4"/>
    <x v="4"/>
  </r>
  <r>
    <n v="3500"/>
    <n v="22"/>
    <x v="1"/>
    <x v="20"/>
    <x v="0"/>
    <n v="29"/>
    <x v="32"/>
    <x v="0"/>
    <s v="Indigo"/>
    <x v="3"/>
    <n v="3"/>
    <x v="1"/>
    <x v="2"/>
    <x v="1"/>
    <x v="1"/>
    <n v="13"/>
    <x v="3"/>
    <x v="6"/>
  </r>
  <r>
    <n v="3501"/>
    <n v="38"/>
    <x v="1"/>
    <x v="5"/>
    <x v="0"/>
    <n v="48"/>
    <x v="4"/>
    <x v="1"/>
    <s v="Silver"/>
    <x v="3"/>
    <n v="4.5999999999999996"/>
    <x v="1"/>
    <x v="2"/>
    <x v="1"/>
    <x v="1"/>
    <n v="38"/>
    <x v="5"/>
    <x v="0"/>
  </r>
  <r>
    <n v="3502"/>
    <n v="53"/>
    <x v="1"/>
    <x v="9"/>
    <x v="1"/>
    <n v="87"/>
    <x v="43"/>
    <x v="2"/>
    <s v="Silver"/>
    <x v="3"/>
    <n v="4.8"/>
    <x v="1"/>
    <x v="3"/>
    <x v="1"/>
    <x v="1"/>
    <n v="43"/>
    <x v="4"/>
    <x v="1"/>
  </r>
  <r>
    <n v="3503"/>
    <n v="31"/>
    <x v="1"/>
    <x v="21"/>
    <x v="3"/>
    <n v="62"/>
    <x v="2"/>
    <x v="2"/>
    <s v="Green"/>
    <x v="3"/>
    <n v="4.7"/>
    <x v="1"/>
    <x v="2"/>
    <x v="1"/>
    <x v="1"/>
    <n v="26"/>
    <x v="4"/>
    <x v="3"/>
  </r>
  <r>
    <n v="3504"/>
    <n v="31"/>
    <x v="1"/>
    <x v="5"/>
    <x v="0"/>
    <n v="96"/>
    <x v="43"/>
    <x v="2"/>
    <s v="Pink"/>
    <x v="1"/>
    <n v="3.9"/>
    <x v="1"/>
    <x v="1"/>
    <x v="1"/>
    <x v="1"/>
    <n v="39"/>
    <x v="1"/>
    <x v="1"/>
  </r>
  <r>
    <n v="3505"/>
    <n v="65"/>
    <x v="1"/>
    <x v="8"/>
    <x v="3"/>
    <n v="41"/>
    <x v="11"/>
    <x v="1"/>
    <s v="Violet"/>
    <x v="3"/>
    <n v="4"/>
    <x v="1"/>
    <x v="2"/>
    <x v="1"/>
    <x v="1"/>
    <n v="50"/>
    <x v="0"/>
    <x v="5"/>
  </r>
  <r>
    <n v="3506"/>
    <n v="48"/>
    <x v="1"/>
    <x v="16"/>
    <x v="3"/>
    <n v="42"/>
    <x v="27"/>
    <x v="0"/>
    <s v="Red"/>
    <x v="0"/>
    <n v="3.7"/>
    <x v="1"/>
    <x v="4"/>
    <x v="1"/>
    <x v="1"/>
    <n v="40"/>
    <x v="4"/>
    <x v="6"/>
  </r>
  <r>
    <n v="3507"/>
    <n v="18"/>
    <x v="1"/>
    <x v="5"/>
    <x v="0"/>
    <n v="57"/>
    <x v="26"/>
    <x v="0"/>
    <s v="Olive"/>
    <x v="0"/>
    <n v="3.7"/>
    <x v="1"/>
    <x v="4"/>
    <x v="1"/>
    <x v="1"/>
    <n v="12"/>
    <x v="1"/>
    <x v="0"/>
  </r>
  <r>
    <n v="3508"/>
    <n v="46"/>
    <x v="1"/>
    <x v="8"/>
    <x v="3"/>
    <n v="65"/>
    <x v="24"/>
    <x v="1"/>
    <s v="Purple"/>
    <x v="1"/>
    <n v="4.2"/>
    <x v="1"/>
    <x v="5"/>
    <x v="1"/>
    <x v="1"/>
    <n v="33"/>
    <x v="2"/>
    <x v="6"/>
  </r>
  <r>
    <n v="3509"/>
    <n v="52"/>
    <x v="1"/>
    <x v="13"/>
    <x v="0"/>
    <n v="54"/>
    <x v="38"/>
    <x v="2"/>
    <s v="Gray"/>
    <x v="3"/>
    <n v="4.7"/>
    <x v="1"/>
    <x v="3"/>
    <x v="1"/>
    <x v="1"/>
    <n v="49"/>
    <x v="4"/>
    <x v="1"/>
  </r>
  <r>
    <n v="3510"/>
    <n v="50"/>
    <x v="1"/>
    <x v="17"/>
    <x v="0"/>
    <n v="22"/>
    <x v="31"/>
    <x v="0"/>
    <s v="Brown"/>
    <x v="0"/>
    <n v="4.3"/>
    <x v="1"/>
    <x v="2"/>
    <x v="1"/>
    <x v="1"/>
    <n v="43"/>
    <x v="0"/>
    <x v="4"/>
  </r>
  <r>
    <n v="3511"/>
    <n v="49"/>
    <x v="1"/>
    <x v="4"/>
    <x v="1"/>
    <n v="96"/>
    <x v="38"/>
    <x v="1"/>
    <s v="Orange"/>
    <x v="3"/>
    <n v="4.9000000000000004"/>
    <x v="1"/>
    <x v="4"/>
    <x v="1"/>
    <x v="1"/>
    <n v="14"/>
    <x v="0"/>
    <x v="5"/>
  </r>
  <r>
    <n v="3512"/>
    <n v="69"/>
    <x v="1"/>
    <x v="16"/>
    <x v="3"/>
    <n v="81"/>
    <x v="16"/>
    <x v="2"/>
    <s v="Blue"/>
    <x v="2"/>
    <n v="3.9"/>
    <x v="1"/>
    <x v="4"/>
    <x v="1"/>
    <x v="1"/>
    <n v="21"/>
    <x v="2"/>
    <x v="6"/>
  </r>
  <r>
    <n v="3513"/>
    <n v="36"/>
    <x v="1"/>
    <x v="5"/>
    <x v="0"/>
    <n v="46"/>
    <x v="0"/>
    <x v="2"/>
    <s v="White"/>
    <x v="3"/>
    <n v="3.4"/>
    <x v="1"/>
    <x v="1"/>
    <x v="1"/>
    <x v="1"/>
    <n v="31"/>
    <x v="5"/>
    <x v="3"/>
  </r>
  <r>
    <n v="3514"/>
    <n v="30"/>
    <x v="1"/>
    <x v="0"/>
    <x v="0"/>
    <n v="74"/>
    <x v="29"/>
    <x v="3"/>
    <s v="Charcoal"/>
    <x v="1"/>
    <n v="4.2"/>
    <x v="1"/>
    <x v="5"/>
    <x v="1"/>
    <x v="1"/>
    <n v="29"/>
    <x v="2"/>
    <x v="0"/>
  </r>
  <r>
    <n v="3515"/>
    <n v="25"/>
    <x v="1"/>
    <x v="4"/>
    <x v="1"/>
    <n v="50"/>
    <x v="42"/>
    <x v="3"/>
    <s v="Gray"/>
    <x v="0"/>
    <n v="4.7"/>
    <x v="1"/>
    <x v="0"/>
    <x v="1"/>
    <x v="1"/>
    <n v="32"/>
    <x v="1"/>
    <x v="5"/>
  </r>
  <r>
    <n v="3516"/>
    <n v="19"/>
    <x v="1"/>
    <x v="10"/>
    <x v="0"/>
    <n v="80"/>
    <x v="45"/>
    <x v="3"/>
    <s v="Charcoal"/>
    <x v="0"/>
    <n v="4"/>
    <x v="1"/>
    <x v="2"/>
    <x v="1"/>
    <x v="1"/>
    <n v="16"/>
    <x v="5"/>
    <x v="4"/>
  </r>
  <r>
    <n v="3517"/>
    <n v="34"/>
    <x v="1"/>
    <x v="23"/>
    <x v="1"/>
    <n v="56"/>
    <x v="36"/>
    <x v="1"/>
    <s v="White"/>
    <x v="2"/>
    <n v="4"/>
    <x v="1"/>
    <x v="1"/>
    <x v="1"/>
    <x v="1"/>
    <n v="38"/>
    <x v="3"/>
    <x v="4"/>
  </r>
  <r>
    <n v="3518"/>
    <n v="29"/>
    <x v="1"/>
    <x v="11"/>
    <x v="0"/>
    <n v="69"/>
    <x v="30"/>
    <x v="2"/>
    <s v="Orange"/>
    <x v="0"/>
    <n v="3.1"/>
    <x v="1"/>
    <x v="2"/>
    <x v="1"/>
    <x v="1"/>
    <n v="34"/>
    <x v="5"/>
    <x v="6"/>
  </r>
  <r>
    <n v="3519"/>
    <n v="50"/>
    <x v="1"/>
    <x v="5"/>
    <x v="0"/>
    <n v="97"/>
    <x v="24"/>
    <x v="2"/>
    <s v="Black"/>
    <x v="1"/>
    <n v="4.2"/>
    <x v="1"/>
    <x v="3"/>
    <x v="1"/>
    <x v="1"/>
    <n v="30"/>
    <x v="3"/>
    <x v="3"/>
  </r>
  <r>
    <n v="3520"/>
    <n v="31"/>
    <x v="1"/>
    <x v="6"/>
    <x v="0"/>
    <n v="66"/>
    <x v="48"/>
    <x v="2"/>
    <s v="White"/>
    <x v="0"/>
    <n v="3.7"/>
    <x v="1"/>
    <x v="2"/>
    <x v="1"/>
    <x v="1"/>
    <n v="14"/>
    <x v="4"/>
    <x v="0"/>
  </r>
  <r>
    <n v="3521"/>
    <n v="41"/>
    <x v="1"/>
    <x v="19"/>
    <x v="3"/>
    <n v="70"/>
    <x v="42"/>
    <x v="1"/>
    <s v="Brown"/>
    <x v="1"/>
    <n v="3.1"/>
    <x v="1"/>
    <x v="0"/>
    <x v="1"/>
    <x v="1"/>
    <n v="33"/>
    <x v="4"/>
    <x v="5"/>
  </r>
  <r>
    <n v="3522"/>
    <n v="52"/>
    <x v="1"/>
    <x v="9"/>
    <x v="1"/>
    <n v="50"/>
    <x v="33"/>
    <x v="2"/>
    <s v="Pink"/>
    <x v="0"/>
    <n v="3.7"/>
    <x v="1"/>
    <x v="5"/>
    <x v="1"/>
    <x v="1"/>
    <n v="35"/>
    <x v="0"/>
    <x v="1"/>
  </r>
  <r>
    <n v="3523"/>
    <n v="27"/>
    <x v="1"/>
    <x v="13"/>
    <x v="0"/>
    <n v="85"/>
    <x v="32"/>
    <x v="2"/>
    <s v="Yellow"/>
    <x v="1"/>
    <n v="3.2"/>
    <x v="1"/>
    <x v="5"/>
    <x v="1"/>
    <x v="1"/>
    <n v="13"/>
    <x v="1"/>
    <x v="3"/>
  </r>
  <r>
    <n v="3524"/>
    <n v="49"/>
    <x v="1"/>
    <x v="21"/>
    <x v="3"/>
    <n v="59"/>
    <x v="22"/>
    <x v="2"/>
    <s v="Cyan"/>
    <x v="2"/>
    <n v="2.8"/>
    <x v="1"/>
    <x v="3"/>
    <x v="1"/>
    <x v="1"/>
    <n v="30"/>
    <x v="1"/>
    <x v="0"/>
  </r>
  <r>
    <n v="3525"/>
    <n v="69"/>
    <x v="1"/>
    <x v="13"/>
    <x v="0"/>
    <n v="74"/>
    <x v="49"/>
    <x v="0"/>
    <s v="Silver"/>
    <x v="2"/>
    <n v="2.9"/>
    <x v="1"/>
    <x v="1"/>
    <x v="1"/>
    <x v="1"/>
    <n v="30"/>
    <x v="2"/>
    <x v="5"/>
  </r>
  <r>
    <n v="3526"/>
    <n v="45"/>
    <x v="1"/>
    <x v="12"/>
    <x v="3"/>
    <n v="38"/>
    <x v="5"/>
    <x v="0"/>
    <s v="Olive"/>
    <x v="0"/>
    <n v="3.5"/>
    <x v="1"/>
    <x v="3"/>
    <x v="1"/>
    <x v="1"/>
    <n v="47"/>
    <x v="4"/>
    <x v="2"/>
  </r>
  <r>
    <n v="3527"/>
    <n v="20"/>
    <x v="1"/>
    <x v="1"/>
    <x v="0"/>
    <n v="99"/>
    <x v="2"/>
    <x v="2"/>
    <s v="Olive"/>
    <x v="1"/>
    <n v="3.8"/>
    <x v="1"/>
    <x v="0"/>
    <x v="1"/>
    <x v="1"/>
    <n v="1"/>
    <x v="3"/>
    <x v="6"/>
  </r>
  <r>
    <n v="3528"/>
    <n v="25"/>
    <x v="1"/>
    <x v="0"/>
    <x v="0"/>
    <n v="97"/>
    <x v="47"/>
    <x v="1"/>
    <s v="Charcoal"/>
    <x v="1"/>
    <n v="4.7"/>
    <x v="1"/>
    <x v="1"/>
    <x v="1"/>
    <x v="1"/>
    <n v="1"/>
    <x v="1"/>
    <x v="1"/>
  </r>
  <r>
    <n v="3529"/>
    <n v="38"/>
    <x v="1"/>
    <x v="18"/>
    <x v="3"/>
    <n v="67"/>
    <x v="1"/>
    <x v="0"/>
    <s v="Gray"/>
    <x v="2"/>
    <n v="4.5"/>
    <x v="1"/>
    <x v="1"/>
    <x v="1"/>
    <x v="1"/>
    <n v="33"/>
    <x v="3"/>
    <x v="2"/>
  </r>
  <r>
    <n v="3530"/>
    <n v="55"/>
    <x v="1"/>
    <x v="17"/>
    <x v="0"/>
    <n v="20"/>
    <x v="6"/>
    <x v="1"/>
    <s v="Maroon"/>
    <x v="0"/>
    <n v="3.9"/>
    <x v="1"/>
    <x v="2"/>
    <x v="1"/>
    <x v="1"/>
    <n v="43"/>
    <x v="4"/>
    <x v="1"/>
  </r>
  <r>
    <n v="3531"/>
    <n v="62"/>
    <x v="1"/>
    <x v="12"/>
    <x v="3"/>
    <n v="45"/>
    <x v="19"/>
    <x v="0"/>
    <s v="Black"/>
    <x v="1"/>
    <n v="3.4"/>
    <x v="1"/>
    <x v="0"/>
    <x v="1"/>
    <x v="1"/>
    <n v="37"/>
    <x v="3"/>
    <x v="1"/>
  </r>
  <r>
    <n v="3532"/>
    <n v="54"/>
    <x v="1"/>
    <x v="9"/>
    <x v="1"/>
    <n v="52"/>
    <x v="25"/>
    <x v="3"/>
    <s v="Violet"/>
    <x v="0"/>
    <n v="4.5999999999999996"/>
    <x v="1"/>
    <x v="4"/>
    <x v="1"/>
    <x v="1"/>
    <n v="23"/>
    <x v="1"/>
    <x v="3"/>
  </r>
  <r>
    <n v="3533"/>
    <n v="61"/>
    <x v="1"/>
    <x v="13"/>
    <x v="0"/>
    <n v="68"/>
    <x v="39"/>
    <x v="0"/>
    <s v="Indigo"/>
    <x v="3"/>
    <n v="4.5999999999999996"/>
    <x v="1"/>
    <x v="3"/>
    <x v="1"/>
    <x v="1"/>
    <n v="12"/>
    <x v="2"/>
    <x v="2"/>
  </r>
  <r>
    <n v="3534"/>
    <n v="50"/>
    <x v="1"/>
    <x v="4"/>
    <x v="1"/>
    <n v="98"/>
    <x v="21"/>
    <x v="0"/>
    <s v="Yellow"/>
    <x v="3"/>
    <n v="4.7"/>
    <x v="1"/>
    <x v="3"/>
    <x v="1"/>
    <x v="1"/>
    <n v="30"/>
    <x v="0"/>
    <x v="0"/>
  </r>
  <r>
    <n v="3535"/>
    <n v="65"/>
    <x v="1"/>
    <x v="9"/>
    <x v="1"/>
    <n v="83"/>
    <x v="12"/>
    <x v="2"/>
    <s v="Gray"/>
    <x v="3"/>
    <n v="3.2"/>
    <x v="1"/>
    <x v="0"/>
    <x v="1"/>
    <x v="1"/>
    <n v="7"/>
    <x v="1"/>
    <x v="1"/>
  </r>
  <r>
    <n v="3536"/>
    <n v="68"/>
    <x v="1"/>
    <x v="6"/>
    <x v="0"/>
    <n v="51"/>
    <x v="16"/>
    <x v="2"/>
    <s v="Red"/>
    <x v="2"/>
    <n v="5"/>
    <x v="1"/>
    <x v="0"/>
    <x v="1"/>
    <x v="1"/>
    <n v="20"/>
    <x v="5"/>
    <x v="5"/>
  </r>
  <r>
    <n v="3537"/>
    <n v="55"/>
    <x v="1"/>
    <x v="8"/>
    <x v="3"/>
    <n v="21"/>
    <x v="46"/>
    <x v="0"/>
    <s v="Peach"/>
    <x v="1"/>
    <n v="4.5"/>
    <x v="1"/>
    <x v="0"/>
    <x v="1"/>
    <x v="1"/>
    <n v="10"/>
    <x v="0"/>
    <x v="5"/>
  </r>
  <r>
    <n v="3538"/>
    <n v="57"/>
    <x v="1"/>
    <x v="8"/>
    <x v="3"/>
    <n v="92"/>
    <x v="42"/>
    <x v="2"/>
    <s v="Gray"/>
    <x v="1"/>
    <n v="3.5"/>
    <x v="1"/>
    <x v="3"/>
    <x v="1"/>
    <x v="1"/>
    <n v="40"/>
    <x v="2"/>
    <x v="6"/>
  </r>
  <r>
    <n v="3539"/>
    <n v="56"/>
    <x v="1"/>
    <x v="9"/>
    <x v="1"/>
    <n v="63"/>
    <x v="44"/>
    <x v="1"/>
    <s v="White"/>
    <x v="1"/>
    <n v="4.5"/>
    <x v="1"/>
    <x v="5"/>
    <x v="1"/>
    <x v="1"/>
    <n v="21"/>
    <x v="0"/>
    <x v="5"/>
  </r>
  <r>
    <n v="3540"/>
    <n v="29"/>
    <x v="1"/>
    <x v="16"/>
    <x v="3"/>
    <n v="56"/>
    <x v="14"/>
    <x v="1"/>
    <s v="Green"/>
    <x v="1"/>
    <n v="3.2"/>
    <x v="1"/>
    <x v="0"/>
    <x v="1"/>
    <x v="1"/>
    <n v="17"/>
    <x v="2"/>
    <x v="4"/>
  </r>
  <r>
    <n v="3541"/>
    <n v="24"/>
    <x v="1"/>
    <x v="6"/>
    <x v="0"/>
    <n v="95"/>
    <x v="22"/>
    <x v="2"/>
    <s v="Magenta"/>
    <x v="1"/>
    <n v="4.5999999999999996"/>
    <x v="1"/>
    <x v="1"/>
    <x v="1"/>
    <x v="1"/>
    <n v="5"/>
    <x v="4"/>
    <x v="1"/>
  </r>
  <r>
    <n v="3542"/>
    <n v="59"/>
    <x v="1"/>
    <x v="0"/>
    <x v="0"/>
    <n v="66"/>
    <x v="41"/>
    <x v="2"/>
    <s v="Olive"/>
    <x v="0"/>
    <n v="4"/>
    <x v="1"/>
    <x v="2"/>
    <x v="1"/>
    <x v="1"/>
    <n v="22"/>
    <x v="3"/>
    <x v="2"/>
  </r>
  <r>
    <n v="3543"/>
    <n v="62"/>
    <x v="1"/>
    <x v="7"/>
    <x v="2"/>
    <n v="28"/>
    <x v="37"/>
    <x v="1"/>
    <s v="Olive"/>
    <x v="1"/>
    <n v="4.2"/>
    <x v="1"/>
    <x v="0"/>
    <x v="1"/>
    <x v="1"/>
    <n v="5"/>
    <x v="0"/>
    <x v="1"/>
  </r>
  <r>
    <n v="3544"/>
    <n v="58"/>
    <x v="1"/>
    <x v="19"/>
    <x v="3"/>
    <n v="83"/>
    <x v="24"/>
    <x v="2"/>
    <s v="Blue"/>
    <x v="0"/>
    <n v="4.0999999999999996"/>
    <x v="1"/>
    <x v="3"/>
    <x v="1"/>
    <x v="1"/>
    <n v="18"/>
    <x v="3"/>
    <x v="6"/>
  </r>
  <r>
    <n v="3545"/>
    <n v="64"/>
    <x v="1"/>
    <x v="20"/>
    <x v="0"/>
    <n v="55"/>
    <x v="48"/>
    <x v="3"/>
    <s v="Charcoal"/>
    <x v="3"/>
    <n v="3.6"/>
    <x v="1"/>
    <x v="4"/>
    <x v="1"/>
    <x v="1"/>
    <n v="42"/>
    <x v="1"/>
    <x v="6"/>
  </r>
  <r>
    <n v="3546"/>
    <n v="48"/>
    <x v="1"/>
    <x v="3"/>
    <x v="1"/>
    <n v="28"/>
    <x v="39"/>
    <x v="2"/>
    <s v="Yellow"/>
    <x v="1"/>
    <n v="3.7"/>
    <x v="1"/>
    <x v="4"/>
    <x v="1"/>
    <x v="1"/>
    <n v="22"/>
    <x v="5"/>
    <x v="2"/>
  </r>
  <r>
    <n v="3547"/>
    <n v="60"/>
    <x v="1"/>
    <x v="18"/>
    <x v="3"/>
    <n v="79"/>
    <x v="23"/>
    <x v="2"/>
    <s v="Violet"/>
    <x v="2"/>
    <n v="3.6"/>
    <x v="1"/>
    <x v="1"/>
    <x v="1"/>
    <x v="1"/>
    <n v="37"/>
    <x v="4"/>
    <x v="4"/>
  </r>
  <r>
    <n v="3548"/>
    <n v="52"/>
    <x v="1"/>
    <x v="18"/>
    <x v="3"/>
    <n v="31"/>
    <x v="38"/>
    <x v="0"/>
    <s v="Magenta"/>
    <x v="2"/>
    <n v="3.8"/>
    <x v="1"/>
    <x v="3"/>
    <x v="1"/>
    <x v="1"/>
    <n v="23"/>
    <x v="2"/>
    <x v="2"/>
  </r>
  <r>
    <n v="3549"/>
    <n v="63"/>
    <x v="1"/>
    <x v="0"/>
    <x v="0"/>
    <n v="37"/>
    <x v="40"/>
    <x v="2"/>
    <s v="Red"/>
    <x v="3"/>
    <n v="3"/>
    <x v="1"/>
    <x v="3"/>
    <x v="1"/>
    <x v="1"/>
    <n v="47"/>
    <x v="5"/>
    <x v="0"/>
  </r>
  <r>
    <n v="3550"/>
    <n v="44"/>
    <x v="1"/>
    <x v="17"/>
    <x v="0"/>
    <n v="34"/>
    <x v="4"/>
    <x v="2"/>
    <s v="Cyan"/>
    <x v="2"/>
    <n v="3.4"/>
    <x v="1"/>
    <x v="4"/>
    <x v="1"/>
    <x v="1"/>
    <n v="11"/>
    <x v="4"/>
    <x v="0"/>
  </r>
  <r>
    <n v="3551"/>
    <n v="63"/>
    <x v="1"/>
    <x v="9"/>
    <x v="1"/>
    <n v="74"/>
    <x v="8"/>
    <x v="1"/>
    <s v="Orange"/>
    <x v="0"/>
    <n v="4.8"/>
    <x v="1"/>
    <x v="3"/>
    <x v="1"/>
    <x v="1"/>
    <n v="32"/>
    <x v="1"/>
    <x v="1"/>
  </r>
  <r>
    <n v="3552"/>
    <n v="66"/>
    <x v="1"/>
    <x v="24"/>
    <x v="3"/>
    <n v="31"/>
    <x v="6"/>
    <x v="0"/>
    <s v="Black"/>
    <x v="1"/>
    <n v="2.6"/>
    <x v="1"/>
    <x v="5"/>
    <x v="1"/>
    <x v="1"/>
    <n v="20"/>
    <x v="0"/>
    <x v="1"/>
  </r>
  <r>
    <n v="3553"/>
    <n v="22"/>
    <x v="1"/>
    <x v="12"/>
    <x v="3"/>
    <n v="66"/>
    <x v="0"/>
    <x v="2"/>
    <s v="Blue"/>
    <x v="0"/>
    <n v="2.9"/>
    <x v="1"/>
    <x v="2"/>
    <x v="1"/>
    <x v="1"/>
    <n v="3"/>
    <x v="3"/>
    <x v="3"/>
  </r>
  <r>
    <n v="3554"/>
    <n v="62"/>
    <x v="1"/>
    <x v="9"/>
    <x v="1"/>
    <n v="99"/>
    <x v="46"/>
    <x v="2"/>
    <s v="Charcoal"/>
    <x v="1"/>
    <n v="4.9000000000000004"/>
    <x v="1"/>
    <x v="1"/>
    <x v="1"/>
    <x v="1"/>
    <n v="32"/>
    <x v="4"/>
    <x v="1"/>
  </r>
  <r>
    <n v="3555"/>
    <n v="39"/>
    <x v="1"/>
    <x v="10"/>
    <x v="0"/>
    <n v="55"/>
    <x v="7"/>
    <x v="2"/>
    <s v="Indigo"/>
    <x v="1"/>
    <n v="5"/>
    <x v="1"/>
    <x v="1"/>
    <x v="1"/>
    <x v="1"/>
    <n v="5"/>
    <x v="2"/>
    <x v="0"/>
  </r>
  <r>
    <n v="3556"/>
    <n v="25"/>
    <x v="1"/>
    <x v="0"/>
    <x v="0"/>
    <n v="23"/>
    <x v="12"/>
    <x v="0"/>
    <s v="Silver"/>
    <x v="1"/>
    <n v="4.5999999999999996"/>
    <x v="1"/>
    <x v="2"/>
    <x v="1"/>
    <x v="1"/>
    <n v="45"/>
    <x v="1"/>
    <x v="3"/>
  </r>
  <r>
    <n v="3557"/>
    <n v="70"/>
    <x v="1"/>
    <x v="1"/>
    <x v="0"/>
    <n v="88"/>
    <x v="28"/>
    <x v="2"/>
    <s v="Brown"/>
    <x v="3"/>
    <n v="4.2"/>
    <x v="1"/>
    <x v="0"/>
    <x v="1"/>
    <x v="1"/>
    <n v="43"/>
    <x v="1"/>
    <x v="4"/>
  </r>
  <r>
    <n v="3558"/>
    <n v="52"/>
    <x v="1"/>
    <x v="14"/>
    <x v="2"/>
    <n v="26"/>
    <x v="22"/>
    <x v="2"/>
    <s v="Peach"/>
    <x v="2"/>
    <n v="4.9000000000000004"/>
    <x v="1"/>
    <x v="2"/>
    <x v="1"/>
    <x v="1"/>
    <n v="1"/>
    <x v="3"/>
    <x v="6"/>
  </r>
  <r>
    <n v="3559"/>
    <n v="68"/>
    <x v="1"/>
    <x v="21"/>
    <x v="3"/>
    <n v="94"/>
    <x v="29"/>
    <x v="0"/>
    <s v="Magenta"/>
    <x v="2"/>
    <n v="4.8"/>
    <x v="1"/>
    <x v="3"/>
    <x v="1"/>
    <x v="1"/>
    <n v="9"/>
    <x v="0"/>
    <x v="3"/>
  </r>
  <r>
    <n v="3560"/>
    <n v="18"/>
    <x v="1"/>
    <x v="6"/>
    <x v="0"/>
    <n v="25"/>
    <x v="40"/>
    <x v="2"/>
    <s v="Beige"/>
    <x v="3"/>
    <n v="3"/>
    <x v="1"/>
    <x v="2"/>
    <x v="1"/>
    <x v="1"/>
    <n v="13"/>
    <x v="0"/>
    <x v="6"/>
  </r>
  <r>
    <n v="3561"/>
    <n v="18"/>
    <x v="1"/>
    <x v="20"/>
    <x v="0"/>
    <n v="96"/>
    <x v="23"/>
    <x v="3"/>
    <s v="Violet"/>
    <x v="3"/>
    <n v="3.5"/>
    <x v="1"/>
    <x v="0"/>
    <x v="1"/>
    <x v="1"/>
    <n v="5"/>
    <x v="2"/>
    <x v="2"/>
  </r>
  <r>
    <n v="3562"/>
    <n v="63"/>
    <x v="1"/>
    <x v="4"/>
    <x v="1"/>
    <n v="29"/>
    <x v="17"/>
    <x v="0"/>
    <s v="Black"/>
    <x v="1"/>
    <n v="3.4"/>
    <x v="1"/>
    <x v="3"/>
    <x v="1"/>
    <x v="1"/>
    <n v="39"/>
    <x v="2"/>
    <x v="0"/>
  </r>
  <r>
    <n v="3563"/>
    <n v="47"/>
    <x v="1"/>
    <x v="4"/>
    <x v="1"/>
    <n v="36"/>
    <x v="33"/>
    <x v="2"/>
    <s v="Cyan"/>
    <x v="0"/>
    <n v="3.4"/>
    <x v="1"/>
    <x v="1"/>
    <x v="1"/>
    <x v="1"/>
    <n v="7"/>
    <x v="4"/>
    <x v="1"/>
  </r>
  <r>
    <n v="3564"/>
    <n v="43"/>
    <x v="1"/>
    <x v="0"/>
    <x v="0"/>
    <n v="90"/>
    <x v="1"/>
    <x v="2"/>
    <s v="Green"/>
    <x v="2"/>
    <n v="4.9000000000000004"/>
    <x v="1"/>
    <x v="3"/>
    <x v="1"/>
    <x v="1"/>
    <n v="8"/>
    <x v="2"/>
    <x v="6"/>
  </r>
  <r>
    <n v="3565"/>
    <n v="60"/>
    <x v="1"/>
    <x v="24"/>
    <x v="3"/>
    <n v="38"/>
    <x v="26"/>
    <x v="1"/>
    <s v="Brown"/>
    <x v="2"/>
    <n v="4.4000000000000004"/>
    <x v="1"/>
    <x v="1"/>
    <x v="1"/>
    <x v="1"/>
    <n v="40"/>
    <x v="0"/>
    <x v="2"/>
  </r>
  <r>
    <n v="3566"/>
    <n v="49"/>
    <x v="1"/>
    <x v="8"/>
    <x v="3"/>
    <n v="52"/>
    <x v="38"/>
    <x v="1"/>
    <s v="Gray"/>
    <x v="1"/>
    <n v="4.2"/>
    <x v="1"/>
    <x v="5"/>
    <x v="1"/>
    <x v="1"/>
    <n v="35"/>
    <x v="3"/>
    <x v="5"/>
  </r>
  <r>
    <n v="3567"/>
    <n v="28"/>
    <x v="1"/>
    <x v="2"/>
    <x v="0"/>
    <n v="88"/>
    <x v="29"/>
    <x v="1"/>
    <s v="Orange"/>
    <x v="1"/>
    <n v="3.1"/>
    <x v="1"/>
    <x v="2"/>
    <x v="1"/>
    <x v="1"/>
    <n v="14"/>
    <x v="0"/>
    <x v="5"/>
  </r>
  <r>
    <n v="3568"/>
    <n v="32"/>
    <x v="1"/>
    <x v="18"/>
    <x v="3"/>
    <n v="56"/>
    <x v="35"/>
    <x v="1"/>
    <s v="Silver"/>
    <x v="2"/>
    <n v="4"/>
    <x v="1"/>
    <x v="2"/>
    <x v="1"/>
    <x v="1"/>
    <n v="26"/>
    <x v="2"/>
    <x v="5"/>
  </r>
  <r>
    <n v="3569"/>
    <n v="29"/>
    <x v="1"/>
    <x v="3"/>
    <x v="1"/>
    <n v="71"/>
    <x v="10"/>
    <x v="2"/>
    <s v="Purple"/>
    <x v="1"/>
    <n v="4.8"/>
    <x v="1"/>
    <x v="2"/>
    <x v="1"/>
    <x v="1"/>
    <n v="14"/>
    <x v="3"/>
    <x v="3"/>
  </r>
  <r>
    <n v="3570"/>
    <n v="35"/>
    <x v="1"/>
    <x v="3"/>
    <x v="1"/>
    <n v="94"/>
    <x v="29"/>
    <x v="2"/>
    <s v="Olive"/>
    <x v="3"/>
    <n v="3.3"/>
    <x v="1"/>
    <x v="0"/>
    <x v="1"/>
    <x v="1"/>
    <n v="9"/>
    <x v="4"/>
    <x v="0"/>
  </r>
  <r>
    <n v="3571"/>
    <n v="23"/>
    <x v="1"/>
    <x v="10"/>
    <x v="0"/>
    <n v="97"/>
    <x v="7"/>
    <x v="3"/>
    <s v="Teal"/>
    <x v="0"/>
    <n v="4.7"/>
    <x v="1"/>
    <x v="3"/>
    <x v="1"/>
    <x v="1"/>
    <n v="32"/>
    <x v="5"/>
    <x v="2"/>
  </r>
  <r>
    <n v="3572"/>
    <n v="70"/>
    <x v="1"/>
    <x v="11"/>
    <x v="0"/>
    <n v="27"/>
    <x v="25"/>
    <x v="2"/>
    <s v="White"/>
    <x v="2"/>
    <n v="3.2"/>
    <x v="1"/>
    <x v="3"/>
    <x v="1"/>
    <x v="1"/>
    <n v="15"/>
    <x v="4"/>
    <x v="6"/>
  </r>
  <r>
    <n v="3573"/>
    <n v="23"/>
    <x v="1"/>
    <x v="6"/>
    <x v="0"/>
    <n v="28"/>
    <x v="3"/>
    <x v="2"/>
    <s v="Black"/>
    <x v="1"/>
    <n v="5"/>
    <x v="1"/>
    <x v="3"/>
    <x v="1"/>
    <x v="1"/>
    <n v="25"/>
    <x v="2"/>
    <x v="5"/>
  </r>
  <r>
    <n v="3574"/>
    <n v="43"/>
    <x v="1"/>
    <x v="2"/>
    <x v="0"/>
    <n v="67"/>
    <x v="39"/>
    <x v="0"/>
    <s v="Maroon"/>
    <x v="3"/>
    <n v="4.9000000000000004"/>
    <x v="1"/>
    <x v="1"/>
    <x v="1"/>
    <x v="1"/>
    <n v="27"/>
    <x v="3"/>
    <x v="5"/>
  </r>
  <r>
    <n v="3575"/>
    <n v="29"/>
    <x v="1"/>
    <x v="20"/>
    <x v="0"/>
    <n v="70"/>
    <x v="14"/>
    <x v="2"/>
    <s v="Cyan"/>
    <x v="3"/>
    <n v="4.9000000000000004"/>
    <x v="1"/>
    <x v="0"/>
    <x v="1"/>
    <x v="1"/>
    <n v="39"/>
    <x v="4"/>
    <x v="3"/>
  </r>
  <r>
    <n v="3576"/>
    <n v="61"/>
    <x v="1"/>
    <x v="7"/>
    <x v="2"/>
    <n v="95"/>
    <x v="0"/>
    <x v="2"/>
    <s v="Violet"/>
    <x v="3"/>
    <n v="3.7"/>
    <x v="1"/>
    <x v="0"/>
    <x v="1"/>
    <x v="1"/>
    <n v="49"/>
    <x v="0"/>
    <x v="4"/>
  </r>
  <r>
    <n v="3577"/>
    <n v="29"/>
    <x v="1"/>
    <x v="23"/>
    <x v="1"/>
    <n v="24"/>
    <x v="1"/>
    <x v="0"/>
    <s v="Yellow"/>
    <x v="1"/>
    <n v="3"/>
    <x v="1"/>
    <x v="0"/>
    <x v="1"/>
    <x v="1"/>
    <n v="12"/>
    <x v="0"/>
    <x v="4"/>
  </r>
  <r>
    <n v="3578"/>
    <n v="66"/>
    <x v="1"/>
    <x v="22"/>
    <x v="3"/>
    <n v="35"/>
    <x v="9"/>
    <x v="1"/>
    <s v="Yellow"/>
    <x v="0"/>
    <n v="2.6"/>
    <x v="1"/>
    <x v="3"/>
    <x v="1"/>
    <x v="1"/>
    <n v="13"/>
    <x v="4"/>
    <x v="1"/>
  </r>
  <r>
    <n v="3579"/>
    <n v="46"/>
    <x v="1"/>
    <x v="9"/>
    <x v="1"/>
    <n v="22"/>
    <x v="42"/>
    <x v="0"/>
    <s v="Olive"/>
    <x v="0"/>
    <n v="2.6"/>
    <x v="1"/>
    <x v="3"/>
    <x v="1"/>
    <x v="1"/>
    <n v="22"/>
    <x v="4"/>
    <x v="3"/>
  </r>
  <r>
    <n v="3580"/>
    <n v="34"/>
    <x v="1"/>
    <x v="18"/>
    <x v="3"/>
    <n v="66"/>
    <x v="28"/>
    <x v="0"/>
    <s v="Olive"/>
    <x v="3"/>
    <n v="4.8"/>
    <x v="1"/>
    <x v="3"/>
    <x v="1"/>
    <x v="1"/>
    <n v="19"/>
    <x v="2"/>
    <x v="6"/>
  </r>
  <r>
    <n v="3581"/>
    <n v="51"/>
    <x v="1"/>
    <x v="0"/>
    <x v="0"/>
    <n v="83"/>
    <x v="13"/>
    <x v="2"/>
    <s v="Magenta"/>
    <x v="2"/>
    <n v="3.2"/>
    <x v="1"/>
    <x v="4"/>
    <x v="1"/>
    <x v="1"/>
    <n v="3"/>
    <x v="1"/>
    <x v="4"/>
  </r>
  <r>
    <n v="3582"/>
    <n v="26"/>
    <x v="1"/>
    <x v="10"/>
    <x v="0"/>
    <n v="95"/>
    <x v="42"/>
    <x v="2"/>
    <s v="Orange"/>
    <x v="3"/>
    <n v="4.9000000000000004"/>
    <x v="1"/>
    <x v="2"/>
    <x v="1"/>
    <x v="1"/>
    <n v="50"/>
    <x v="2"/>
    <x v="1"/>
  </r>
  <r>
    <n v="3583"/>
    <n v="23"/>
    <x v="1"/>
    <x v="6"/>
    <x v="0"/>
    <n v="41"/>
    <x v="18"/>
    <x v="1"/>
    <s v="Beige"/>
    <x v="2"/>
    <n v="3.4"/>
    <x v="1"/>
    <x v="4"/>
    <x v="1"/>
    <x v="1"/>
    <n v="15"/>
    <x v="3"/>
    <x v="2"/>
  </r>
  <r>
    <n v="3584"/>
    <n v="52"/>
    <x v="1"/>
    <x v="0"/>
    <x v="0"/>
    <n v="77"/>
    <x v="28"/>
    <x v="0"/>
    <s v="Brown"/>
    <x v="2"/>
    <n v="2.7"/>
    <x v="1"/>
    <x v="5"/>
    <x v="1"/>
    <x v="1"/>
    <n v="44"/>
    <x v="2"/>
    <x v="6"/>
  </r>
  <r>
    <n v="3585"/>
    <n v="39"/>
    <x v="1"/>
    <x v="4"/>
    <x v="1"/>
    <n v="52"/>
    <x v="20"/>
    <x v="0"/>
    <s v="Indigo"/>
    <x v="3"/>
    <n v="4.8"/>
    <x v="1"/>
    <x v="0"/>
    <x v="1"/>
    <x v="1"/>
    <n v="48"/>
    <x v="5"/>
    <x v="5"/>
  </r>
  <r>
    <n v="3586"/>
    <n v="39"/>
    <x v="1"/>
    <x v="24"/>
    <x v="3"/>
    <n v="41"/>
    <x v="14"/>
    <x v="3"/>
    <s v="Gray"/>
    <x v="0"/>
    <n v="4.0999999999999996"/>
    <x v="1"/>
    <x v="3"/>
    <x v="1"/>
    <x v="1"/>
    <n v="4"/>
    <x v="0"/>
    <x v="4"/>
  </r>
  <r>
    <n v="3587"/>
    <n v="33"/>
    <x v="1"/>
    <x v="15"/>
    <x v="0"/>
    <n v="28"/>
    <x v="37"/>
    <x v="2"/>
    <s v="Yellow"/>
    <x v="0"/>
    <n v="4.5999999999999996"/>
    <x v="1"/>
    <x v="5"/>
    <x v="1"/>
    <x v="1"/>
    <n v="12"/>
    <x v="3"/>
    <x v="4"/>
  </r>
  <r>
    <n v="3588"/>
    <n v="33"/>
    <x v="1"/>
    <x v="1"/>
    <x v="0"/>
    <n v="90"/>
    <x v="41"/>
    <x v="1"/>
    <s v="Violet"/>
    <x v="2"/>
    <n v="4.4000000000000004"/>
    <x v="1"/>
    <x v="3"/>
    <x v="1"/>
    <x v="1"/>
    <n v="33"/>
    <x v="5"/>
    <x v="2"/>
  </r>
  <r>
    <n v="3589"/>
    <n v="23"/>
    <x v="1"/>
    <x v="12"/>
    <x v="3"/>
    <n v="55"/>
    <x v="49"/>
    <x v="2"/>
    <s v="Magenta"/>
    <x v="1"/>
    <n v="3.5"/>
    <x v="1"/>
    <x v="4"/>
    <x v="1"/>
    <x v="1"/>
    <n v="40"/>
    <x v="1"/>
    <x v="2"/>
  </r>
  <r>
    <n v="3590"/>
    <n v="31"/>
    <x v="1"/>
    <x v="22"/>
    <x v="3"/>
    <n v="73"/>
    <x v="13"/>
    <x v="2"/>
    <s v="Blue"/>
    <x v="1"/>
    <n v="4.8"/>
    <x v="1"/>
    <x v="2"/>
    <x v="1"/>
    <x v="1"/>
    <n v="38"/>
    <x v="1"/>
    <x v="6"/>
  </r>
  <r>
    <n v="3591"/>
    <n v="27"/>
    <x v="1"/>
    <x v="10"/>
    <x v="0"/>
    <n v="87"/>
    <x v="45"/>
    <x v="2"/>
    <s v="Gray"/>
    <x v="3"/>
    <n v="2.9"/>
    <x v="1"/>
    <x v="4"/>
    <x v="1"/>
    <x v="1"/>
    <n v="19"/>
    <x v="0"/>
    <x v="6"/>
  </r>
  <r>
    <n v="3592"/>
    <n v="48"/>
    <x v="1"/>
    <x v="14"/>
    <x v="2"/>
    <n v="89"/>
    <x v="45"/>
    <x v="2"/>
    <s v="Gold"/>
    <x v="0"/>
    <n v="3.2"/>
    <x v="1"/>
    <x v="4"/>
    <x v="1"/>
    <x v="1"/>
    <n v="38"/>
    <x v="4"/>
    <x v="3"/>
  </r>
  <r>
    <n v="3593"/>
    <n v="61"/>
    <x v="1"/>
    <x v="23"/>
    <x v="1"/>
    <n v="82"/>
    <x v="32"/>
    <x v="0"/>
    <s v="Lavender"/>
    <x v="1"/>
    <n v="4.4000000000000004"/>
    <x v="1"/>
    <x v="4"/>
    <x v="1"/>
    <x v="1"/>
    <n v="18"/>
    <x v="0"/>
    <x v="0"/>
  </r>
  <r>
    <n v="3594"/>
    <n v="63"/>
    <x v="1"/>
    <x v="3"/>
    <x v="1"/>
    <n v="80"/>
    <x v="5"/>
    <x v="2"/>
    <s v="Black"/>
    <x v="1"/>
    <n v="4.5999999999999996"/>
    <x v="1"/>
    <x v="2"/>
    <x v="1"/>
    <x v="1"/>
    <n v="24"/>
    <x v="3"/>
    <x v="5"/>
  </r>
  <r>
    <n v="3595"/>
    <n v="19"/>
    <x v="1"/>
    <x v="18"/>
    <x v="3"/>
    <n v="87"/>
    <x v="15"/>
    <x v="0"/>
    <s v="Charcoal"/>
    <x v="2"/>
    <n v="2.6"/>
    <x v="1"/>
    <x v="4"/>
    <x v="1"/>
    <x v="1"/>
    <n v="29"/>
    <x v="0"/>
    <x v="3"/>
  </r>
  <r>
    <n v="3596"/>
    <n v="21"/>
    <x v="1"/>
    <x v="0"/>
    <x v="0"/>
    <n v="41"/>
    <x v="45"/>
    <x v="2"/>
    <s v="Violet"/>
    <x v="1"/>
    <n v="3.1"/>
    <x v="1"/>
    <x v="5"/>
    <x v="1"/>
    <x v="1"/>
    <n v="14"/>
    <x v="3"/>
    <x v="2"/>
  </r>
  <r>
    <n v="3597"/>
    <n v="28"/>
    <x v="1"/>
    <x v="15"/>
    <x v="0"/>
    <n v="83"/>
    <x v="36"/>
    <x v="2"/>
    <s v="Charcoal"/>
    <x v="1"/>
    <n v="4.3"/>
    <x v="1"/>
    <x v="3"/>
    <x v="1"/>
    <x v="1"/>
    <n v="44"/>
    <x v="1"/>
    <x v="0"/>
  </r>
  <r>
    <n v="3598"/>
    <n v="29"/>
    <x v="1"/>
    <x v="12"/>
    <x v="3"/>
    <n v="71"/>
    <x v="35"/>
    <x v="2"/>
    <s v="Maroon"/>
    <x v="2"/>
    <n v="3.1"/>
    <x v="1"/>
    <x v="3"/>
    <x v="1"/>
    <x v="1"/>
    <n v="18"/>
    <x v="4"/>
    <x v="3"/>
  </r>
  <r>
    <n v="3599"/>
    <n v="23"/>
    <x v="1"/>
    <x v="15"/>
    <x v="0"/>
    <n v="76"/>
    <x v="39"/>
    <x v="3"/>
    <s v="Purple"/>
    <x v="1"/>
    <n v="4.5999999999999996"/>
    <x v="1"/>
    <x v="5"/>
    <x v="1"/>
    <x v="1"/>
    <n v="19"/>
    <x v="4"/>
    <x v="4"/>
  </r>
  <r>
    <n v="3600"/>
    <n v="37"/>
    <x v="1"/>
    <x v="18"/>
    <x v="3"/>
    <n v="34"/>
    <x v="23"/>
    <x v="1"/>
    <s v="Peach"/>
    <x v="1"/>
    <n v="4.5999999999999996"/>
    <x v="1"/>
    <x v="0"/>
    <x v="1"/>
    <x v="1"/>
    <n v="4"/>
    <x v="1"/>
    <x v="1"/>
  </r>
  <r>
    <n v="3601"/>
    <n v="67"/>
    <x v="1"/>
    <x v="10"/>
    <x v="0"/>
    <n v="81"/>
    <x v="36"/>
    <x v="3"/>
    <s v="Olive"/>
    <x v="1"/>
    <n v="2.7"/>
    <x v="1"/>
    <x v="1"/>
    <x v="1"/>
    <x v="1"/>
    <n v="25"/>
    <x v="1"/>
    <x v="4"/>
  </r>
  <r>
    <n v="3602"/>
    <n v="34"/>
    <x v="1"/>
    <x v="17"/>
    <x v="0"/>
    <n v="47"/>
    <x v="17"/>
    <x v="2"/>
    <s v="Indigo"/>
    <x v="2"/>
    <n v="3"/>
    <x v="1"/>
    <x v="2"/>
    <x v="1"/>
    <x v="1"/>
    <n v="3"/>
    <x v="3"/>
    <x v="5"/>
  </r>
  <r>
    <n v="3603"/>
    <n v="58"/>
    <x v="1"/>
    <x v="11"/>
    <x v="0"/>
    <n v="36"/>
    <x v="5"/>
    <x v="1"/>
    <s v="Magenta"/>
    <x v="2"/>
    <n v="3.3"/>
    <x v="1"/>
    <x v="5"/>
    <x v="1"/>
    <x v="1"/>
    <n v="40"/>
    <x v="5"/>
    <x v="3"/>
  </r>
  <r>
    <n v="3604"/>
    <n v="45"/>
    <x v="1"/>
    <x v="2"/>
    <x v="0"/>
    <n v="51"/>
    <x v="7"/>
    <x v="2"/>
    <s v="Gold"/>
    <x v="1"/>
    <n v="2.7"/>
    <x v="1"/>
    <x v="1"/>
    <x v="1"/>
    <x v="1"/>
    <n v="5"/>
    <x v="1"/>
    <x v="1"/>
  </r>
  <r>
    <n v="3605"/>
    <n v="63"/>
    <x v="1"/>
    <x v="15"/>
    <x v="0"/>
    <n v="86"/>
    <x v="7"/>
    <x v="2"/>
    <s v="Orange"/>
    <x v="3"/>
    <n v="3.3"/>
    <x v="1"/>
    <x v="3"/>
    <x v="1"/>
    <x v="1"/>
    <n v="17"/>
    <x v="5"/>
    <x v="2"/>
  </r>
  <r>
    <n v="3606"/>
    <n v="68"/>
    <x v="1"/>
    <x v="2"/>
    <x v="0"/>
    <n v="41"/>
    <x v="15"/>
    <x v="2"/>
    <s v="Gold"/>
    <x v="3"/>
    <n v="4.3"/>
    <x v="1"/>
    <x v="5"/>
    <x v="1"/>
    <x v="1"/>
    <n v="36"/>
    <x v="4"/>
    <x v="6"/>
  </r>
  <r>
    <n v="3607"/>
    <n v="41"/>
    <x v="1"/>
    <x v="3"/>
    <x v="1"/>
    <n v="90"/>
    <x v="46"/>
    <x v="3"/>
    <s v="Purple"/>
    <x v="3"/>
    <n v="4.8"/>
    <x v="1"/>
    <x v="0"/>
    <x v="1"/>
    <x v="1"/>
    <n v="41"/>
    <x v="0"/>
    <x v="2"/>
  </r>
  <r>
    <n v="3608"/>
    <n v="50"/>
    <x v="1"/>
    <x v="19"/>
    <x v="3"/>
    <n v="93"/>
    <x v="35"/>
    <x v="0"/>
    <s v="Charcoal"/>
    <x v="3"/>
    <n v="3.3"/>
    <x v="1"/>
    <x v="3"/>
    <x v="1"/>
    <x v="1"/>
    <n v="20"/>
    <x v="0"/>
    <x v="4"/>
  </r>
  <r>
    <n v="3609"/>
    <n v="24"/>
    <x v="1"/>
    <x v="24"/>
    <x v="3"/>
    <n v="56"/>
    <x v="30"/>
    <x v="2"/>
    <s v="Cyan"/>
    <x v="3"/>
    <n v="4.3"/>
    <x v="1"/>
    <x v="2"/>
    <x v="1"/>
    <x v="1"/>
    <n v="2"/>
    <x v="1"/>
    <x v="6"/>
  </r>
  <r>
    <n v="3610"/>
    <n v="21"/>
    <x v="1"/>
    <x v="20"/>
    <x v="0"/>
    <n v="39"/>
    <x v="35"/>
    <x v="2"/>
    <s v="Cyan"/>
    <x v="2"/>
    <n v="3"/>
    <x v="1"/>
    <x v="4"/>
    <x v="1"/>
    <x v="1"/>
    <n v="31"/>
    <x v="5"/>
    <x v="5"/>
  </r>
  <r>
    <n v="3611"/>
    <n v="18"/>
    <x v="1"/>
    <x v="14"/>
    <x v="2"/>
    <n v="86"/>
    <x v="21"/>
    <x v="3"/>
    <s v="Green"/>
    <x v="3"/>
    <n v="4.8"/>
    <x v="1"/>
    <x v="4"/>
    <x v="1"/>
    <x v="1"/>
    <n v="23"/>
    <x v="4"/>
    <x v="0"/>
  </r>
  <r>
    <n v="3612"/>
    <n v="63"/>
    <x v="1"/>
    <x v="17"/>
    <x v="0"/>
    <n v="82"/>
    <x v="47"/>
    <x v="2"/>
    <s v="Silver"/>
    <x v="1"/>
    <n v="2.9"/>
    <x v="1"/>
    <x v="3"/>
    <x v="1"/>
    <x v="1"/>
    <n v="30"/>
    <x v="2"/>
    <x v="2"/>
  </r>
  <r>
    <n v="3613"/>
    <n v="47"/>
    <x v="1"/>
    <x v="3"/>
    <x v="1"/>
    <n v="29"/>
    <x v="49"/>
    <x v="2"/>
    <s v="Teal"/>
    <x v="2"/>
    <n v="3.6"/>
    <x v="1"/>
    <x v="3"/>
    <x v="1"/>
    <x v="1"/>
    <n v="26"/>
    <x v="1"/>
    <x v="6"/>
  </r>
  <r>
    <n v="3614"/>
    <n v="58"/>
    <x v="1"/>
    <x v="19"/>
    <x v="3"/>
    <n v="27"/>
    <x v="46"/>
    <x v="2"/>
    <s v="Magenta"/>
    <x v="3"/>
    <n v="3.5"/>
    <x v="1"/>
    <x v="5"/>
    <x v="1"/>
    <x v="1"/>
    <n v="40"/>
    <x v="0"/>
    <x v="2"/>
  </r>
  <r>
    <n v="3615"/>
    <n v="46"/>
    <x v="1"/>
    <x v="24"/>
    <x v="3"/>
    <n v="25"/>
    <x v="12"/>
    <x v="0"/>
    <s v="Maroon"/>
    <x v="1"/>
    <n v="4.7"/>
    <x v="1"/>
    <x v="4"/>
    <x v="1"/>
    <x v="1"/>
    <n v="19"/>
    <x v="4"/>
    <x v="2"/>
  </r>
  <r>
    <n v="3616"/>
    <n v="35"/>
    <x v="1"/>
    <x v="10"/>
    <x v="0"/>
    <n v="31"/>
    <x v="18"/>
    <x v="2"/>
    <s v="Gold"/>
    <x v="0"/>
    <n v="4.4000000000000004"/>
    <x v="1"/>
    <x v="1"/>
    <x v="1"/>
    <x v="1"/>
    <n v="4"/>
    <x v="2"/>
    <x v="5"/>
  </r>
  <r>
    <n v="3617"/>
    <n v="42"/>
    <x v="1"/>
    <x v="15"/>
    <x v="0"/>
    <n v="23"/>
    <x v="48"/>
    <x v="0"/>
    <s v="Purple"/>
    <x v="0"/>
    <n v="3.3"/>
    <x v="1"/>
    <x v="5"/>
    <x v="1"/>
    <x v="1"/>
    <n v="33"/>
    <x v="5"/>
    <x v="0"/>
  </r>
  <r>
    <n v="3618"/>
    <n v="48"/>
    <x v="1"/>
    <x v="22"/>
    <x v="3"/>
    <n v="47"/>
    <x v="0"/>
    <x v="2"/>
    <s v="Lavender"/>
    <x v="3"/>
    <n v="4.3"/>
    <x v="1"/>
    <x v="0"/>
    <x v="1"/>
    <x v="1"/>
    <n v="29"/>
    <x v="5"/>
    <x v="5"/>
  </r>
  <r>
    <n v="3619"/>
    <n v="28"/>
    <x v="1"/>
    <x v="24"/>
    <x v="3"/>
    <n v="67"/>
    <x v="22"/>
    <x v="2"/>
    <s v="Maroon"/>
    <x v="3"/>
    <n v="4"/>
    <x v="1"/>
    <x v="4"/>
    <x v="1"/>
    <x v="1"/>
    <n v="47"/>
    <x v="3"/>
    <x v="4"/>
  </r>
  <r>
    <n v="3620"/>
    <n v="44"/>
    <x v="1"/>
    <x v="18"/>
    <x v="3"/>
    <n v="75"/>
    <x v="17"/>
    <x v="1"/>
    <s v="Magenta"/>
    <x v="0"/>
    <n v="4.9000000000000004"/>
    <x v="1"/>
    <x v="4"/>
    <x v="1"/>
    <x v="1"/>
    <n v="50"/>
    <x v="0"/>
    <x v="1"/>
  </r>
  <r>
    <n v="3621"/>
    <n v="60"/>
    <x v="1"/>
    <x v="3"/>
    <x v="1"/>
    <n v="82"/>
    <x v="7"/>
    <x v="2"/>
    <s v="Turquoise"/>
    <x v="2"/>
    <n v="2.9"/>
    <x v="1"/>
    <x v="0"/>
    <x v="1"/>
    <x v="1"/>
    <n v="28"/>
    <x v="2"/>
    <x v="0"/>
  </r>
  <r>
    <n v="3622"/>
    <n v="38"/>
    <x v="1"/>
    <x v="4"/>
    <x v="1"/>
    <n v="32"/>
    <x v="32"/>
    <x v="3"/>
    <s v="Silver"/>
    <x v="2"/>
    <n v="4"/>
    <x v="1"/>
    <x v="4"/>
    <x v="1"/>
    <x v="1"/>
    <n v="5"/>
    <x v="1"/>
    <x v="0"/>
  </r>
  <r>
    <n v="3623"/>
    <n v="46"/>
    <x v="1"/>
    <x v="10"/>
    <x v="0"/>
    <n v="41"/>
    <x v="48"/>
    <x v="2"/>
    <s v="Purple"/>
    <x v="3"/>
    <n v="4.3"/>
    <x v="1"/>
    <x v="5"/>
    <x v="1"/>
    <x v="1"/>
    <n v="12"/>
    <x v="2"/>
    <x v="2"/>
  </r>
  <r>
    <n v="3624"/>
    <n v="39"/>
    <x v="1"/>
    <x v="16"/>
    <x v="3"/>
    <n v="89"/>
    <x v="10"/>
    <x v="2"/>
    <s v="Violet"/>
    <x v="0"/>
    <n v="2.7"/>
    <x v="1"/>
    <x v="4"/>
    <x v="1"/>
    <x v="1"/>
    <n v="4"/>
    <x v="3"/>
    <x v="1"/>
  </r>
  <r>
    <n v="3625"/>
    <n v="22"/>
    <x v="1"/>
    <x v="19"/>
    <x v="3"/>
    <n v="82"/>
    <x v="21"/>
    <x v="3"/>
    <s v="Peach"/>
    <x v="3"/>
    <n v="5"/>
    <x v="1"/>
    <x v="5"/>
    <x v="1"/>
    <x v="1"/>
    <n v="22"/>
    <x v="4"/>
    <x v="4"/>
  </r>
  <r>
    <n v="3626"/>
    <n v="44"/>
    <x v="1"/>
    <x v="18"/>
    <x v="3"/>
    <n v="99"/>
    <x v="26"/>
    <x v="0"/>
    <s v="Green"/>
    <x v="0"/>
    <n v="4.4000000000000004"/>
    <x v="1"/>
    <x v="0"/>
    <x v="1"/>
    <x v="1"/>
    <n v="32"/>
    <x v="3"/>
    <x v="1"/>
  </r>
  <r>
    <n v="3627"/>
    <n v="69"/>
    <x v="1"/>
    <x v="0"/>
    <x v="0"/>
    <n v="98"/>
    <x v="16"/>
    <x v="0"/>
    <s v="Teal"/>
    <x v="3"/>
    <n v="3.5"/>
    <x v="1"/>
    <x v="0"/>
    <x v="1"/>
    <x v="1"/>
    <n v="32"/>
    <x v="0"/>
    <x v="3"/>
  </r>
  <r>
    <n v="3628"/>
    <n v="39"/>
    <x v="1"/>
    <x v="22"/>
    <x v="3"/>
    <n v="54"/>
    <x v="12"/>
    <x v="2"/>
    <s v="Silver"/>
    <x v="0"/>
    <n v="3.3"/>
    <x v="1"/>
    <x v="2"/>
    <x v="1"/>
    <x v="1"/>
    <n v="48"/>
    <x v="1"/>
    <x v="6"/>
  </r>
  <r>
    <n v="3629"/>
    <n v="53"/>
    <x v="1"/>
    <x v="0"/>
    <x v="0"/>
    <n v="88"/>
    <x v="42"/>
    <x v="0"/>
    <s v="Purple"/>
    <x v="2"/>
    <n v="3.8"/>
    <x v="1"/>
    <x v="1"/>
    <x v="1"/>
    <x v="1"/>
    <n v="35"/>
    <x v="2"/>
    <x v="5"/>
  </r>
  <r>
    <n v="3630"/>
    <n v="52"/>
    <x v="1"/>
    <x v="17"/>
    <x v="0"/>
    <n v="43"/>
    <x v="23"/>
    <x v="0"/>
    <s v="Lavender"/>
    <x v="2"/>
    <n v="4.5"/>
    <x v="1"/>
    <x v="3"/>
    <x v="1"/>
    <x v="1"/>
    <n v="44"/>
    <x v="5"/>
    <x v="0"/>
  </r>
  <r>
    <n v="3631"/>
    <n v="65"/>
    <x v="1"/>
    <x v="19"/>
    <x v="3"/>
    <n v="73"/>
    <x v="19"/>
    <x v="2"/>
    <s v="Lavender"/>
    <x v="0"/>
    <n v="4.8"/>
    <x v="1"/>
    <x v="5"/>
    <x v="1"/>
    <x v="1"/>
    <n v="29"/>
    <x v="1"/>
    <x v="1"/>
  </r>
  <r>
    <n v="3632"/>
    <n v="48"/>
    <x v="1"/>
    <x v="19"/>
    <x v="3"/>
    <n v="50"/>
    <x v="32"/>
    <x v="2"/>
    <s v="Peach"/>
    <x v="3"/>
    <n v="2.9"/>
    <x v="1"/>
    <x v="5"/>
    <x v="1"/>
    <x v="1"/>
    <n v="26"/>
    <x v="2"/>
    <x v="5"/>
  </r>
  <r>
    <n v="3633"/>
    <n v="27"/>
    <x v="1"/>
    <x v="4"/>
    <x v="1"/>
    <n v="73"/>
    <x v="40"/>
    <x v="0"/>
    <s v="Green"/>
    <x v="1"/>
    <n v="3.2"/>
    <x v="1"/>
    <x v="0"/>
    <x v="1"/>
    <x v="1"/>
    <n v="3"/>
    <x v="5"/>
    <x v="3"/>
  </r>
  <r>
    <n v="3634"/>
    <n v="39"/>
    <x v="1"/>
    <x v="24"/>
    <x v="3"/>
    <n v="51"/>
    <x v="6"/>
    <x v="2"/>
    <s v="Orange"/>
    <x v="1"/>
    <n v="2.8"/>
    <x v="1"/>
    <x v="1"/>
    <x v="1"/>
    <x v="1"/>
    <n v="1"/>
    <x v="4"/>
    <x v="4"/>
  </r>
  <r>
    <n v="3635"/>
    <n v="59"/>
    <x v="1"/>
    <x v="20"/>
    <x v="0"/>
    <n v="22"/>
    <x v="31"/>
    <x v="2"/>
    <s v="Pink"/>
    <x v="0"/>
    <n v="3.3"/>
    <x v="1"/>
    <x v="3"/>
    <x v="1"/>
    <x v="1"/>
    <n v="17"/>
    <x v="3"/>
    <x v="2"/>
  </r>
  <r>
    <n v="3636"/>
    <n v="52"/>
    <x v="1"/>
    <x v="3"/>
    <x v="1"/>
    <n v="32"/>
    <x v="24"/>
    <x v="0"/>
    <s v="Cyan"/>
    <x v="3"/>
    <n v="3.3"/>
    <x v="1"/>
    <x v="1"/>
    <x v="1"/>
    <x v="1"/>
    <n v="17"/>
    <x v="2"/>
    <x v="0"/>
  </r>
  <r>
    <n v="3637"/>
    <n v="50"/>
    <x v="1"/>
    <x v="3"/>
    <x v="1"/>
    <n v="38"/>
    <x v="18"/>
    <x v="0"/>
    <s v="Lavender"/>
    <x v="2"/>
    <n v="4.2"/>
    <x v="1"/>
    <x v="4"/>
    <x v="1"/>
    <x v="1"/>
    <n v="36"/>
    <x v="1"/>
    <x v="1"/>
  </r>
  <r>
    <n v="3638"/>
    <n v="32"/>
    <x v="1"/>
    <x v="23"/>
    <x v="1"/>
    <n v="66"/>
    <x v="40"/>
    <x v="0"/>
    <s v="Yellow"/>
    <x v="0"/>
    <n v="3.6"/>
    <x v="1"/>
    <x v="0"/>
    <x v="1"/>
    <x v="1"/>
    <n v="32"/>
    <x v="2"/>
    <x v="0"/>
  </r>
  <r>
    <n v="3639"/>
    <n v="40"/>
    <x v="1"/>
    <x v="21"/>
    <x v="3"/>
    <n v="20"/>
    <x v="23"/>
    <x v="2"/>
    <s v="Olive"/>
    <x v="1"/>
    <n v="4.5999999999999996"/>
    <x v="1"/>
    <x v="0"/>
    <x v="1"/>
    <x v="1"/>
    <n v="50"/>
    <x v="3"/>
    <x v="4"/>
  </r>
  <r>
    <n v="3640"/>
    <n v="26"/>
    <x v="1"/>
    <x v="7"/>
    <x v="2"/>
    <n v="44"/>
    <x v="26"/>
    <x v="2"/>
    <s v="Brown"/>
    <x v="2"/>
    <n v="3.6"/>
    <x v="1"/>
    <x v="4"/>
    <x v="1"/>
    <x v="1"/>
    <n v="39"/>
    <x v="0"/>
    <x v="2"/>
  </r>
  <r>
    <n v="3641"/>
    <n v="47"/>
    <x v="1"/>
    <x v="12"/>
    <x v="3"/>
    <n v="31"/>
    <x v="46"/>
    <x v="0"/>
    <s v="Pink"/>
    <x v="1"/>
    <n v="4"/>
    <x v="1"/>
    <x v="2"/>
    <x v="1"/>
    <x v="1"/>
    <n v="17"/>
    <x v="3"/>
    <x v="5"/>
  </r>
  <r>
    <n v="3642"/>
    <n v="51"/>
    <x v="1"/>
    <x v="14"/>
    <x v="2"/>
    <n v="45"/>
    <x v="14"/>
    <x v="2"/>
    <s v="Cyan"/>
    <x v="3"/>
    <n v="2.7"/>
    <x v="1"/>
    <x v="1"/>
    <x v="1"/>
    <x v="1"/>
    <n v="39"/>
    <x v="4"/>
    <x v="6"/>
  </r>
  <r>
    <n v="3643"/>
    <n v="47"/>
    <x v="1"/>
    <x v="10"/>
    <x v="0"/>
    <n v="71"/>
    <x v="28"/>
    <x v="0"/>
    <s v="Maroon"/>
    <x v="2"/>
    <n v="4.4000000000000004"/>
    <x v="1"/>
    <x v="5"/>
    <x v="1"/>
    <x v="1"/>
    <n v="5"/>
    <x v="3"/>
    <x v="2"/>
  </r>
  <r>
    <n v="3644"/>
    <n v="53"/>
    <x v="1"/>
    <x v="18"/>
    <x v="3"/>
    <n v="96"/>
    <x v="30"/>
    <x v="3"/>
    <s v="Magenta"/>
    <x v="3"/>
    <n v="3.2"/>
    <x v="1"/>
    <x v="3"/>
    <x v="1"/>
    <x v="1"/>
    <n v="47"/>
    <x v="5"/>
    <x v="2"/>
  </r>
  <r>
    <n v="3645"/>
    <n v="35"/>
    <x v="1"/>
    <x v="0"/>
    <x v="0"/>
    <n v="32"/>
    <x v="10"/>
    <x v="2"/>
    <s v="Violet"/>
    <x v="0"/>
    <n v="2.6"/>
    <x v="1"/>
    <x v="2"/>
    <x v="1"/>
    <x v="1"/>
    <n v="18"/>
    <x v="0"/>
    <x v="1"/>
  </r>
  <r>
    <n v="3646"/>
    <n v="38"/>
    <x v="1"/>
    <x v="21"/>
    <x v="3"/>
    <n v="90"/>
    <x v="24"/>
    <x v="0"/>
    <s v="Silver"/>
    <x v="2"/>
    <n v="3.4"/>
    <x v="1"/>
    <x v="1"/>
    <x v="1"/>
    <x v="1"/>
    <n v="31"/>
    <x v="2"/>
    <x v="6"/>
  </r>
  <r>
    <n v="3647"/>
    <n v="69"/>
    <x v="1"/>
    <x v="16"/>
    <x v="3"/>
    <n v="68"/>
    <x v="22"/>
    <x v="2"/>
    <s v="Maroon"/>
    <x v="1"/>
    <n v="5"/>
    <x v="1"/>
    <x v="4"/>
    <x v="1"/>
    <x v="1"/>
    <n v="39"/>
    <x v="5"/>
    <x v="0"/>
  </r>
  <r>
    <n v="3648"/>
    <n v="47"/>
    <x v="1"/>
    <x v="6"/>
    <x v="0"/>
    <n v="45"/>
    <x v="23"/>
    <x v="2"/>
    <s v="Gray"/>
    <x v="0"/>
    <n v="2.9"/>
    <x v="1"/>
    <x v="5"/>
    <x v="1"/>
    <x v="1"/>
    <n v="12"/>
    <x v="4"/>
    <x v="1"/>
  </r>
  <r>
    <n v="3649"/>
    <n v="31"/>
    <x v="1"/>
    <x v="11"/>
    <x v="0"/>
    <n v="67"/>
    <x v="14"/>
    <x v="2"/>
    <s v="White"/>
    <x v="0"/>
    <n v="5"/>
    <x v="1"/>
    <x v="1"/>
    <x v="1"/>
    <x v="1"/>
    <n v="45"/>
    <x v="1"/>
    <x v="4"/>
  </r>
  <r>
    <n v="3650"/>
    <n v="68"/>
    <x v="1"/>
    <x v="11"/>
    <x v="0"/>
    <n v="57"/>
    <x v="46"/>
    <x v="2"/>
    <s v="Brown"/>
    <x v="3"/>
    <n v="4.4000000000000004"/>
    <x v="1"/>
    <x v="3"/>
    <x v="1"/>
    <x v="1"/>
    <n v="33"/>
    <x v="2"/>
    <x v="0"/>
  </r>
  <r>
    <n v="3651"/>
    <n v="51"/>
    <x v="1"/>
    <x v="2"/>
    <x v="0"/>
    <n v="60"/>
    <x v="31"/>
    <x v="2"/>
    <s v="Silver"/>
    <x v="2"/>
    <n v="3.5"/>
    <x v="1"/>
    <x v="4"/>
    <x v="1"/>
    <x v="1"/>
    <n v="3"/>
    <x v="3"/>
    <x v="2"/>
  </r>
  <r>
    <n v="3652"/>
    <n v="20"/>
    <x v="1"/>
    <x v="8"/>
    <x v="3"/>
    <n v="32"/>
    <x v="28"/>
    <x v="2"/>
    <s v="Yellow"/>
    <x v="1"/>
    <n v="3.8"/>
    <x v="1"/>
    <x v="0"/>
    <x v="1"/>
    <x v="1"/>
    <n v="5"/>
    <x v="0"/>
    <x v="6"/>
  </r>
  <r>
    <n v="3653"/>
    <n v="27"/>
    <x v="1"/>
    <x v="8"/>
    <x v="3"/>
    <n v="29"/>
    <x v="0"/>
    <x v="1"/>
    <s v="Magenta"/>
    <x v="3"/>
    <n v="3.8"/>
    <x v="1"/>
    <x v="5"/>
    <x v="1"/>
    <x v="1"/>
    <n v="23"/>
    <x v="5"/>
    <x v="5"/>
  </r>
  <r>
    <n v="3654"/>
    <n v="67"/>
    <x v="1"/>
    <x v="7"/>
    <x v="2"/>
    <n v="20"/>
    <x v="46"/>
    <x v="2"/>
    <s v="Blue"/>
    <x v="1"/>
    <n v="3.9"/>
    <x v="1"/>
    <x v="2"/>
    <x v="1"/>
    <x v="1"/>
    <n v="39"/>
    <x v="2"/>
    <x v="0"/>
  </r>
  <r>
    <n v="3655"/>
    <n v="21"/>
    <x v="1"/>
    <x v="16"/>
    <x v="3"/>
    <n v="98"/>
    <x v="10"/>
    <x v="2"/>
    <s v="Green"/>
    <x v="0"/>
    <n v="3.3"/>
    <x v="1"/>
    <x v="2"/>
    <x v="1"/>
    <x v="1"/>
    <n v="10"/>
    <x v="2"/>
    <x v="2"/>
  </r>
  <r>
    <n v="3656"/>
    <n v="20"/>
    <x v="1"/>
    <x v="1"/>
    <x v="0"/>
    <n v="27"/>
    <x v="5"/>
    <x v="2"/>
    <s v="Yellow"/>
    <x v="3"/>
    <n v="2.9"/>
    <x v="1"/>
    <x v="2"/>
    <x v="1"/>
    <x v="1"/>
    <n v="4"/>
    <x v="2"/>
    <x v="4"/>
  </r>
  <r>
    <n v="3657"/>
    <n v="35"/>
    <x v="1"/>
    <x v="14"/>
    <x v="2"/>
    <n v="67"/>
    <x v="25"/>
    <x v="3"/>
    <s v="Cyan"/>
    <x v="1"/>
    <n v="3.7"/>
    <x v="1"/>
    <x v="4"/>
    <x v="1"/>
    <x v="1"/>
    <n v="18"/>
    <x v="2"/>
    <x v="5"/>
  </r>
  <r>
    <n v="3658"/>
    <n v="58"/>
    <x v="1"/>
    <x v="9"/>
    <x v="1"/>
    <n v="82"/>
    <x v="15"/>
    <x v="0"/>
    <s v="Gold"/>
    <x v="0"/>
    <n v="3.7"/>
    <x v="1"/>
    <x v="0"/>
    <x v="1"/>
    <x v="1"/>
    <n v="1"/>
    <x v="5"/>
    <x v="6"/>
  </r>
  <r>
    <n v="3659"/>
    <n v="28"/>
    <x v="1"/>
    <x v="17"/>
    <x v="0"/>
    <n v="72"/>
    <x v="16"/>
    <x v="2"/>
    <s v="Magenta"/>
    <x v="3"/>
    <n v="4.5999999999999996"/>
    <x v="1"/>
    <x v="3"/>
    <x v="1"/>
    <x v="1"/>
    <n v="18"/>
    <x v="3"/>
    <x v="0"/>
  </r>
  <r>
    <n v="3660"/>
    <n v="27"/>
    <x v="1"/>
    <x v="3"/>
    <x v="1"/>
    <n v="77"/>
    <x v="26"/>
    <x v="1"/>
    <s v="Gray"/>
    <x v="3"/>
    <n v="4.9000000000000004"/>
    <x v="1"/>
    <x v="5"/>
    <x v="1"/>
    <x v="1"/>
    <n v="46"/>
    <x v="4"/>
    <x v="2"/>
  </r>
  <r>
    <n v="3661"/>
    <n v="19"/>
    <x v="1"/>
    <x v="9"/>
    <x v="1"/>
    <n v="74"/>
    <x v="10"/>
    <x v="0"/>
    <s v="Indigo"/>
    <x v="0"/>
    <n v="3.1"/>
    <x v="1"/>
    <x v="4"/>
    <x v="1"/>
    <x v="1"/>
    <n v="13"/>
    <x v="4"/>
    <x v="0"/>
  </r>
  <r>
    <n v="3662"/>
    <n v="63"/>
    <x v="1"/>
    <x v="3"/>
    <x v="1"/>
    <n v="39"/>
    <x v="23"/>
    <x v="1"/>
    <s v="White"/>
    <x v="0"/>
    <n v="3.5"/>
    <x v="1"/>
    <x v="2"/>
    <x v="1"/>
    <x v="1"/>
    <n v="5"/>
    <x v="2"/>
    <x v="0"/>
  </r>
  <r>
    <n v="3663"/>
    <n v="69"/>
    <x v="1"/>
    <x v="6"/>
    <x v="0"/>
    <n v="80"/>
    <x v="3"/>
    <x v="2"/>
    <s v="Indigo"/>
    <x v="1"/>
    <n v="4.9000000000000004"/>
    <x v="1"/>
    <x v="2"/>
    <x v="1"/>
    <x v="1"/>
    <n v="11"/>
    <x v="5"/>
    <x v="1"/>
  </r>
  <r>
    <n v="3664"/>
    <n v="65"/>
    <x v="1"/>
    <x v="21"/>
    <x v="3"/>
    <n v="59"/>
    <x v="20"/>
    <x v="2"/>
    <s v="Green"/>
    <x v="2"/>
    <n v="4.4000000000000004"/>
    <x v="1"/>
    <x v="0"/>
    <x v="1"/>
    <x v="1"/>
    <n v="49"/>
    <x v="2"/>
    <x v="1"/>
  </r>
  <r>
    <n v="3665"/>
    <n v="63"/>
    <x v="1"/>
    <x v="14"/>
    <x v="2"/>
    <n v="68"/>
    <x v="9"/>
    <x v="2"/>
    <s v="Turquoise"/>
    <x v="3"/>
    <n v="4.4000000000000004"/>
    <x v="1"/>
    <x v="5"/>
    <x v="1"/>
    <x v="1"/>
    <n v="1"/>
    <x v="5"/>
    <x v="0"/>
  </r>
  <r>
    <n v="3666"/>
    <n v="28"/>
    <x v="1"/>
    <x v="20"/>
    <x v="0"/>
    <n v="77"/>
    <x v="17"/>
    <x v="2"/>
    <s v="Peach"/>
    <x v="3"/>
    <n v="3.4"/>
    <x v="1"/>
    <x v="2"/>
    <x v="1"/>
    <x v="1"/>
    <n v="11"/>
    <x v="2"/>
    <x v="3"/>
  </r>
  <r>
    <n v="3667"/>
    <n v="67"/>
    <x v="1"/>
    <x v="16"/>
    <x v="3"/>
    <n v="50"/>
    <x v="15"/>
    <x v="2"/>
    <s v="Olive"/>
    <x v="0"/>
    <n v="3"/>
    <x v="1"/>
    <x v="4"/>
    <x v="1"/>
    <x v="1"/>
    <n v="47"/>
    <x v="1"/>
    <x v="6"/>
  </r>
  <r>
    <n v="3668"/>
    <n v="51"/>
    <x v="1"/>
    <x v="13"/>
    <x v="0"/>
    <n v="45"/>
    <x v="47"/>
    <x v="0"/>
    <s v="Cyan"/>
    <x v="3"/>
    <n v="2.6"/>
    <x v="1"/>
    <x v="2"/>
    <x v="1"/>
    <x v="1"/>
    <n v="20"/>
    <x v="0"/>
    <x v="5"/>
  </r>
  <r>
    <n v="3669"/>
    <n v="59"/>
    <x v="1"/>
    <x v="0"/>
    <x v="0"/>
    <n v="71"/>
    <x v="49"/>
    <x v="3"/>
    <s v="Magenta"/>
    <x v="2"/>
    <n v="3.2"/>
    <x v="1"/>
    <x v="5"/>
    <x v="1"/>
    <x v="1"/>
    <n v="18"/>
    <x v="0"/>
    <x v="2"/>
  </r>
  <r>
    <n v="3670"/>
    <n v="25"/>
    <x v="1"/>
    <x v="20"/>
    <x v="0"/>
    <n v="52"/>
    <x v="47"/>
    <x v="1"/>
    <s v="Silver"/>
    <x v="3"/>
    <n v="4.5999999999999996"/>
    <x v="1"/>
    <x v="5"/>
    <x v="1"/>
    <x v="1"/>
    <n v="43"/>
    <x v="3"/>
    <x v="3"/>
  </r>
  <r>
    <n v="3671"/>
    <n v="31"/>
    <x v="1"/>
    <x v="9"/>
    <x v="1"/>
    <n v="50"/>
    <x v="34"/>
    <x v="1"/>
    <s v="White"/>
    <x v="0"/>
    <n v="3.8"/>
    <x v="1"/>
    <x v="1"/>
    <x v="1"/>
    <x v="1"/>
    <n v="4"/>
    <x v="3"/>
    <x v="6"/>
  </r>
  <r>
    <n v="3672"/>
    <n v="62"/>
    <x v="1"/>
    <x v="8"/>
    <x v="3"/>
    <n v="66"/>
    <x v="26"/>
    <x v="0"/>
    <s v="Pink"/>
    <x v="2"/>
    <n v="4.8"/>
    <x v="1"/>
    <x v="4"/>
    <x v="1"/>
    <x v="1"/>
    <n v="20"/>
    <x v="0"/>
    <x v="3"/>
  </r>
  <r>
    <n v="3673"/>
    <n v="51"/>
    <x v="1"/>
    <x v="3"/>
    <x v="1"/>
    <n v="81"/>
    <x v="14"/>
    <x v="1"/>
    <s v="Pink"/>
    <x v="3"/>
    <n v="4.5"/>
    <x v="1"/>
    <x v="1"/>
    <x v="1"/>
    <x v="1"/>
    <n v="7"/>
    <x v="3"/>
    <x v="5"/>
  </r>
  <r>
    <n v="3674"/>
    <n v="32"/>
    <x v="1"/>
    <x v="20"/>
    <x v="0"/>
    <n v="28"/>
    <x v="3"/>
    <x v="2"/>
    <s v="Pink"/>
    <x v="2"/>
    <n v="4.2"/>
    <x v="1"/>
    <x v="4"/>
    <x v="1"/>
    <x v="1"/>
    <n v="31"/>
    <x v="4"/>
    <x v="0"/>
  </r>
  <r>
    <n v="3675"/>
    <n v="35"/>
    <x v="1"/>
    <x v="8"/>
    <x v="3"/>
    <n v="65"/>
    <x v="47"/>
    <x v="2"/>
    <s v="Blue"/>
    <x v="0"/>
    <n v="2.7"/>
    <x v="1"/>
    <x v="4"/>
    <x v="1"/>
    <x v="1"/>
    <n v="41"/>
    <x v="0"/>
    <x v="0"/>
  </r>
  <r>
    <n v="3676"/>
    <n v="70"/>
    <x v="1"/>
    <x v="19"/>
    <x v="3"/>
    <n v="80"/>
    <x v="41"/>
    <x v="2"/>
    <s v="White"/>
    <x v="0"/>
    <n v="4.5"/>
    <x v="1"/>
    <x v="0"/>
    <x v="1"/>
    <x v="1"/>
    <n v="3"/>
    <x v="4"/>
    <x v="5"/>
  </r>
  <r>
    <n v="3677"/>
    <n v="19"/>
    <x v="1"/>
    <x v="16"/>
    <x v="3"/>
    <n v="94"/>
    <x v="48"/>
    <x v="1"/>
    <s v="Teal"/>
    <x v="1"/>
    <n v="4.9000000000000004"/>
    <x v="1"/>
    <x v="1"/>
    <x v="1"/>
    <x v="1"/>
    <n v="16"/>
    <x v="3"/>
    <x v="5"/>
  </r>
  <r>
    <n v="3678"/>
    <n v="32"/>
    <x v="1"/>
    <x v="21"/>
    <x v="3"/>
    <n v="30"/>
    <x v="49"/>
    <x v="2"/>
    <s v="Gray"/>
    <x v="3"/>
    <n v="2.8"/>
    <x v="1"/>
    <x v="3"/>
    <x v="1"/>
    <x v="1"/>
    <n v="43"/>
    <x v="1"/>
    <x v="2"/>
  </r>
  <r>
    <n v="3679"/>
    <n v="56"/>
    <x v="1"/>
    <x v="5"/>
    <x v="0"/>
    <n v="45"/>
    <x v="21"/>
    <x v="1"/>
    <s v="Beige"/>
    <x v="3"/>
    <n v="3.5"/>
    <x v="1"/>
    <x v="3"/>
    <x v="1"/>
    <x v="1"/>
    <n v="29"/>
    <x v="4"/>
    <x v="0"/>
  </r>
  <r>
    <n v="3680"/>
    <n v="53"/>
    <x v="1"/>
    <x v="7"/>
    <x v="2"/>
    <n v="91"/>
    <x v="37"/>
    <x v="2"/>
    <s v="Violet"/>
    <x v="2"/>
    <n v="2.5"/>
    <x v="1"/>
    <x v="5"/>
    <x v="1"/>
    <x v="1"/>
    <n v="5"/>
    <x v="1"/>
    <x v="4"/>
  </r>
  <r>
    <n v="3681"/>
    <n v="22"/>
    <x v="1"/>
    <x v="12"/>
    <x v="3"/>
    <n v="36"/>
    <x v="44"/>
    <x v="1"/>
    <s v="Blue"/>
    <x v="0"/>
    <n v="2.9"/>
    <x v="1"/>
    <x v="3"/>
    <x v="1"/>
    <x v="1"/>
    <n v="30"/>
    <x v="5"/>
    <x v="3"/>
  </r>
  <r>
    <n v="3682"/>
    <n v="26"/>
    <x v="1"/>
    <x v="24"/>
    <x v="3"/>
    <n v="73"/>
    <x v="39"/>
    <x v="3"/>
    <s v="Magenta"/>
    <x v="3"/>
    <n v="4.2"/>
    <x v="1"/>
    <x v="2"/>
    <x v="1"/>
    <x v="1"/>
    <n v="33"/>
    <x v="5"/>
    <x v="5"/>
  </r>
  <r>
    <n v="3683"/>
    <n v="42"/>
    <x v="1"/>
    <x v="5"/>
    <x v="0"/>
    <n v="60"/>
    <x v="5"/>
    <x v="2"/>
    <s v="Maroon"/>
    <x v="3"/>
    <n v="4.5999999999999996"/>
    <x v="1"/>
    <x v="5"/>
    <x v="1"/>
    <x v="1"/>
    <n v="46"/>
    <x v="0"/>
    <x v="4"/>
  </r>
  <r>
    <n v="3684"/>
    <n v="30"/>
    <x v="1"/>
    <x v="20"/>
    <x v="0"/>
    <n v="77"/>
    <x v="16"/>
    <x v="2"/>
    <s v="Purple"/>
    <x v="0"/>
    <n v="3"/>
    <x v="1"/>
    <x v="1"/>
    <x v="1"/>
    <x v="1"/>
    <n v="17"/>
    <x v="0"/>
    <x v="0"/>
  </r>
  <r>
    <n v="3685"/>
    <n v="29"/>
    <x v="1"/>
    <x v="11"/>
    <x v="0"/>
    <n v="86"/>
    <x v="38"/>
    <x v="0"/>
    <s v="Charcoal"/>
    <x v="1"/>
    <n v="4.4000000000000004"/>
    <x v="1"/>
    <x v="1"/>
    <x v="1"/>
    <x v="1"/>
    <n v="47"/>
    <x v="2"/>
    <x v="4"/>
  </r>
  <r>
    <n v="3686"/>
    <n v="47"/>
    <x v="1"/>
    <x v="6"/>
    <x v="0"/>
    <n v="42"/>
    <x v="30"/>
    <x v="0"/>
    <s v="Red"/>
    <x v="2"/>
    <n v="2.6"/>
    <x v="1"/>
    <x v="3"/>
    <x v="1"/>
    <x v="1"/>
    <n v="17"/>
    <x v="1"/>
    <x v="4"/>
  </r>
  <r>
    <n v="3687"/>
    <n v="59"/>
    <x v="1"/>
    <x v="3"/>
    <x v="1"/>
    <n v="70"/>
    <x v="7"/>
    <x v="2"/>
    <s v="Charcoal"/>
    <x v="1"/>
    <n v="4.8"/>
    <x v="1"/>
    <x v="1"/>
    <x v="1"/>
    <x v="1"/>
    <n v="17"/>
    <x v="1"/>
    <x v="4"/>
  </r>
  <r>
    <n v="3688"/>
    <n v="34"/>
    <x v="1"/>
    <x v="5"/>
    <x v="0"/>
    <n v="44"/>
    <x v="10"/>
    <x v="0"/>
    <s v="Lavender"/>
    <x v="2"/>
    <n v="2.9"/>
    <x v="1"/>
    <x v="2"/>
    <x v="1"/>
    <x v="1"/>
    <n v="28"/>
    <x v="4"/>
    <x v="6"/>
  </r>
  <r>
    <n v="3689"/>
    <n v="52"/>
    <x v="1"/>
    <x v="12"/>
    <x v="3"/>
    <n v="91"/>
    <x v="8"/>
    <x v="0"/>
    <s v="White"/>
    <x v="1"/>
    <n v="3"/>
    <x v="1"/>
    <x v="2"/>
    <x v="1"/>
    <x v="1"/>
    <n v="8"/>
    <x v="1"/>
    <x v="5"/>
  </r>
  <r>
    <n v="3690"/>
    <n v="47"/>
    <x v="1"/>
    <x v="16"/>
    <x v="3"/>
    <n v="30"/>
    <x v="36"/>
    <x v="0"/>
    <s v="Red"/>
    <x v="3"/>
    <n v="4.5"/>
    <x v="1"/>
    <x v="3"/>
    <x v="1"/>
    <x v="1"/>
    <n v="8"/>
    <x v="4"/>
    <x v="3"/>
  </r>
  <r>
    <n v="3691"/>
    <n v="24"/>
    <x v="1"/>
    <x v="0"/>
    <x v="0"/>
    <n v="23"/>
    <x v="23"/>
    <x v="1"/>
    <s v="Violet"/>
    <x v="3"/>
    <n v="3.7"/>
    <x v="1"/>
    <x v="5"/>
    <x v="1"/>
    <x v="1"/>
    <n v="4"/>
    <x v="4"/>
    <x v="4"/>
  </r>
  <r>
    <n v="3692"/>
    <n v="63"/>
    <x v="1"/>
    <x v="3"/>
    <x v="1"/>
    <n v="21"/>
    <x v="49"/>
    <x v="3"/>
    <s v="Orange"/>
    <x v="2"/>
    <n v="4.8"/>
    <x v="1"/>
    <x v="2"/>
    <x v="1"/>
    <x v="1"/>
    <n v="24"/>
    <x v="3"/>
    <x v="1"/>
  </r>
  <r>
    <n v="3693"/>
    <n v="59"/>
    <x v="1"/>
    <x v="7"/>
    <x v="2"/>
    <n v="34"/>
    <x v="15"/>
    <x v="0"/>
    <s v="Turquoise"/>
    <x v="1"/>
    <n v="4.8"/>
    <x v="1"/>
    <x v="1"/>
    <x v="1"/>
    <x v="1"/>
    <n v="29"/>
    <x v="1"/>
    <x v="0"/>
  </r>
  <r>
    <n v="3694"/>
    <n v="66"/>
    <x v="1"/>
    <x v="0"/>
    <x v="0"/>
    <n v="46"/>
    <x v="45"/>
    <x v="2"/>
    <s v="Violet"/>
    <x v="2"/>
    <n v="4.7"/>
    <x v="1"/>
    <x v="4"/>
    <x v="1"/>
    <x v="1"/>
    <n v="10"/>
    <x v="0"/>
    <x v="1"/>
  </r>
  <r>
    <n v="3695"/>
    <n v="45"/>
    <x v="1"/>
    <x v="1"/>
    <x v="0"/>
    <n v="41"/>
    <x v="3"/>
    <x v="2"/>
    <s v="Blue"/>
    <x v="0"/>
    <n v="2.6"/>
    <x v="1"/>
    <x v="0"/>
    <x v="1"/>
    <x v="1"/>
    <n v="11"/>
    <x v="3"/>
    <x v="4"/>
  </r>
  <r>
    <n v="3696"/>
    <n v="38"/>
    <x v="1"/>
    <x v="11"/>
    <x v="0"/>
    <n v="33"/>
    <x v="20"/>
    <x v="2"/>
    <s v="White"/>
    <x v="3"/>
    <n v="4.5999999999999996"/>
    <x v="1"/>
    <x v="3"/>
    <x v="1"/>
    <x v="1"/>
    <n v="18"/>
    <x v="4"/>
    <x v="0"/>
  </r>
  <r>
    <n v="3697"/>
    <n v="63"/>
    <x v="1"/>
    <x v="0"/>
    <x v="0"/>
    <n v="48"/>
    <x v="39"/>
    <x v="0"/>
    <s v="Turquoise"/>
    <x v="3"/>
    <n v="3.4"/>
    <x v="1"/>
    <x v="2"/>
    <x v="1"/>
    <x v="1"/>
    <n v="26"/>
    <x v="4"/>
    <x v="2"/>
  </r>
  <r>
    <n v="3698"/>
    <n v="55"/>
    <x v="1"/>
    <x v="15"/>
    <x v="0"/>
    <n v="66"/>
    <x v="38"/>
    <x v="0"/>
    <s v="Pink"/>
    <x v="0"/>
    <n v="3"/>
    <x v="1"/>
    <x v="3"/>
    <x v="1"/>
    <x v="1"/>
    <n v="39"/>
    <x v="1"/>
    <x v="1"/>
  </r>
  <r>
    <n v="3699"/>
    <n v="25"/>
    <x v="1"/>
    <x v="11"/>
    <x v="0"/>
    <n v="54"/>
    <x v="18"/>
    <x v="3"/>
    <s v="Maroon"/>
    <x v="1"/>
    <n v="4"/>
    <x v="1"/>
    <x v="4"/>
    <x v="1"/>
    <x v="1"/>
    <n v="4"/>
    <x v="0"/>
    <x v="2"/>
  </r>
  <r>
    <n v="3700"/>
    <n v="51"/>
    <x v="1"/>
    <x v="21"/>
    <x v="3"/>
    <n v="55"/>
    <x v="19"/>
    <x v="2"/>
    <s v="Olive"/>
    <x v="3"/>
    <n v="2.6"/>
    <x v="1"/>
    <x v="5"/>
    <x v="1"/>
    <x v="1"/>
    <n v="24"/>
    <x v="4"/>
    <x v="1"/>
  </r>
  <r>
    <n v="3701"/>
    <n v="28"/>
    <x v="1"/>
    <x v="8"/>
    <x v="3"/>
    <n v="84"/>
    <x v="25"/>
    <x v="3"/>
    <s v="Charcoal"/>
    <x v="2"/>
    <n v="3.4"/>
    <x v="1"/>
    <x v="5"/>
    <x v="1"/>
    <x v="1"/>
    <n v="2"/>
    <x v="4"/>
    <x v="6"/>
  </r>
  <r>
    <n v="3702"/>
    <n v="46"/>
    <x v="1"/>
    <x v="3"/>
    <x v="1"/>
    <n v="66"/>
    <x v="35"/>
    <x v="2"/>
    <s v="Charcoal"/>
    <x v="1"/>
    <n v="4.5"/>
    <x v="1"/>
    <x v="5"/>
    <x v="1"/>
    <x v="1"/>
    <n v="36"/>
    <x v="1"/>
    <x v="2"/>
  </r>
  <r>
    <n v="3703"/>
    <n v="58"/>
    <x v="1"/>
    <x v="9"/>
    <x v="1"/>
    <n v="65"/>
    <x v="36"/>
    <x v="2"/>
    <s v="Indigo"/>
    <x v="1"/>
    <n v="2.7"/>
    <x v="1"/>
    <x v="5"/>
    <x v="1"/>
    <x v="1"/>
    <n v="36"/>
    <x v="0"/>
    <x v="1"/>
  </r>
  <r>
    <n v="3704"/>
    <n v="30"/>
    <x v="1"/>
    <x v="3"/>
    <x v="1"/>
    <n v="83"/>
    <x v="49"/>
    <x v="1"/>
    <s v="Teal"/>
    <x v="3"/>
    <n v="2.9"/>
    <x v="1"/>
    <x v="3"/>
    <x v="1"/>
    <x v="1"/>
    <n v="23"/>
    <x v="3"/>
    <x v="6"/>
  </r>
  <r>
    <n v="3705"/>
    <n v="68"/>
    <x v="1"/>
    <x v="12"/>
    <x v="3"/>
    <n v="61"/>
    <x v="9"/>
    <x v="0"/>
    <s v="Black"/>
    <x v="0"/>
    <n v="4"/>
    <x v="1"/>
    <x v="5"/>
    <x v="1"/>
    <x v="1"/>
    <n v="36"/>
    <x v="2"/>
    <x v="3"/>
  </r>
  <r>
    <n v="3706"/>
    <n v="28"/>
    <x v="1"/>
    <x v="11"/>
    <x v="0"/>
    <n v="65"/>
    <x v="24"/>
    <x v="0"/>
    <s v="Teal"/>
    <x v="2"/>
    <n v="3.2"/>
    <x v="1"/>
    <x v="1"/>
    <x v="1"/>
    <x v="1"/>
    <n v="2"/>
    <x v="5"/>
    <x v="2"/>
  </r>
  <r>
    <n v="3707"/>
    <n v="26"/>
    <x v="1"/>
    <x v="3"/>
    <x v="1"/>
    <n v="55"/>
    <x v="23"/>
    <x v="2"/>
    <s v="Green"/>
    <x v="1"/>
    <n v="4"/>
    <x v="1"/>
    <x v="5"/>
    <x v="1"/>
    <x v="1"/>
    <n v="17"/>
    <x v="1"/>
    <x v="4"/>
  </r>
  <r>
    <n v="3708"/>
    <n v="35"/>
    <x v="1"/>
    <x v="24"/>
    <x v="3"/>
    <n v="79"/>
    <x v="26"/>
    <x v="2"/>
    <s v="Gold"/>
    <x v="3"/>
    <n v="3.4"/>
    <x v="1"/>
    <x v="4"/>
    <x v="1"/>
    <x v="1"/>
    <n v="19"/>
    <x v="0"/>
    <x v="1"/>
  </r>
  <r>
    <n v="3709"/>
    <n v="40"/>
    <x v="1"/>
    <x v="15"/>
    <x v="0"/>
    <n v="96"/>
    <x v="36"/>
    <x v="2"/>
    <s v="Red"/>
    <x v="3"/>
    <n v="4.9000000000000004"/>
    <x v="1"/>
    <x v="0"/>
    <x v="1"/>
    <x v="1"/>
    <n v="41"/>
    <x v="3"/>
    <x v="5"/>
  </r>
  <r>
    <n v="3710"/>
    <n v="31"/>
    <x v="1"/>
    <x v="20"/>
    <x v="0"/>
    <n v="43"/>
    <x v="40"/>
    <x v="2"/>
    <s v="Silver"/>
    <x v="3"/>
    <n v="3.6"/>
    <x v="1"/>
    <x v="1"/>
    <x v="1"/>
    <x v="1"/>
    <n v="27"/>
    <x v="3"/>
    <x v="3"/>
  </r>
  <r>
    <n v="3711"/>
    <n v="60"/>
    <x v="1"/>
    <x v="16"/>
    <x v="3"/>
    <n v="40"/>
    <x v="11"/>
    <x v="2"/>
    <s v="Yellow"/>
    <x v="2"/>
    <n v="3.6"/>
    <x v="1"/>
    <x v="4"/>
    <x v="1"/>
    <x v="1"/>
    <n v="32"/>
    <x v="4"/>
    <x v="0"/>
  </r>
  <r>
    <n v="3712"/>
    <n v="69"/>
    <x v="1"/>
    <x v="19"/>
    <x v="3"/>
    <n v="62"/>
    <x v="21"/>
    <x v="3"/>
    <s v="Peach"/>
    <x v="3"/>
    <n v="3.2"/>
    <x v="1"/>
    <x v="1"/>
    <x v="1"/>
    <x v="1"/>
    <n v="33"/>
    <x v="1"/>
    <x v="2"/>
  </r>
  <r>
    <n v="3713"/>
    <n v="51"/>
    <x v="1"/>
    <x v="0"/>
    <x v="0"/>
    <n v="72"/>
    <x v="4"/>
    <x v="2"/>
    <s v="Turquoise"/>
    <x v="1"/>
    <n v="3.7"/>
    <x v="1"/>
    <x v="4"/>
    <x v="1"/>
    <x v="1"/>
    <n v="24"/>
    <x v="3"/>
    <x v="3"/>
  </r>
  <r>
    <n v="3714"/>
    <n v="49"/>
    <x v="1"/>
    <x v="9"/>
    <x v="1"/>
    <n v="87"/>
    <x v="28"/>
    <x v="2"/>
    <s v="Peach"/>
    <x v="1"/>
    <n v="2.6"/>
    <x v="1"/>
    <x v="0"/>
    <x v="1"/>
    <x v="1"/>
    <n v="31"/>
    <x v="5"/>
    <x v="6"/>
  </r>
  <r>
    <n v="3715"/>
    <n v="18"/>
    <x v="1"/>
    <x v="19"/>
    <x v="3"/>
    <n v="31"/>
    <x v="14"/>
    <x v="1"/>
    <s v="Peach"/>
    <x v="0"/>
    <n v="3.9"/>
    <x v="1"/>
    <x v="0"/>
    <x v="1"/>
    <x v="1"/>
    <n v="35"/>
    <x v="2"/>
    <x v="1"/>
  </r>
  <r>
    <n v="3716"/>
    <n v="63"/>
    <x v="1"/>
    <x v="12"/>
    <x v="3"/>
    <n v="34"/>
    <x v="43"/>
    <x v="1"/>
    <s v="Orange"/>
    <x v="3"/>
    <n v="3.4"/>
    <x v="1"/>
    <x v="1"/>
    <x v="1"/>
    <x v="1"/>
    <n v="2"/>
    <x v="4"/>
    <x v="5"/>
  </r>
  <r>
    <n v="3717"/>
    <n v="57"/>
    <x v="1"/>
    <x v="5"/>
    <x v="0"/>
    <n v="53"/>
    <x v="34"/>
    <x v="2"/>
    <s v="Charcoal"/>
    <x v="3"/>
    <n v="3.4"/>
    <x v="1"/>
    <x v="2"/>
    <x v="1"/>
    <x v="1"/>
    <n v="42"/>
    <x v="5"/>
    <x v="6"/>
  </r>
  <r>
    <n v="3718"/>
    <n v="45"/>
    <x v="1"/>
    <x v="17"/>
    <x v="0"/>
    <n v="85"/>
    <x v="33"/>
    <x v="3"/>
    <s v="White"/>
    <x v="2"/>
    <n v="4.2"/>
    <x v="1"/>
    <x v="0"/>
    <x v="1"/>
    <x v="1"/>
    <n v="47"/>
    <x v="4"/>
    <x v="6"/>
  </r>
  <r>
    <n v="3719"/>
    <n v="36"/>
    <x v="1"/>
    <x v="13"/>
    <x v="0"/>
    <n v="50"/>
    <x v="30"/>
    <x v="0"/>
    <s v="Turquoise"/>
    <x v="3"/>
    <n v="2.9"/>
    <x v="1"/>
    <x v="3"/>
    <x v="1"/>
    <x v="1"/>
    <n v="44"/>
    <x v="4"/>
    <x v="4"/>
  </r>
  <r>
    <n v="3720"/>
    <n v="20"/>
    <x v="1"/>
    <x v="13"/>
    <x v="0"/>
    <n v="91"/>
    <x v="38"/>
    <x v="2"/>
    <s v="Red"/>
    <x v="2"/>
    <n v="4.0999999999999996"/>
    <x v="1"/>
    <x v="1"/>
    <x v="1"/>
    <x v="1"/>
    <n v="8"/>
    <x v="4"/>
    <x v="6"/>
  </r>
  <r>
    <n v="3721"/>
    <n v="21"/>
    <x v="1"/>
    <x v="19"/>
    <x v="3"/>
    <n v="56"/>
    <x v="36"/>
    <x v="2"/>
    <s v="Peach"/>
    <x v="3"/>
    <n v="3.6"/>
    <x v="1"/>
    <x v="1"/>
    <x v="1"/>
    <x v="1"/>
    <n v="13"/>
    <x v="2"/>
    <x v="3"/>
  </r>
  <r>
    <n v="3722"/>
    <n v="62"/>
    <x v="1"/>
    <x v="7"/>
    <x v="2"/>
    <n v="60"/>
    <x v="39"/>
    <x v="0"/>
    <s v="Pink"/>
    <x v="3"/>
    <n v="4"/>
    <x v="1"/>
    <x v="2"/>
    <x v="1"/>
    <x v="1"/>
    <n v="10"/>
    <x v="1"/>
    <x v="2"/>
  </r>
  <r>
    <n v="3723"/>
    <n v="23"/>
    <x v="1"/>
    <x v="14"/>
    <x v="2"/>
    <n v="34"/>
    <x v="0"/>
    <x v="3"/>
    <s v="Yellow"/>
    <x v="3"/>
    <n v="4"/>
    <x v="1"/>
    <x v="3"/>
    <x v="1"/>
    <x v="1"/>
    <n v="1"/>
    <x v="2"/>
    <x v="0"/>
  </r>
  <r>
    <n v="3724"/>
    <n v="26"/>
    <x v="1"/>
    <x v="3"/>
    <x v="1"/>
    <n v="30"/>
    <x v="3"/>
    <x v="2"/>
    <s v="Beige"/>
    <x v="1"/>
    <n v="3.6"/>
    <x v="1"/>
    <x v="1"/>
    <x v="1"/>
    <x v="1"/>
    <n v="1"/>
    <x v="5"/>
    <x v="5"/>
  </r>
  <r>
    <n v="3725"/>
    <n v="30"/>
    <x v="1"/>
    <x v="24"/>
    <x v="3"/>
    <n v="71"/>
    <x v="24"/>
    <x v="0"/>
    <s v="Green"/>
    <x v="0"/>
    <n v="3.1"/>
    <x v="1"/>
    <x v="0"/>
    <x v="1"/>
    <x v="1"/>
    <n v="18"/>
    <x v="4"/>
    <x v="2"/>
  </r>
  <r>
    <n v="3726"/>
    <n v="18"/>
    <x v="1"/>
    <x v="10"/>
    <x v="0"/>
    <n v="100"/>
    <x v="19"/>
    <x v="1"/>
    <s v="Turquoise"/>
    <x v="0"/>
    <n v="4.4000000000000004"/>
    <x v="1"/>
    <x v="2"/>
    <x v="1"/>
    <x v="1"/>
    <n v="2"/>
    <x v="3"/>
    <x v="2"/>
  </r>
  <r>
    <n v="3727"/>
    <n v="47"/>
    <x v="1"/>
    <x v="22"/>
    <x v="3"/>
    <n v="85"/>
    <x v="37"/>
    <x v="3"/>
    <s v="Orange"/>
    <x v="3"/>
    <n v="4.3"/>
    <x v="1"/>
    <x v="2"/>
    <x v="1"/>
    <x v="1"/>
    <n v="36"/>
    <x v="5"/>
    <x v="6"/>
  </r>
  <r>
    <n v="3728"/>
    <n v="41"/>
    <x v="1"/>
    <x v="20"/>
    <x v="0"/>
    <n v="83"/>
    <x v="1"/>
    <x v="2"/>
    <s v="Gold"/>
    <x v="2"/>
    <n v="3.5"/>
    <x v="1"/>
    <x v="2"/>
    <x v="1"/>
    <x v="1"/>
    <n v="17"/>
    <x v="5"/>
    <x v="4"/>
  </r>
  <r>
    <n v="3729"/>
    <n v="62"/>
    <x v="1"/>
    <x v="14"/>
    <x v="2"/>
    <n v="31"/>
    <x v="34"/>
    <x v="0"/>
    <s v="Red"/>
    <x v="0"/>
    <n v="3"/>
    <x v="1"/>
    <x v="3"/>
    <x v="1"/>
    <x v="1"/>
    <n v="1"/>
    <x v="5"/>
    <x v="2"/>
  </r>
  <r>
    <n v="3730"/>
    <n v="28"/>
    <x v="1"/>
    <x v="23"/>
    <x v="1"/>
    <n v="82"/>
    <x v="3"/>
    <x v="2"/>
    <s v="Teal"/>
    <x v="1"/>
    <n v="4.7"/>
    <x v="1"/>
    <x v="4"/>
    <x v="1"/>
    <x v="1"/>
    <n v="50"/>
    <x v="1"/>
    <x v="3"/>
  </r>
  <r>
    <n v="3731"/>
    <n v="46"/>
    <x v="1"/>
    <x v="5"/>
    <x v="0"/>
    <n v="79"/>
    <x v="20"/>
    <x v="2"/>
    <s v="Teal"/>
    <x v="2"/>
    <n v="2.5"/>
    <x v="1"/>
    <x v="4"/>
    <x v="1"/>
    <x v="1"/>
    <n v="3"/>
    <x v="2"/>
    <x v="4"/>
  </r>
  <r>
    <n v="3732"/>
    <n v="54"/>
    <x v="1"/>
    <x v="19"/>
    <x v="3"/>
    <n v="62"/>
    <x v="8"/>
    <x v="2"/>
    <s v="Lavender"/>
    <x v="1"/>
    <n v="3.1"/>
    <x v="1"/>
    <x v="4"/>
    <x v="1"/>
    <x v="1"/>
    <n v="45"/>
    <x v="3"/>
    <x v="3"/>
  </r>
  <r>
    <n v="3733"/>
    <n v="36"/>
    <x v="1"/>
    <x v="9"/>
    <x v="1"/>
    <n v="92"/>
    <x v="27"/>
    <x v="0"/>
    <s v="Pink"/>
    <x v="1"/>
    <n v="3.3"/>
    <x v="1"/>
    <x v="1"/>
    <x v="1"/>
    <x v="1"/>
    <n v="28"/>
    <x v="3"/>
    <x v="2"/>
  </r>
  <r>
    <n v="3734"/>
    <n v="25"/>
    <x v="1"/>
    <x v="20"/>
    <x v="0"/>
    <n v="58"/>
    <x v="26"/>
    <x v="2"/>
    <s v="Maroon"/>
    <x v="3"/>
    <n v="4.7"/>
    <x v="1"/>
    <x v="2"/>
    <x v="1"/>
    <x v="1"/>
    <n v="6"/>
    <x v="5"/>
    <x v="6"/>
  </r>
  <r>
    <n v="3735"/>
    <n v="38"/>
    <x v="1"/>
    <x v="15"/>
    <x v="0"/>
    <n v="88"/>
    <x v="18"/>
    <x v="2"/>
    <s v="Beige"/>
    <x v="1"/>
    <n v="3.4"/>
    <x v="1"/>
    <x v="2"/>
    <x v="1"/>
    <x v="1"/>
    <n v="33"/>
    <x v="5"/>
    <x v="6"/>
  </r>
  <r>
    <n v="3736"/>
    <n v="38"/>
    <x v="1"/>
    <x v="3"/>
    <x v="1"/>
    <n v="44"/>
    <x v="2"/>
    <x v="0"/>
    <s v="Orange"/>
    <x v="1"/>
    <n v="3.1"/>
    <x v="1"/>
    <x v="4"/>
    <x v="1"/>
    <x v="1"/>
    <n v="29"/>
    <x v="3"/>
    <x v="2"/>
  </r>
  <r>
    <n v="3737"/>
    <n v="42"/>
    <x v="1"/>
    <x v="2"/>
    <x v="0"/>
    <n v="56"/>
    <x v="37"/>
    <x v="2"/>
    <s v="Red"/>
    <x v="1"/>
    <n v="4.5999999999999996"/>
    <x v="1"/>
    <x v="5"/>
    <x v="1"/>
    <x v="1"/>
    <n v="2"/>
    <x v="3"/>
    <x v="6"/>
  </r>
  <r>
    <n v="3738"/>
    <n v="19"/>
    <x v="1"/>
    <x v="16"/>
    <x v="3"/>
    <n v="23"/>
    <x v="0"/>
    <x v="1"/>
    <s v="Maroon"/>
    <x v="0"/>
    <n v="4.9000000000000004"/>
    <x v="1"/>
    <x v="1"/>
    <x v="1"/>
    <x v="1"/>
    <n v="43"/>
    <x v="3"/>
    <x v="4"/>
  </r>
  <r>
    <n v="3739"/>
    <n v="34"/>
    <x v="1"/>
    <x v="6"/>
    <x v="0"/>
    <n v="45"/>
    <x v="12"/>
    <x v="2"/>
    <s v="Brown"/>
    <x v="1"/>
    <n v="2.7"/>
    <x v="1"/>
    <x v="1"/>
    <x v="1"/>
    <x v="1"/>
    <n v="48"/>
    <x v="1"/>
    <x v="0"/>
  </r>
  <r>
    <n v="3740"/>
    <n v="38"/>
    <x v="1"/>
    <x v="12"/>
    <x v="3"/>
    <n v="31"/>
    <x v="37"/>
    <x v="2"/>
    <s v="Olive"/>
    <x v="3"/>
    <n v="4.2"/>
    <x v="1"/>
    <x v="1"/>
    <x v="1"/>
    <x v="1"/>
    <n v="43"/>
    <x v="2"/>
    <x v="1"/>
  </r>
  <r>
    <n v="3741"/>
    <n v="42"/>
    <x v="1"/>
    <x v="13"/>
    <x v="0"/>
    <n v="96"/>
    <x v="41"/>
    <x v="2"/>
    <s v="Silver"/>
    <x v="2"/>
    <n v="2.6"/>
    <x v="1"/>
    <x v="5"/>
    <x v="1"/>
    <x v="1"/>
    <n v="26"/>
    <x v="5"/>
    <x v="4"/>
  </r>
  <r>
    <n v="3742"/>
    <n v="58"/>
    <x v="1"/>
    <x v="5"/>
    <x v="0"/>
    <n v="96"/>
    <x v="28"/>
    <x v="2"/>
    <s v="Purple"/>
    <x v="1"/>
    <n v="3.2"/>
    <x v="1"/>
    <x v="4"/>
    <x v="1"/>
    <x v="1"/>
    <n v="26"/>
    <x v="5"/>
    <x v="4"/>
  </r>
  <r>
    <n v="3743"/>
    <n v="56"/>
    <x v="1"/>
    <x v="5"/>
    <x v="0"/>
    <n v="80"/>
    <x v="33"/>
    <x v="2"/>
    <s v="Gray"/>
    <x v="3"/>
    <n v="4.4000000000000004"/>
    <x v="1"/>
    <x v="3"/>
    <x v="1"/>
    <x v="1"/>
    <n v="50"/>
    <x v="2"/>
    <x v="4"/>
  </r>
  <r>
    <n v="3744"/>
    <n v="62"/>
    <x v="1"/>
    <x v="13"/>
    <x v="0"/>
    <n v="28"/>
    <x v="37"/>
    <x v="0"/>
    <s v="Cyan"/>
    <x v="3"/>
    <n v="3.6"/>
    <x v="1"/>
    <x v="1"/>
    <x v="1"/>
    <x v="1"/>
    <n v="36"/>
    <x v="5"/>
    <x v="3"/>
  </r>
  <r>
    <n v="3745"/>
    <n v="24"/>
    <x v="1"/>
    <x v="15"/>
    <x v="0"/>
    <n v="51"/>
    <x v="32"/>
    <x v="2"/>
    <s v="Gray"/>
    <x v="2"/>
    <n v="2.7"/>
    <x v="1"/>
    <x v="2"/>
    <x v="1"/>
    <x v="1"/>
    <n v="26"/>
    <x v="4"/>
    <x v="0"/>
  </r>
  <r>
    <n v="3746"/>
    <n v="60"/>
    <x v="1"/>
    <x v="20"/>
    <x v="0"/>
    <n v="41"/>
    <x v="47"/>
    <x v="0"/>
    <s v="Gold"/>
    <x v="1"/>
    <n v="4.3"/>
    <x v="1"/>
    <x v="0"/>
    <x v="1"/>
    <x v="1"/>
    <n v="2"/>
    <x v="5"/>
    <x v="5"/>
  </r>
  <r>
    <n v="3747"/>
    <n v="53"/>
    <x v="1"/>
    <x v="7"/>
    <x v="2"/>
    <n v="99"/>
    <x v="37"/>
    <x v="3"/>
    <s v="Cyan"/>
    <x v="2"/>
    <n v="2.6"/>
    <x v="1"/>
    <x v="2"/>
    <x v="1"/>
    <x v="1"/>
    <n v="49"/>
    <x v="3"/>
    <x v="5"/>
  </r>
  <r>
    <n v="3748"/>
    <n v="26"/>
    <x v="1"/>
    <x v="1"/>
    <x v="0"/>
    <n v="53"/>
    <x v="3"/>
    <x v="0"/>
    <s v="Olive"/>
    <x v="1"/>
    <n v="4.3"/>
    <x v="1"/>
    <x v="5"/>
    <x v="1"/>
    <x v="1"/>
    <n v="32"/>
    <x v="4"/>
    <x v="4"/>
  </r>
  <r>
    <n v="3749"/>
    <n v="34"/>
    <x v="1"/>
    <x v="21"/>
    <x v="3"/>
    <n v="25"/>
    <x v="12"/>
    <x v="2"/>
    <s v="Violet"/>
    <x v="3"/>
    <n v="3.9"/>
    <x v="1"/>
    <x v="4"/>
    <x v="1"/>
    <x v="1"/>
    <n v="3"/>
    <x v="0"/>
    <x v="2"/>
  </r>
  <r>
    <n v="3750"/>
    <n v="24"/>
    <x v="1"/>
    <x v="0"/>
    <x v="0"/>
    <n v="95"/>
    <x v="29"/>
    <x v="0"/>
    <s v="Yellow"/>
    <x v="0"/>
    <n v="2.9"/>
    <x v="1"/>
    <x v="4"/>
    <x v="1"/>
    <x v="1"/>
    <n v="38"/>
    <x v="0"/>
    <x v="6"/>
  </r>
  <r>
    <n v="3751"/>
    <n v="42"/>
    <x v="1"/>
    <x v="15"/>
    <x v="0"/>
    <n v="88"/>
    <x v="28"/>
    <x v="2"/>
    <s v="Gold"/>
    <x v="3"/>
    <n v="3.1"/>
    <x v="1"/>
    <x v="1"/>
    <x v="1"/>
    <x v="1"/>
    <n v="5"/>
    <x v="3"/>
    <x v="5"/>
  </r>
  <r>
    <n v="3752"/>
    <n v="36"/>
    <x v="1"/>
    <x v="16"/>
    <x v="3"/>
    <n v="97"/>
    <x v="15"/>
    <x v="1"/>
    <s v="Silver"/>
    <x v="3"/>
    <n v="4.2"/>
    <x v="1"/>
    <x v="1"/>
    <x v="1"/>
    <x v="1"/>
    <n v="8"/>
    <x v="2"/>
    <x v="6"/>
  </r>
  <r>
    <n v="3753"/>
    <n v="24"/>
    <x v="1"/>
    <x v="7"/>
    <x v="2"/>
    <n v="81"/>
    <x v="47"/>
    <x v="0"/>
    <s v="Pink"/>
    <x v="0"/>
    <n v="4.0999999999999996"/>
    <x v="1"/>
    <x v="4"/>
    <x v="1"/>
    <x v="1"/>
    <n v="43"/>
    <x v="0"/>
    <x v="1"/>
  </r>
  <r>
    <n v="3754"/>
    <n v="39"/>
    <x v="1"/>
    <x v="12"/>
    <x v="3"/>
    <n v="26"/>
    <x v="7"/>
    <x v="1"/>
    <s v="Turquoise"/>
    <x v="0"/>
    <n v="4.2"/>
    <x v="1"/>
    <x v="2"/>
    <x v="1"/>
    <x v="1"/>
    <n v="22"/>
    <x v="4"/>
    <x v="0"/>
  </r>
  <r>
    <n v="3755"/>
    <n v="46"/>
    <x v="1"/>
    <x v="9"/>
    <x v="1"/>
    <n v="41"/>
    <x v="43"/>
    <x v="2"/>
    <s v="Turquoise"/>
    <x v="2"/>
    <n v="4.4000000000000004"/>
    <x v="1"/>
    <x v="0"/>
    <x v="1"/>
    <x v="1"/>
    <n v="10"/>
    <x v="1"/>
    <x v="6"/>
  </r>
  <r>
    <n v="3756"/>
    <n v="64"/>
    <x v="1"/>
    <x v="11"/>
    <x v="0"/>
    <n v="93"/>
    <x v="38"/>
    <x v="2"/>
    <s v="Peach"/>
    <x v="3"/>
    <n v="3.4"/>
    <x v="1"/>
    <x v="1"/>
    <x v="1"/>
    <x v="1"/>
    <n v="26"/>
    <x v="2"/>
    <x v="5"/>
  </r>
  <r>
    <n v="3757"/>
    <n v="64"/>
    <x v="1"/>
    <x v="11"/>
    <x v="0"/>
    <n v="69"/>
    <x v="36"/>
    <x v="0"/>
    <s v="Teal"/>
    <x v="1"/>
    <n v="4.8"/>
    <x v="1"/>
    <x v="0"/>
    <x v="1"/>
    <x v="1"/>
    <n v="42"/>
    <x v="5"/>
    <x v="4"/>
  </r>
  <r>
    <n v="3758"/>
    <n v="61"/>
    <x v="1"/>
    <x v="11"/>
    <x v="0"/>
    <n v="44"/>
    <x v="18"/>
    <x v="0"/>
    <s v="Red"/>
    <x v="3"/>
    <n v="4.5"/>
    <x v="1"/>
    <x v="4"/>
    <x v="1"/>
    <x v="1"/>
    <n v="33"/>
    <x v="1"/>
    <x v="1"/>
  </r>
  <r>
    <n v="3759"/>
    <n v="61"/>
    <x v="1"/>
    <x v="3"/>
    <x v="1"/>
    <n v="54"/>
    <x v="27"/>
    <x v="1"/>
    <s v="Black"/>
    <x v="1"/>
    <n v="2.7"/>
    <x v="1"/>
    <x v="5"/>
    <x v="1"/>
    <x v="1"/>
    <n v="23"/>
    <x v="4"/>
    <x v="3"/>
  </r>
  <r>
    <n v="3760"/>
    <n v="44"/>
    <x v="1"/>
    <x v="4"/>
    <x v="1"/>
    <n v="61"/>
    <x v="9"/>
    <x v="2"/>
    <s v="Pink"/>
    <x v="1"/>
    <n v="3.5"/>
    <x v="1"/>
    <x v="5"/>
    <x v="1"/>
    <x v="1"/>
    <n v="30"/>
    <x v="0"/>
    <x v="3"/>
  </r>
  <r>
    <n v="3761"/>
    <n v="65"/>
    <x v="1"/>
    <x v="20"/>
    <x v="0"/>
    <n v="80"/>
    <x v="39"/>
    <x v="2"/>
    <s v="Peach"/>
    <x v="3"/>
    <n v="3.1"/>
    <x v="1"/>
    <x v="2"/>
    <x v="1"/>
    <x v="1"/>
    <n v="36"/>
    <x v="3"/>
    <x v="1"/>
  </r>
  <r>
    <n v="3762"/>
    <n v="60"/>
    <x v="1"/>
    <x v="21"/>
    <x v="3"/>
    <n v="30"/>
    <x v="22"/>
    <x v="2"/>
    <s v="Green"/>
    <x v="2"/>
    <n v="2.8"/>
    <x v="1"/>
    <x v="2"/>
    <x v="1"/>
    <x v="1"/>
    <n v="3"/>
    <x v="0"/>
    <x v="6"/>
  </r>
  <r>
    <n v="3763"/>
    <n v="65"/>
    <x v="1"/>
    <x v="6"/>
    <x v="0"/>
    <n v="94"/>
    <x v="14"/>
    <x v="0"/>
    <s v="Green"/>
    <x v="3"/>
    <n v="2.9"/>
    <x v="1"/>
    <x v="5"/>
    <x v="1"/>
    <x v="1"/>
    <n v="13"/>
    <x v="3"/>
    <x v="2"/>
  </r>
  <r>
    <n v="3764"/>
    <n v="27"/>
    <x v="1"/>
    <x v="5"/>
    <x v="0"/>
    <n v="24"/>
    <x v="19"/>
    <x v="3"/>
    <s v="Red"/>
    <x v="0"/>
    <n v="4.5"/>
    <x v="1"/>
    <x v="3"/>
    <x v="1"/>
    <x v="1"/>
    <n v="38"/>
    <x v="1"/>
    <x v="6"/>
  </r>
  <r>
    <n v="3765"/>
    <n v="36"/>
    <x v="1"/>
    <x v="20"/>
    <x v="0"/>
    <n v="21"/>
    <x v="45"/>
    <x v="2"/>
    <s v="Maroon"/>
    <x v="3"/>
    <n v="3.5"/>
    <x v="1"/>
    <x v="2"/>
    <x v="1"/>
    <x v="1"/>
    <n v="19"/>
    <x v="0"/>
    <x v="5"/>
  </r>
  <r>
    <n v="3766"/>
    <n v="22"/>
    <x v="1"/>
    <x v="16"/>
    <x v="3"/>
    <n v="52"/>
    <x v="9"/>
    <x v="2"/>
    <s v="Green"/>
    <x v="2"/>
    <n v="4.3"/>
    <x v="1"/>
    <x v="3"/>
    <x v="1"/>
    <x v="1"/>
    <n v="14"/>
    <x v="4"/>
    <x v="4"/>
  </r>
  <r>
    <n v="3767"/>
    <n v="62"/>
    <x v="1"/>
    <x v="8"/>
    <x v="3"/>
    <n v="59"/>
    <x v="21"/>
    <x v="2"/>
    <s v="Black"/>
    <x v="3"/>
    <n v="4.9000000000000004"/>
    <x v="1"/>
    <x v="2"/>
    <x v="1"/>
    <x v="1"/>
    <n v="43"/>
    <x v="5"/>
    <x v="2"/>
  </r>
  <r>
    <n v="3768"/>
    <n v="59"/>
    <x v="1"/>
    <x v="6"/>
    <x v="0"/>
    <n v="51"/>
    <x v="14"/>
    <x v="3"/>
    <s v="Black"/>
    <x v="2"/>
    <n v="3.1"/>
    <x v="1"/>
    <x v="1"/>
    <x v="1"/>
    <x v="1"/>
    <n v="10"/>
    <x v="4"/>
    <x v="0"/>
  </r>
  <r>
    <n v="3769"/>
    <n v="50"/>
    <x v="1"/>
    <x v="1"/>
    <x v="0"/>
    <n v="35"/>
    <x v="34"/>
    <x v="2"/>
    <s v="Yellow"/>
    <x v="0"/>
    <n v="4"/>
    <x v="1"/>
    <x v="1"/>
    <x v="1"/>
    <x v="1"/>
    <n v="34"/>
    <x v="4"/>
    <x v="3"/>
  </r>
  <r>
    <n v="3770"/>
    <n v="51"/>
    <x v="1"/>
    <x v="24"/>
    <x v="3"/>
    <n v="87"/>
    <x v="28"/>
    <x v="0"/>
    <s v="Green"/>
    <x v="2"/>
    <n v="3.6"/>
    <x v="1"/>
    <x v="3"/>
    <x v="1"/>
    <x v="1"/>
    <n v="31"/>
    <x v="0"/>
    <x v="2"/>
  </r>
  <r>
    <n v="3771"/>
    <n v="23"/>
    <x v="1"/>
    <x v="13"/>
    <x v="0"/>
    <n v="42"/>
    <x v="6"/>
    <x v="0"/>
    <s v="Black"/>
    <x v="2"/>
    <n v="4"/>
    <x v="1"/>
    <x v="5"/>
    <x v="1"/>
    <x v="1"/>
    <n v="34"/>
    <x v="4"/>
    <x v="1"/>
  </r>
  <r>
    <n v="3772"/>
    <n v="21"/>
    <x v="1"/>
    <x v="17"/>
    <x v="0"/>
    <n v="86"/>
    <x v="19"/>
    <x v="2"/>
    <s v="Red"/>
    <x v="0"/>
    <n v="2.6"/>
    <x v="1"/>
    <x v="0"/>
    <x v="1"/>
    <x v="1"/>
    <n v="28"/>
    <x v="0"/>
    <x v="4"/>
  </r>
  <r>
    <n v="3773"/>
    <n v="44"/>
    <x v="1"/>
    <x v="13"/>
    <x v="0"/>
    <n v="26"/>
    <x v="13"/>
    <x v="0"/>
    <s v="Yellow"/>
    <x v="3"/>
    <n v="3.1"/>
    <x v="1"/>
    <x v="2"/>
    <x v="1"/>
    <x v="1"/>
    <n v="35"/>
    <x v="1"/>
    <x v="2"/>
  </r>
  <r>
    <n v="3774"/>
    <n v="25"/>
    <x v="1"/>
    <x v="1"/>
    <x v="0"/>
    <n v="60"/>
    <x v="48"/>
    <x v="2"/>
    <s v="Violet"/>
    <x v="2"/>
    <n v="3.5"/>
    <x v="1"/>
    <x v="5"/>
    <x v="1"/>
    <x v="1"/>
    <n v="41"/>
    <x v="1"/>
    <x v="3"/>
  </r>
  <r>
    <n v="3775"/>
    <n v="57"/>
    <x v="1"/>
    <x v="24"/>
    <x v="3"/>
    <n v="83"/>
    <x v="29"/>
    <x v="1"/>
    <s v="Cyan"/>
    <x v="0"/>
    <n v="3.9"/>
    <x v="1"/>
    <x v="3"/>
    <x v="1"/>
    <x v="1"/>
    <n v="48"/>
    <x v="3"/>
    <x v="0"/>
  </r>
  <r>
    <n v="3776"/>
    <n v="41"/>
    <x v="1"/>
    <x v="22"/>
    <x v="3"/>
    <n v="63"/>
    <x v="45"/>
    <x v="1"/>
    <s v="Pink"/>
    <x v="1"/>
    <n v="2.7"/>
    <x v="1"/>
    <x v="4"/>
    <x v="1"/>
    <x v="1"/>
    <n v="45"/>
    <x v="1"/>
    <x v="3"/>
  </r>
  <r>
    <n v="3777"/>
    <n v="19"/>
    <x v="1"/>
    <x v="4"/>
    <x v="1"/>
    <n v="25"/>
    <x v="29"/>
    <x v="0"/>
    <s v="Olive"/>
    <x v="1"/>
    <n v="4.0999999999999996"/>
    <x v="1"/>
    <x v="3"/>
    <x v="1"/>
    <x v="1"/>
    <n v="10"/>
    <x v="2"/>
    <x v="0"/>
  </r>
  <r>
    <n v="3778"/>
    <n v="43"/>
    <x v="1"/>
    <x v="6"/>
    <x v="0"/>
    <n v="65"/>
    <x v="40"/>
    <x v="2"/>
    <s v="Maroon"/>
    <x v="3"/>
    <n v="4.3"/>
    <x v="1"/>
    <x v="0"/>
    <x v="1"/>
    <x v="1"/>
    <n v="9"/>
    <x v="1"/>
    <x v="1"/>
  </r>
  <r>
    <n v="3779"/>
    <n v="25"/>
    <x v="1"/>
    <x v="4"/>
    <x v="1"/>
    <n v="60"/>
    <x v="45"/>
    <x v="2"/>
    <s v="Cyan"/>
    <x v="3"/>
    <n v="2.9"/>
    <x v="1"/>
    <x v="1"/>
    <x v="1"/>
    <x v="1"/>
    <n v="30"/>
    <x v="5"/>
    <x v="2"/>
  </r>
  <r>
    <n v="3780"/>
    <n v="60"/>
    <x v="1"/>
    <x v="2"/>
    <x v="0"/>
    <n v="75"/>
    <x v="18"/>
    <x v="3"/>
    <s v="Lavender"/>
    <x v="1"/>
    <n v="4"/>
    <x v="1"/>
    <x v="0"/>
    <x v="1"/>
    <x v="1"/>
    <n v="45"/>
    <x v="3"/>
    <x v="2"/>
  </r>
  <r>
    <n v="3781"/>
    <n v="54"/>
    <x v="1"/>
    <x v="4"/>
    <x v="1"/>
    <n v="57"/>
    <x v="16"/>
    <x v="0"/>
    <s v="Yellow"/>
    <x v="3"/>
    <n v="4.0999999999999996"/>
    <x v="1"/>
    <x v="1"/>
    <x v="1"/>
    <x v="1"/>
    <n v="41"/>
    <x v="0"/>
    <x v="3"/>
  </r>
  <r>
    <n v="3782"/>
    <n v="52"/>
    <x v="1"/>
    <x v="23"/>
    <x v="1"/>
    <n v="99"/>
    <x v="30"/>
    <x v="2"/>
    <s v="Pink"/>
    <x v="0"/>
    <n v="3.7"/>
    <x v="1"/>
    <x v="3"/>
    <x v="1"/>
    <x v="1"/>
    <n v="40"/>
    <x v="3"/>
    <x v="0"/>
  </r>
  <r>
    <n v="3783"/>
    <n v="40"/>
    <x v="1"/>
    <x v="14"/>
    <x v="2"/>
    <n v="45"/>
    <x v="15"/>
    <x v="0"/>
    <s v="Orange"/>
    <x v="1"/>
    <n v="2.8"/>
    <x v="1"/>
    <x v="1"/>
    <x v="1"/>
    <x v="1"/>
    <n v="42"/>
    <x v="3"/>
    <x v="0"/>
  </r>
  <r>
    <n v="3784"/>
    <n v="39"/>
    <x v="1"/>
    <x v="24"/>
    <x v="3"/>
    <n v="66"/>
    <x v="1"/>
    <x v="3"/>
    <s v="Orange"/>
    <x v="2"/>
    <n v="3.2"/>
    <x v="1"/>
    <x v="1"/>
    <x v="1"/>
    <x v="1"/>
    <n v="17"/>
    <x v="5"/>
    <x v="0"/>
  </r>
  <r>
    <n v="3785"/>
    <n v="54"/>
    <x v="1"/>
    <x v="20"/>
    <x v="0"/>
    <n v="53"/>
    <x v="41"/>
    <x v="2"/>
    <s v="Violet"/>
    <x v="0"/>
    <n v="4.5"/>
    <x v="1"/>
    <x v="2"/>
    <x v="1"/>
    <x v="1"/>
    <n v="4"/>
    <x v="0"/>
    <x v="2"/>
  </r>
  <r>
    <n v="3786"/>
    <n v="64"/>
    <x v="1"/>
    <x v="2"/>
    <x v="0"/>
    <n v="94"/>
    <x v="13"/>
    <x v="0"/>
    <s v="Lavender"/>
    <x v="0"/>
    <n v="3.8"/>
    <x v="1"/>
    <x v="3"/>
    <x v="1"/>
    <x v="1"/>
    <n v="6"/>
    <x v="1"/>
    <x v="5"/>
  </r>
  <r>
    <n v="3787"/>
    <n v="31"/>
    <x v="1"/>
    <x v="23"/>
    <x v="1"/>
    <n v="47"/>
    <x v="30"/>
    <x v="0"/>
    <s v="Yellow"/>
    <x v="3"/>
    <n v="3.6"/>
    <x v="1"/>
    <x v="4"/>
    <x v="1"/>
    <x v="1"/>
    <n v="22"/>
    <x v="0"/>
    <x v="1"/>
  </r>
  <r>
    <n v="3788"/>
    <n v="37"/>
    <x v="1"/>
    <x v="0"/>
    <x v="0"/>
    <n v="80"/>
    <x v="14"/>
    <x v="2"/>
    <s v="Pink"/>
    <x v="3"/>
    <n v="3.6"/>
    <x v="1"/>
    <x v="4"/>
    <x v="1"/>
    <x v="1"/>
    <n v="46"/>
    <x v="3"/>
    <x v="6"/>
  </r>
  <r>
    <n v="3789"/>
    <n v="43"/>
    <x v="1"/>
    <x v="19"/>
    <x v="3"/>
    <n v="65"/>
    <x v="23"/>
    <x v="3"/>
    <s v="Teal"/>
    <x v="1"/>
    <n v="3.2"/>
    <x v="1"/>
    <x v="2"/>
    <x v="1"/>
    <x v="1"/>
    <n v="27"/>
    <x v="5"/>
    <x v="5"/>
  </r>
  <r>
    <n v="3790"/>
    <n v="56"/>
    <x v="1"/>
    <x v="5"/>
    <x v="0"/>
    <n v="75"/>
    <x v="25"/>
    <x v="2"/>
    <s v="Magenta"/>
    <x v="2"/>
    <n v="3.8"/>
    <x v="1"/>
    <x v="0"/>
    <x v="1"/>
    <x v="1"/>
    <n v="18"/>
    <x v="4"/>
    <x v="6"/>
  </r>
  <r>
    <n v="3791"/>
    <n v="27"/>
    <x v="1"/>
    <x v="8"/>
    <x v="3"/>
    <n v="45"/>
    <x v="29"/>
    <x v="3"/>
    <s v="Beige"/>
    <x v="2"/>
    <n v="4.4000000000000004"/>
    <x v="1"/>
    <x v="3"/>
    <x v="1"/>
    <x v="1"/>
    <n v="31"/>
    <x v="2"/>
    <x v="1"/>
  </r>
  <r>
    <n v="3792"/>
    <n v="40"/>
    <x v="1"/>
    <x v="12"/>
    <x v="3"/>
    <n v="51"/>
    <x v="21"/>
    <x v="2"/>
    <s v="Gray"/>
    <x v="1"/>
    <n v="3.7"/>
    <x v="1"/>
    <x v="5"/>
    <x v="1"/>
    <x v="1"/>
    <n v="1"/>
    <x v="0"/>
    <x v="1"/>
  </r>
  <r>
    <n v="3793"/>
    <n v="43"/>
    <x v="1"/>
    <x v="18"/>
    <x v="3"/>
    <n v="58"/>
    <x v="2"/>
    <x v="1"/>
    <s v="Turquoise"/>
    <x v="2"/>
    <n v="2.6"/>
    <x v="1"/>
    <x v="0"/>
    <x v="1"/>
    <x v="1"/>
    <n v="2"/>
    <x v="3"/>
    <x v="0"/>
  </r>
  <r>
    <n v="3794"/>
    <n v="62"/>
    <x v="1"/>
    <x v="12"/>
    <x v="3"/>
    <n v="20"/>
    <x v="12"/>
    <x v="2"/>
    <s v="Pink"/>
    <x v="3"/>
    <n v="4"/>
    <x v="1"/>
    <x v="3"/>
    <x v="1"/>
    <x v="1"/>
    <n v="46"/>
    <x v="4"/>
    <x v="2"/>
  </r>
  <r>
    <n v="3795"/>
    <n v="44"/>
    <x v="1"/>
    <x v="18"/>
    <x v="3"/>
    <n v="82"/>
    <x v="45"/>
    <x v="2"/>
    <s v="Violet"/>
    <x v="2"/>
    <n v="3.6"/>
    <x v="1"/>
    <x v="4"/>
    <x v="1"/>
    <x v="1"/>
    <n v="27"/>
    <x v="0"/>
    <x v="1"/>
  </r>
  <r>
    <n v="3796"/>
    <n v="45"/>
    <x v="1"/>
    <x v="24"/>
    <x v="3"/>
    <n v="92"/>
    <x v="10"/>
    <x v="2"/>
    <s v="Charcoal"/>
    <x v="1"/>
    <n v="2.5"/>
    <x v="1"/>
    <x v="0"/>
    <x v="1"/>
    <x v="1"/>
    <n v="3"/>
    <x v="1"/>
    <x v="1"/>
  </r>
  <r>
    <n v="3797"/>
    <n v="40"/>
    <x v="1"/>
    <x v="6"/>
    <x v="0"/>
    <n v="81"/>
    <x v="40"/>
    <x v="2"/>
    <s v="Lavender"/>
    <x v="3"/>
    <n v="3.2"/>
    <x v="1"/>
    <x v="1"/>
    <x v="1"/>
    <x v="1"/>
    <n v="47"/>
    <x v="4"/>
    <x v="3"/>
  </r>
  <r>
    <n v="3798"/>
    <n v="68"/>
    <x v="1"/>
    <x v="12"/>
    <x v="3"/>
    <n v="44"/>
    <x v="18"/>
    <x v="2"/>
    <s v="Gray"/>
    <x v="2"/>
    <n v="2.5"/>
    <x v="1"/>
    <x v="2"/>
    <x v="1"/>
    <x v="1"/>
    <n v="20"/>
    <x v="1"/>
    <x v="3"/>
  </r>
  <r>
    <n v="3799"/>
    <n v="63"/>
    <x v="1"/>
    <x v="16"/>
    <x v="3"/>
    <n v="72"/>
    <x v="3"/>
    <x v="1"/>
    <s v="Brown"/>
    <x v="0"/>
    <n v="3.2"/>
    <x v="1"/>
    <x v="2"/>
    <x v="1"/>
    <x v="1"/>
    <n v="23"/>
    <x v="2"/>
    <x v="2"/>
  </r>
  <r>
    <n v="3800"/>
    <n v="60"/>
    <x v="1"/>
    <x v="14"/>
    <x v="2"/>
    <n v="26"/>
    <x v="19"/>
    <x v="0"/>
    <s v="Violet"/>
    <x v="0"/>
    <n v="2.6"/>
    <x v="1"/>
    <x v="5"/>
    <x v="1"/>
    <x v="1"/>
    <n v="13"/>
    <x v="2"/>
    <x v="5"/>
  </r>
  <r>
    <n v="3801"/>
    <n v="19"/>
    <x v="1"/>
    <x v="1"/>
    <x v="0"/>
    <n v="26"/>
    <x v="34"/>
    <x v="2"/>
    <s v="Turquoise"/>
    <x v="3"/>
    <n v="4.8"/>
    <x v="1"/>
    <x v="2"/>
    <x v="1"/>
    <x v="1"/>
    <n v="12"/>
    <x v="0"/>
    <x v="4"/>
  </r>
  <r>
    <n v="3802"/>
    <n v="26"/>
    <x v="1"/>
    <x v="0"/>
    <x v="0"/>
    <n v="84"/>
    <x v="0"/>
    <x v="2"/>
    <s v="Peach"/>
    <x v="1"/>
    <n v="5"/>
    <x v="1"/>
    <x v="5"/>
    <x v="1"/>
    <x v="1"/>
    <n v="36"/>
    <x v="3"/>
    <x v="0"/>
  </r>
  <r>
    <n v="3803"/>
    <n v="70"/>
    <x v="1"/>
    <x v="18"/>
    <x v="3"/>
    <n v="72"/>
    <x v="26"/>
    <x v="1"/>
    <s v="Turquoise"/>
    <x v="1"/>
    <n v="3.2"/>
    <x v="1"/>
    <x v="4"/>
    <x v="1"/>
    <x v="1"/>
    <n v="1"/>
    <x v="4"/>
    <x v="5"/>
  </r>
  <r>
    <n v="3804"/>
    <n v="48"/>
    <x v="1"/>
    <x v="8"/>
    <x v="3"/>
    <n v="55"/>
    <x v="39"/>
    <x v="2"/>
    <s v="Violet"/>
    <x v="1"/>
    <n v="3.6"/>
    <x v="1"/>
    <x v="3"/>
    <x v="1"/>
    <x v="1"/>
    <n v="14"/>
    <x v="5"/>
    <x v="1"/>
  </r>
  <r>
    <n v="3805"/>
    <n v="37"/>
    <x v="1"/>
    <x v="19"/>
    <x v="3"/>
    <n v="77"/>
    <x v="20"/>
    <x v="2"/>
    <s v="Olive"/>
    <x v="3"/>
    <n v="2.7"/>
    <x v="1"/>
    <x v="4"/>
    <x v="1"/>
    <x v="1"/>
    <n v="45"/>
    <x v="1"/>
    <x v="2"/>
  </r>
  <r>
    <n v="3806"/>
    <n v="48"/>
    <x v="1"/>
    <x v="18"/>
    <x v="3"/>
    <n v="57"/>
    <x v="32"/>
    <x v="2"/>
    <s v="Green"/>
    <x v="3"/>
    <n v="3.1"/>
    <x v="1"/>
    <x v="3"/>
    <x v="1"/>
    <x v="1"/>
    <n v="31"/>
    <x v="2"/>
    <x v="3"/>
  </r>
  <r>
    <n v="3807"/>
    <n v="18"/>
    <x v="1"/>
    <x v="23"/>
    <x v="1"/>
    <n v="71"/>
    <x v="9"/>
    <x v="2"/>
    <s v="Teal"/>
    <x v="1"/>
    <n v="3"/>
    <x v="1"/>
    <x v="3"/>
    <x v="1"/>
    <x v="1"/>
    <n v="41"/>
    <x v="3"/>
    <x v="1"/>
  </r>
  <r>
    <n v="3808"/>
    <n v="38"/>
    <x v="1"/>
    <x v="0"/>
    <x v="0"/>
    <n v="39"/>
    <x v="49"/>
    <x v="0"/>
    <s v="Peach"/>
    <x v="1"/>
    <n v="2.9"/>
    <x v="1"/>
    <x v="2"/>
    <x v="1"/>
    <x v="1"/>
    <n v="36"/>
    <x v="3"/>
    <x v="2"/>
  </r>
  <r>
    <n v="3809"/>
    <n v="33"/>
    <x v="1"/>
    <x v="20"/>
    <x v="0"/>
    <n v="28"/>
    <x v="47"/>
    <x v="2"/>
    <s v="Pink"/>
    <x v="0"/>
    <n v="4.7"/>
    <x v="1"/>
    <x v="0"/>
    <x v="1"/>
    <x v="1"/>
    <n v="6"/>
    <x v="5"/>
    <x v="4"/>
  </r>
  <r>
    <n v="3810"/>
    <n v="57"/>
    <x v="1"/>
    <x v="9"/>
    <x v="1"/>
    <n v="33"/>
    <x v="14"/>
    <x v="1"/>
    <s v="Maroon"/>
    <x v="0"/>
    <n v="3.7"/>
    <x v="1"/>
    <x v="3"/>
    <x v="1"/>
    <x v="1"/>
    <n v="28"/>
    <x v="2"/>
    <x v="2"/>
  </r>
  <r>
    <n v="3811"/>
    <n v="46"/>
    <x v="1"/>
    <x v="11"/>
    <x v="0"/>
    <n v="79"/>
    <x v="48"/>
    <x v="0"/>
    <s v="Peach"/>
    <x v="3"/>
    <n v="3.9"/>
    <x v="1"/>
    <x v="1"/>
    <x v="1"/>
    <x v="1"/>
    <n v="29"/>
    <x v="0"/>
    <x v="5"/>
  </r>
  <r>
    <n v="3812"/>
    <n v="46"/>
    <x v="1"/>
    <x v="22"/>
    <x v="3"/>
    <n v="30"/>
    <x v="37"/>
    <x v="2"/>
    <s v="Maroon"/>
    <x v="0"/>
    <n v="4"/>
    <x v="1"/>
    <x v="3"/>
    <x v="1"/>
    <x v="1"/>
    <n v="14"/>
    <x v="1"/>
    <x v="5"/>
  </r>
  <r>
    <n v="3813"/>
    <n v="50"/>
    <x v="1"/>
    <x v="11"/>
    <x v="0"/>
    <n v="75"/>
    <x v="49"/>
    <x v="2"/>
    <s v="Pink"/>
    <x v="1"/>
    <n v="2.8"/>
    <x v="1"/>
    <x v="2"/>
    <x v="1"/>
    <x v="1"/>
    <n v="7"/>
    <x v="4"/>
    <x v="6"/>
  </r>
  <r>
    <n v="3814"/>
    <n v="61"/>
    <x v="1"/>
    <x v="13"/>
    <x v="0"/>
    <n v="89"/>
    <x v="42"/>
    <x v="2"/>
    <s v="Orange"/>
    <x v="2"/>
    <n v="4.0999999999999996"/>
    <x v="1"/>
    <x v="0"/>
    <x v="1"/>
    <x v="1"/>
    <n v="31"/>
    <x v="0"/>
    <x v="4"/>
  </r>
  <r>
    <n v="3815"/>
    <n v="45"/>
    <x v="1"/>
    <x v="10"/>
    <x v="0"/>
    <n v="95"/>
    <x v="49"/>
    <x v="2"/>
    <s v="Orange"/>
    <x v="0"/>
    <n v="4.2"/>
    <x v="1"/>
    <x v="1"/>
    <x v="1"/>
    <x v="1"/>
    <n v="26"/>
    <x v="4"/>
    <x v="6"/>
  </r>
  <r>
    <n v="3816"/>
    <n v="32"/>
    <x v="1"/>
    <x v="19"/>
    <x v="3"/>
    <n v="44"/>
    <x v="1"/>
    <x v="2"/>
    <s v="Brown"/>
    <x v="3"/>
    <n v="4.3"/>
    <x v="1"/>
    <x v="0"/>
    <x v="1"/>
    <x v="1"/>
    <n v="12"/>
    <x v="0"/>
    <x v="0"/>
  </r>
  <r>
    <n v="3817"/>
    <n v="29"/>
    <x v="1"/>
    <x v="7"/>
    <x v="2"/>
    <n v="86"/>
    <x v="33"/>
    <x v="1"/>
    <s v="Silver"/>
    <x v="2"/>
    <n v="4.3"/>
    <x v="1"/>
    <x v="5"/>
    <x v="1"/>
    <x v="1"/>
    <n v="45"/>
    <x v="2"/>
    <x v="0"/>
  </r>
  <r>
    <n v="3818"/>
    <n v="66"/>
    <x v="1"/>
    <x v="18"/>
    <x v="3"/>
    <n v="91"/>
    <x v="9"/>
    <x v="2"/>
    <s v="Magenta"/>
    <x v="3"/>
    <n v="2.6"/>
    <x v="1"/>
    <x v="0"/>
    <x v="1"/>
    <x v="1"/>
    <n v="40"/>
    <x v="3"/>
    <x v="2"/>
  </r>
  <r>
    <n v="3819"/>
    <n v="70"/>
    <x v="1"/>
    <x v="4"/>
    <x v="1"/>
    <n v="41"/>
    <x v="4"/>
    <x v="3"/>
    <s v="Indigo"/>
    <x v="0"/>
    <n v="3.8"/>
    <x v="1"/>
    <x v="1"/>
    <x v="1"/>
    <x v="1"/>
    <n v="42"/>
    <x v="1"/>
    <x v="5"/>
  </r>
  <r>
    <n v="3820"/>
    <n v="36"/>
    <x v="1"/>
    <x v="13"/>
    <x v="0"/>
    <n v="99"/>
    <x v="10"/>
    <x v="1"/>
    <s v="Gold"/>
    <x v="1"/>
    <n v="2.9"/>
    <x v="1"/>
    <x v="0"/>
    <x v="1"/>
    <x v="1"/>
    <n v="45"/>
    <x v="1"/>
    <x v="3"/>
  </r>
  <r>
    <n v="3821"/>
    <n v="34"/>
    <x v="1"/>
    <x v="22"/>
    <x v="3"/>
    <n v="65"/>
    <x v="13"/>
    <x v="2"/>
    <s v="Purple"/>
    <x v="0"/>
    <n v="5"/>
    <x v="1"/>
    <x v="3"/>
    <x v="1"/>
    <x v="1"/>
    <n v="34"/>
    <x v="5"/>
    <x v="3"/>
  </r>
  <r>
    <n v="3822"/>
    <n v="20"/>
    <x v="1"/>
    <x v="4"/>
    <x v="1"/>
    <n v="48"/>
    <x v="4"/>
    <x v="2"/>
    <s v="Gold"/>
    <x v="2"/>
    <n v="4.5999999999999996"/>
    <x v="1"/>
    <x v="1"/>
    <x v="1"/>
    <x v="1"/>
    <n v="34"/>
    <x v="2"/>
    <x v="6"/>
  </r>
  <r>
    <n v="3823"/>
    <n v="70"/>
    <x v="1"/>
    <x v="19"/>
    <x v="3"/>
    <n v="41"/>
    <x v="23"/>
    <x v="1"/>
    <s v="Gold"/>
    <x v="1"/>
    <n v="3.2"/>
    <x v="1"/>
    <x v="1"/>
    <x v="1"/>
    <x v="1"/>
    <n v="17"/>
    <x v="3"/>
    <x v="6"/>
  </r>
  <r>
    <n v="3824"/>
    <n v="50"/>
    <x v="1"/>
    <x v="5"/>
    <x v="0"/>
    <n v="42"/>
    <x v="18"/>
    <x v="2"/>
    <s v="Gold"/>
    <x v="2"/>
    <n v="3"/>
    <x v="1"/>
    <x v="3"/>
    <x v="1"/>
    <x v="1"/>
    <n v="27"/>
    <x v="4"/>
    <x v="1"/>
  </r>
  <r>
    <n v="3825"/>
    <n v="54"/>
    <x v="1"/>
    <x v="6"/>
    <x v="0"/>
    <n v="26"/>
    <x v="42"/>
    <x v="2"/>
    <s v="Olive"/>
    <x v="2"/>
    <n v="4"/>
    <x v="1"/>
    <x v="1"/>
    <x v="1"/>
    <x v="1"/>
    <n v="31"/>
    <x v="2"/>
    <x v="3"/>
  </r>
  <r>
    <n v="3826"/>
    <n v="49"/>
    <x v="1"/>
    <x v="6"/>
    <x v="0"/>
    <n v="35"/>
    <x v="11"/>
    <x v="0"/>
    <s v="Green"/>
    <x v="3"/>
    <n v="4.0999999999999996"/>
    <x v="1"/>
    <x v="0"/>
    <x v="1"/>
    <x v="1"/>
    <n v="47"/>
    <x v="5"/>
    <x v="0"/>
  </r>
  <r>
    <n v="3827"/>
    <n v="50"/>
    <x v="1"/>
    <x v="14"/>
    <x v="2"/>
    <n v="31"/>
    <x v="6"/>
    <x v="2"/>
    <s v="Gray"/>
    <x v="2"/>
    <n v="4"/>
    <x v="1"/>
    <x v="0"/>
    <x v="1"/>
    <x v="1"/>
    <n v="25"/>
    <x v="4"/>
    <x v="2"/>
  </r>
  <r>
    <n v="3828"/>
    <n v="62"/>
    <x v="1"/>
    <x v="16"/>
    <x v="3"/>
    <n v="73"/>
    <x v="6"/>
    <x v="2"/>
    <s v="Red"/>
    <x v="2"/>
    <n v="4.0999999999999996"/>
    <x v="1"/>
    <x v="3"/>
    <x v="1"/>
    <x v="1"/>
    <n v="47"/>
    <x v="1"/>
    <x v="0"/>
  </r>
  <r>
    <n v="3829"/>
    <n v="42"/>
    <x v="1"/>
    <x v="0"/>
    <x v="0"/>
    <n v="82"/>
    <x v="16"/>
    <x v="2"/>
    <s v="Charcoal"/>
    <x v="1"/>
    <n v="3.4"/>
    <x v="1"/>
    <x v="1"/>
    <x v="1"/>
    <x v="1"/>
    <n v="8"/>
    <x v="1"/>
    <x v="1"/>
  </r>
  <r>
    <n v="3830"/>
    <n v="69"/>
    <x v="1"/>
    <x v="13"/>
    <x v="0"/>
    <n v="32"/>
    <x v="47"/>
    <x v="2"/>
    <s v="Indigo"/>
    <x v="1"/>
    <n v="2.9"/>
    <x v="1"/>
    <x v="1"/>
    <x v="1"/>
    <x v="1"/>
    <n v="32"/>
    <x v="5"/>
    <x v="0"/>
  </r>
  <r>
    <n v="3831"/>
    <n v="22"/>
    <x v="1"/>
    <x v="19"/>
    <x v="3"/>
    <n v="27"/>
    <x v="38"/>
    <x v="2"/>
    <s v="Indigo"/>
    <x v="2"/>
    <n v="3"/>
    <x v="1"/>
    <x v="4"/>
    <x v="1"/>
    <x v="1"/>
    <n v="33"/>
    <x v="4"/>
    <x v="6"/>
  </r>
  <r>
    <n v="3832"/>
    <n v="36"/>
    <x v="1"/>
    <x v="21"/>
    <x v="3"/>
    <n v="86"/>
    <x v="22"/>
    <x v="0"/>
    <s v="Silver"/>
    <x v="1"/>
    <n v="4"/>
    <x v="1"/>
    <x v="2"/>
    <x v="1"/>
    <x v="1"/>
    <n v="16"/>
    <x v="5"/>
    <x v="6"/>
  </r>
  <r>
    <n v="3833"/>
    <n v="64"/>
    <x v="1"/>
    <x v="23"/>
    <x v="1"/>
    <n v="38"/>
    <x v="23"/>
    <x v="3"/>
    <s v="Purple"/>
    <x v="0"/>
    <n v="4.8"/>
    <x v="1"/>
    <x v="4"/>
    <x v="1"/>
    <x v="1"/>
    <n v="27"/>
    <x v="1"/>
    <x v="1"/>
  </r>
  <r>
    <n v="3834"/>
    <n v="44"/>
    <x v="1"/>
    <x v="14"/>
    <x v="2"/>
    <n v="93"/>
    <x v="28"/>
    <x v="0"/>
    <s v="Gray"/>
    <x v="2"/>
    <n v="4.5999999999999996"/>
    <x v="1"/>
    <x v="1"/>
    <x v="1"/>
    <x v="1"/>
    <n v="17"/>
    <x v="3"/>
    <x v="6"/>
  </r>
  <r>
    <n v="3835"/>
    <n v="43"/>
    <x v="1"/>
    <x v="15"/>
    <x v="0"/>
    <n v="59"/>
    <x v="30"/>
    <x v="2"/>
    <s v="Magenta"/>
    <x v="0"/>
    <n v="4.0999999999999996"/>
    <x v="1"/>
    <x v="4"/>
    <x v="1"/>
    <x v="1"/>
    <n v="17"/>
    <x v="1"/>
    <x v="3"/>
  </r>
  <r>
    <n v="3836"/>
    <n v="58"/>
    <x v="1"/>
    <x v="3"/>
    <x v="1"/>
    <n v="58"/>
    <x v="38"/>
    <x v="0"/>
    <s v="Silver"/>
    <x v="0"/>
    <n v="2.6"/>
    <x v="1"/>
    <x v="0"/>
    <x v="1"/>
    <x v="1"/>
    <n v="28"/>
    <x v="3"/>
    <x v="4"/>
  </r>
  <r>
    <n v="3837"/>
    <n v="62"/>
    <x v="1"/>
    <x v="11"/>
    <x v="0"/>
    <n v="84"/>
    <x v="29"/>
    <x v="2"/>
    <s v="Violet"/>
    <x v="1"/>
    <n v="2.5"/>
    <x v="1"/>
    <x v="1"/>
    <x v="1"/>
    <x v="1"/>
    <n v="38"/>
    <x v="3"/>
    <x v="0"/>
  </r>
  <r>
    <n v="3838"/>
    <n v="45"/>
    <x v="1"/>
    <x v="15"/>
    <x v="0"/>
    <n v="100"/>
    <x v="35"/>
    <x v="2"/>
    <s v="Green"/>
    <x v="1"/>
    <n v="4.8"/>
    <x v="1"/>
    <x v="1"/>
    <x v="1"/>
    <x v="1"/>
    <n v="33"/>
    <x v="4"/>
    <x v="0"/>
  </r>
  <r>
    <n v="3839"/>
    <n v="47"/>
    <x v="1"/>
    <x v="10"/>
    <x v="0"/>
    <n v="25"/>
    <x v="3"/>
    <x v="0"/>
    <s v="Green"/>
    <x v="2"/>
    <n v="4.2"/>
    <x v="1"/>
    <x v="0"/>
    <x v="1"/>
    <x v="1"/>
    <n v="24"/>
    <x v="0"/>
    <x v="6"/>
  </r>
  <r>
    <n v="3840"/>
    <n v="66"/>
    <x v="1"/>
    <x v="3"/>
    <x v="1"/>
    <n v="29"/>
    <x v="39"/>
    <x v="2"/>
    <s v="Peach"/>
    <x v="1"/>
    <n v="3.9"/>
    <x v="1"/>
    <x v="1"/>
    <x v="1"/>
    <x v="1"/>
    <n v="14"/>
    <x v="0"/>
    <x v="3"/>
  </r>
  <r>
    <n v="3841"/>
    <n v="30"/>
    <x v="1"/>
    <x v="2"/>
    <x v="0"/>
    <n v="42"/>
    <x v="37"/>
    <x v="2"/>
    <s v="Turquoise"/>
    <x v="1"/>
    <n v="3.7"/>
    <x v="1"/>
    <x v="0"/>
    <x v="1"/>
    <x v="1"/>
    <n v="5"/>
    <x v="0"/>
    <x v="0"/>
  </r>
  <r>
    <n v="3842"/>
    <n v="68"/>
    <x v="1"/>
    <x v="2"/>
    <x v="0"/>
    <n v="57"/>
    <x v="16"/>
    <x v="0"/>
    <s v="Pink"/>
    <x v="3"/>
    <n v="4.2"/>
    <x v="1"/>
    <x v="4"/>
    <x v="1"/>
    <x v="1"/>
    <n v="8"/>
    <x v="4"/>
    <x v="5"/>
  </r>
  <r>
    <n v="3843"/>
    <n v="35"/>
    <x v="1"/>
    <x v="14"/>
    <x v="2"/>
    <n v="84"/>
    <x v="24"/>
    <x v="0"/>
    <s v="Lavender"/>
    <x v="0"/>
    <n v="4.2"/>
    <x v="1"/>
    <x v="2"/>
    <x v="1"/>
    <x v="1"/>
    <n v="42"/>
    <x v="5"/>
    <x v="5"/>
  </r>
  <r>
    <n v="3844"/>
    <n v="64"/>
    <x v="1"/>
    <x v="19"/>
    <x v="3"/>
    <n v="71"/>
    <x v="42"/>
    <x v="0"/>
    <s v="Silver"/>
    <x v="0"/>
    <n v="4"/>
    <x v="1"/>
    <x v="1"/>
    <x v="1"/>
    <x v="1"/>
    <n v="48"/>
    <x v="0"/>
    <x v="6"/>
  </r>
  <r>
    <n v="3845"/>
    <n v="30"/>
    <x v="1"/>
    <x v="6"/>
    <x v="0"/>
    <n v="87"/>
    <x v="6"/>
    <x v="1"/>
    <s v="Cyan"/>
    <x v="3"/>
    <n v="5"/>
    <x v="1"/>
    <x v="2"/>
    <x v="1"/>
    <x v="1"/>
    <n v="40"/>
    <x v="0"/>
    <x v="3"/>
  </r>
  <r>
    <n v="3846"/>
    <n v="58"/>
    <x v="1"/>
    <x v="1"/>
    <x v="0"/>
    <n v="52"/>
    <x v="18"/>
    <x v="2"/>
    <s v="Green"/>
    <x v="0"/>
    <n v="4.9000000000000004"/>
    <x v="1"/>
    <x v="3"/>
    <x v="1"/>
    <x v="1"/>
    <n v="46"/>
    <x v="0"/>
    <x v="2"/>
  </r>
  <r>
    <n v="3847"/>
    <n v="57"/>
    <x v="1"/>
    <x v="0"/>
    <x v="0"/>
    <n v="58"/>
    <x v="38"/>
    <x v="0"/>
    <s v="Orange"/>
    <x v="2"/>
    <n v="4"/>
    <x v="1"/>
    <x v="0"/>
    <x v="1"/>
    <x v="1"/>
    <n v="40"/>
    <x v="3"/>
    <x v="6"/>
  </r>
  <r>
    <n v="3848"/>
    <n v="60"/>
    <x v="1"/>
    <x v="1"/>
    <x v="0"/>
    <n v="34"/>
    <x v="12"/>
    <x v="1"/>
    <s v="Blue"/>
    <x v="3"/>
    <n v="3.2"/>
    <x v="1"/>
    <x v="4"/>
    <x v="1"/>
    <x v="1"/>
    <n v="31"/>
    <x v="3"/>
    <x v="0"/>
  </r>
  <r>
    <n v="3849"/>
    <n v="22"/>
    <x v="1"/>
    <x v="16"/>
    <x v="3"/>
    <n v="60"/>
    <x v="13"/>
    <x v="2"/>
    <s v="Magenta"/>
    <x v="0"/>
    <n v="3"/>
    <x v="1"/>
    <x v="2"/>
    <x v="1"/>
    <x v="1"/>
    <n v="39"/>
    <x v="1"/>
    <x v="6"/>
  </r>
  <r>
    <n v="3850"/>
    <n v="46"/>
    <x v="1"/>
    <x v="15"/>
    <x v="0"/>
    <n v="68"/>
    <x v="20"/>
    <x v="1"/>
    <s v="Cyan"/>
    <x v="0"/>
    <n v="2.6"/>
    <x v="1"/>
    <x v="0"/>
    <x v="1"/>
    <x v="1"/>
    <n v="36"/>
    <x v="3"/>
    <x v="0"/>
  </r>
  <r>
    <n v="3851"/>
    <n v="27"/>
    <x v="1"/>
    <x v="16"/>
    <x v="3"/>
    <n v="74"/>
    <x v="16"/>
    <x v="0"/>
    <s v="Indigo"/>
    <x v="2"/>
    <n v="4.4000000000000004"/>
    <x v="1"/>
    <x v="4"/>
    <x v="1"/>
    <x v="1"/>
    <n v="25"/>
    <x v="5"/>
    <x v="6"/>
  </r>
  <r>
    <n v="3852"/>
    <n v="50"/>
    <x v="1"/>
    <x v="18"/>
    <x v="3"/>
    <n v="83"/>
    <x v="6"/>
    <x v="2"/>
    <s v="Pink"/>
    <x v="2"/>
    <n v="3.9"/>
    <x v="1"/>
    <x v="1"/>
    <x v="1"/>
    <x v="1"/>
    <n v="24"/>
    <x v="5"/>
    <x v="2"/>
  </r>
  <r>
    <n v="3853"/>
    <n v="65"/>
    <x v="1"/>
    <x v="19"/>
    <x v="3"/>
    <n v="79"/>
    <x v="16"/>
    <x v="2"/>
    <s v="Peach"/>
    <x v="3"/>
    <n v="4"/>
    <x v="1"/>
    <x v="4"/>
    <x v="1"/>
    <x v="1"/>
    <n v="19"/>
    <x v="3"/>
    <x v="1"/>
  </r>
  <r>
    <n v="3854"/>
    <n v="61"/>
    <x v="1"/>
    <x v="12"/>
    <x v="3"/>
    <n v="76"/>
    <x v="30"/>
    <x v="2"/>
    <s v="Lavender"/>
    <x v="3"/>
    <n v="4"/>
    <x v="1"/>
    <x v="5"/>
    <x v="1"/>
    <x v="1"/>
    <n v="49"/>
    <x v="5"/>
    <x v="4"/>
  </r>
  <r>
    <n v="3855"/>
    <n v="57"/>
    <x v="1"/>
    <x v="17"/>
    <x v="0"/>
    <n v="20"/>
    <x v="20"/>
    <x v="2"/>
    <s v="Black"/>
    <x v="1"/>
    <n v="4.2"/>
    <x v="1"/>
    <x v="1"/>
    <x v="1"/>
    <x v="1"/>
    <n v="4"/>
    <x v="0"/>
    <x v="2"/>
  </r>
  <r>
    <n v="3856"/>
    <n v="40"/>
    <x v="1"/>
    <x v="5"/>
    <x v="0"/>
    <n v="61"/>
    <x v="26"/>
    <x v="3"/>
    <s v="Lavender"/>
    <x v="2"/>
    <n v="4.4000000000000004"/>
    <x v="1"/>
    <x v="2"/>
    <x v="1"/>
    <x v="1"/>
    <n v="36"/>
    <x v="1"/>
    <x v="3"/>
  </r>
  <r>
    <n v="3857"/>
    <n v="39"/>
    <x v="1"/>
    <x v="3"/>
    <x v="1"/>
    <n v="78"/>
    <x v="41"/>
    <x v="1"/>
    <s v="Brown"/>
    <x v="2"/>
    <n v="2.5"/>
    <x v="1"/>
    <x v="1"/>
    <x v="1"/>
    <x v="1"/>
    <n v="8"/>
    <x v="5"/>
    <x v="3"/>
  </r>
  <r>
    <n v="3858"/>
    <n v="42"/>
    <x v="1"/>
    <x v="19"/>
    <x v="3"/>
    <n v="21"/>
    <x v="21"/>
    <x v="1"/>
    <s v="Yellow"/>
    <x v="2"/>
    <n v="3.1"/>
    <x v="1"/>
    <x v="5"/>
    <x v="1"/>
    <x v="1"/>
    <n v="29"/>
    <x v="2"/>
    <x v="6"/>
  </r>
  <r>
    <n v="3859"/>
    <n v="30"/>
    <x v="1"/>
    <x v="17"/>
    <x v="0"/>
    <n v="77"/>
    <x v="9"/>
    <x v="2"/>
    <s v="Olive"/>
    <x v="0"/>
    <n v="3.5"/>
    <x v="1"/>
    <x v="5"/>
    <x v="1"/>
    <x v="1"/>
    <n v="26"/>
    <x v="2"/>
    <x v="3"/>
  </r>
  <r>
    <n v="3860"/>
    <n v="65"/>
    <x v="1"/>
    <x v="6"/>
    <x v="0"/>
    <n v="88"/>
    <x v="16"/>
    <x v="1"/>
    <s v="Blue"/>
    <x v="3"/>
    <n v="3"/>
    <x v="1"/>
    <x v="4"/>
    <x v="1"/>
    <x v="1"/>
    <n v="47"/>
    <x v="4"/>
    <x v="4"/>
  </r>
  <r>
    <n v="3861"/>
    <n v="57"/>
    <x v="1"/>
    <x v="12"/>
    <x v="3"/>
    <n v="64"/>
    <x v="38"/>
    <x v="2"/>
    <s v="Turquoise"/>
    <x v="2"/>
    <n v="4.4000000000000004"/>
    <x v="1"/>
    <x v="2"/>
    <x v="1"/>
    <x v="1"/>
    <n v="44"/>
    <x v="1"/>
    <x v="2"/>
  </r>
  <r>
    <n v="3862"/>
    <n v="64"/>
    <x v="1"/>
    <x v="14"/>
    <x v="2"/>
    <n v="57"/>
    <x v="5"/>
    <x v="2"/>
    <s v="Yellow"/>
    <x v="1"/>
    <n v="4.9000000000000004"/>
    <x v="1"/>
    <x v="3"/>
    <x v="1"/>
    <x v="1"/>
    <n v="49"/>
    <x v="2"/>
    <x v="5"/>
  </r>
  <r>
    <n v="3863"/>
    <n v="56"/>
    <x v="1"/>
    <x v="5"/>
    <x v="0"/>
    <n v="49"/>
    <x v="37"/>
    <x v="0"/>
    <s v="Turquoise"/>
    <x v="0"/>
    <n v="2.8"/>
    <x v="1"/>
    <x v="2"/>
    <x v="1"/>
    <x v="1"/>
    <n v="9"/>
    <x v="0"/>
    <x v="5"/>
  </r>
  <r>
    <n v="3864"/>
    <n v="40"/>
    <x v="1"/>
    <x v="18"/>
    <x v="3"/>
    <n v="35"/>
    <x v="13"/>
    <x v="2"/>
    <s v="Orange"/>
    <x v="2"/>
    <n v="3.3"/>
    <x v="1"/>
    <x v="1"/>
    <x v="1"/>
    <x v="1"/>
    <n v="28"/>
    <x v="1"/>
    <x v="0"/>
  </r>
  <r>
    <n v="3865"/>
    <n v="55"/>
    <x v="1"/>
    <x v="17"/>
    <x v="0"/>
    <n v="99"/>
    <x v="5"/>
    <x v="1"/>
    <s v="Blue"/>
    <x v="0"/>
    <n v="4.9000000000000004"/>
    <x v="1"/>
    <x v="0"/>
    <x v="1"/>
    <x v="1"/>
    <n v="1"/>
    <x v="5"/>
    <x v="0"/>
  </r>
  <r>
    <n v="3866"/>
    <n v="25"/>
    <x v="1"/>
    <x v="6"/>
    <x v="0"/>
    <n v="42"/>
    <x v="43"/>
    <x v="2"/>
    <s v="Olive"/>
    <x v="1"/>
    <n v="4.2"/>
    <x v="1"/>
    <x v="5"/>
    <x v="1"/>
    <x v="1"/>
    <n v="28"/>
    <x v="1"/>
    <x v="6"/>
  </r>
  <r>
    <n v="3867"/>
    <n v="58"/>
    <x v="1"/>
    <x v="19"/>
    <x v="3"/>
    <n v="32"/>
    <x v="29"/>
    <x v="2"/>
    <s v="Beige"/>
    <x v="0"/>
    <n v="3.3"/>
    <x v="1"/>
    <x v="4"/>
    <x v="1"/>
    <x v="1"/>
    <n v="33"/>
    <x v="2"/>
    <x v="0"/>
  </r>
  <r>
    <n v="3868"/>
    <n v="46"/>
    <x v="1"/>
    <x v="14"/>
    <x v="2"/>
    <n v="21"/>
    <x v="33"/>
    <x v="0"/>
    <s v="Lavender"/>
    <x v="2"/>
    <n v="2.7"/>
    <x v="1"/>
    <x v="3"/>
    <x v="1"/>
    <x v="1"/>
    <n v="28"/>
    <x v="2"/>
    <x v="5"/>
  </r>
  <r>
    <n v="3869"/>
    <n v="18"/>
    <x v="1"/>
    <x v="10"/>
    <x v="0"/>
    <n v="29"/>
    <x v="33"/>
    <x v="3"/>
    <s v="Magenta"/>
    <x v="0"/>
    <n v="3.3"/>
    <x v="1"/>
    <x v="4"/>
    <x v="1"/>
    <x v="1"/>
    <n v="9"/>
    <x v="1"/>
    <x v="2"/>
  </r>
  <r>
    <n v="3870"/>
    <n v="26"/>
    <x v="1"/>
    <x v="7"/>
    <x v="2"/>
    <n v="64"/>
    <x v="28"/>
    <x v="0"/>
    <s v="Cyan"/>
    <x v="1"/>
    <n v="3.8"/>
    <x v="1"/>
    <x v="1"/>
    <x v="1"/>
    <x v="1"/>
    <n v="28"/>
    <x v="4"/>
    <x v="2"/>
  </r>
  <r>
    <n v="3871"/>
    <n v="61"/>
    <x v="1"/>
    <x v="3"/>
    <x v="1"/>
    <n v="46"/>
    <x v="31"/>
    <x v="0"/>
    <s v="Lavender"/>
    <x v="3"/>
    <n v="3.2"/>
    <x v="1"/>
    <x v="2"/>
    <x v="1"/>
    <x v="1"/>
    <n v="19"/>
    <x v="1"/>
    <x v="6"/>
  </r>
  <r>
    <n v="3872"/>
    <n v="55"/>
    <x v="1"/>
    <x v="17"/>
    <x v="0"/>
    <n v="97"/>
    <x v="46"/>
    <x v="2"/>
    <s v="Black"/>
    <x v="3"/>
    <n v="4.0999999999999996"/>
    <x v="1"/>
    <x v="4"/>
    <x v="1"/>
    <x v="1"/>
    <n v="20"/>
    <x v="4"/>
    <x v="6"/>
  </r>
  <r>
    <n v="3873"/>
    <n v="41"/>
    <x v="1"/>
    <x v="14"/>
    <x v="2"/>
    <n v="94"/>
    <x v="13"/>
    <x v="2"/>
    <s v="Green"/>
    <x v="1"/>
    <n v="4.3"/>
    <x v="1"/>
    <x v="3"/>
    <x v="1"/>
    <x v="1"/>
    <n v="3"/>
    <x v="1"/>
    <x v="5"/>
  </r>
  <r>
    <n v="3874"/>
    <n v="42"/>
    <x v="1"/>
    <x v="3"/>
    <x v="1"/>
    <n v="43"/>
    <x v="7"/>
    <x v="0"/>
    <s v="Silver"/>
    <x v="2"/>
    <n v="4"/>
    <x v="1"/>
    <x v="3"/>
    <x v="1"/>
    <x v="1"/>
    <n v="22"/>
    <x v="2"/>
    <x v="1"/>
  </r>
  <r>
    <n v="3875"/>
    <n v="70"/>
    <x v="1"/>
    <x v="1"/>
    <x v="0"/>
    <n v="54"/>
    <x v="22"/>
    <x v="3"/>
    <s v="Beige"/>
    <x v="2"/>
    <n v="3.9"/>
    <x v="1"/>
    <x v="4"/>
    <x v="1"/>
    <x v="1"/>
    <n v="33"/>
    <x v="2"/>
    <x v="4"/>
  </r>
  <r>
    <n v="3876"/>
    <n v="63"/>
    <x v="1"/>
    <x v="19"/>
    <x v="3"/>
    <n v="51"/>
    <x v="13"/>
    <x v="2"/>
    <s v="Pink"/>
    <x v="0"/>
    <n v="3.3"/>
    <x v="1"/>
    <x v="4"/>
    <x v="1"/>
    <x v="1"/>
    <n v="21"/>
    <x v="2"/>
    <x v="2"/>
  </r>
  <r>
    <n v="3877"/>
    <n v="60"/>
    <x v="1"/>
    <x v="9"/>
    <x v="1"/>
    <n v="85"/>
    <x v="48"/>
    <x v="1"/>
    <s v="Cyan"/>
    <x v="3"/>
    <n v="2.6"/>
    <x v="1"/>
    <x v="4"/>
    <x v="1"/>
    <x v="1"/>
    <n v="7"/>
    <x v="1"/>
    <x v="2"/>
  </r>
  <r>
    <n v="3878"/>
    <n v="28"/>
    <x v="1"/>
    <x v="15"/>
    <x v="0"/>
    <n v="96"/>
    <x v="22"/>
    <x v="2"/>
    <s v="Olive"/>
    <x v="1"/>
    <n v="4.2"/>
    <x v="1"/>
    <x v="2"/>
    <x v="1"/>
    <x v="1"/>
    <n v="46"/>
    <x v="5"/>
    <x v="5"/>
  </r>
  <r>
    <n v="3879"/>
    <n v="60"/>
    <x v="1"/>
    <x v="19"/>
    <x v="3"/>
    <n v="42"/>
    <x v="36"/>
    <x v="2"/>
    <s v="Pink"/>
    <x v="2"/>
    <n v="3.4"/>
    <x v="1"/>
    <x v="4"/>
    <x v="1"/>
    <x v="1"/>
    <n v="24"/>
    <x v="2"/>
    <x v="2"/>
  </r>
  <r>
    <n v="3880"/>
    <n v="26"/>
    <x v="1"/>
    <x v="11"/>
    <x v="0"/>
    <n v="63"/>
    <x v="20"/>
    <x v="0"/>
    <s v="Maroon"/>
    <x v="0"/>
    <n v="4.0999999999999996"/>
    <x v="1"/>
    <x v="1"/>
    <x v="1"/>
    <x v="1"/>
    <n v="6"/>
    <x v="5"/>
    <x v="3"/>
  </r>
  <r>
    <n v="3881"/>
    <n v="42"/>
    <x v="1"/>
    <x v="5"/>
    <x v="0"/>
    <n v="20"/>
    <x v="2"/>
    <x v="2"/>
    <s v="Red"/>
    <x v="0"/>
    <n v="3.9"/>
    <x v="1"/>
    <x v="1"/>
    <x v="1"/>
    <x v="1"/>
    <n v="40"/>
    <x v="3"/>
    <x v="5"/>
  </r>
  <r>
    <n v="3882"/>
    <n v="56"/>
    <x v="1"/>
    <x v="18"/>
    <x v="3"/>
    <n v="25"/>
    <x v="42"/>
    <x v="0"/>
    <s v="Silver"/>
    <x v="1"/>
    <n v="2.8"/>
    <x v="1"/>
    <x v="4"/>
    <x v="1"/>
    <x v="1"/>
    <n v="17"/>
    <x v="5"/>
    <x v="1"/>
  </r>
  <r>
    <n v="3883"/>
    <n v="35"/>
    <x v="1"/>
    <x v="13"/>
    <x v="0"/>
    <n v="95"/>
    <x v="25"/>
    <x v="0"/>
    <s v="Blue"/>
    <x v="3"/>
    <n v="2.6"/>
    <x v="1"/>
    <x v="1"/>
    <x v="1"/>
    <x v="1"/>
    <n v="24"/>
    <x v="1"/>
    <x v="0"/>
  </r>
  <r>
    <n v="3884"/>
    <n v="34"/>
    <x v="1"/>
    <x v="19"/>
    <x v="3"/>
    <n v="38"/>
    <x v="25"/>
    <x v="3"/>
    <s v="Purple"/>
    <x v="3"/>
    <n v="4"/>
    <x v="1"/>
    <x v="2"/>
    <x v="1"/>
    <x v="1"/>
    <n v="22"/>
    <x v="1"/>
    <x v="0"/>
  </r>
  <r>
    <n v="3885"/>
    <n v="47"/>
    <x v="1"/>
    <x v="3"/>
    <x v="1"/>
    <n v="29"/>
    <x v="33"/>
    <x v="2"/>
    <s v="Brown"/>
    <x v="3"/>
    <n v="4.9000000000000004"/>
    <x v="1"/>
    <x v="0"/>
    <x v="1"/>
    <x v="1"/>
    <n v="3"/>
    <x v="3"/>
    <x v="1"/>
  </r>
  <r>
    <n v="3886"/>
    <n v="49"/>
    <x v="1"/>
    <x v="20"/>
    <x v="0"/>
    <n v="64"/>
    <x v="35"/>
    <x v="0"/>
    <s v="Purple"/>
    <x v="0"/>
    <n v="3.2"/>
    <x v="1"/>
    <x v="1"/>
    <x v="1"/>
    <x v="1"/>
    <n v="39"/>
    <x v="1"/>
    <x v="3"/>
  </r>
  <r>
    <n v="3887"/>
    <n v="37"/>
    <x v="1"/>
    <x v="16"/>
    <x v="3"/>
    <n v="92"/>
    <x v="44"/>
    <x v="1"/>
    <s v="Brown"/>
    <x v="2"/>
    <n v="3.9"/>
    <x v="1"/>
    <x v="0"/>
    <x v="1"/>
    <x v="1"/>
    <n v="40"/>
    <x v="5"/>
    <x v="3"/>
  </r>
  <r>
    <n v="3888"/>
    <n v="40"/>
    <x v="1"/>
    <x v="5"/>
    <x v="0"/>
    <n v="34"/>
    <x v="23"/>
    <x v="2"/>
    <s v="Charcoal"/>
    <x v="1"/>
    <n v="2.7"/>
    <x v="1"/>
    <x v="0"/>
    <x v="1"/>
    <x v="1"/>
    <n v="1"/>
    <x v="2"/>
    <x v="3"/>
  </r>
  <r>
    <n v="3889"/>
    <n v="45"/>
    <x v="1"/>
    <x v="4"/>
    <x v="1"/>
    <n v="69"/>
    <x v="41"/>
    <x v="2"/>
    <s v="Violet"/>
    <x v="1"/>
    <n v="3.4"/>
    <x v="1"/>
    <x v="3"/>
    <x v="1"/>
    <x v="1"/>
    <n v="14"/>
    <x v="0"/>
    <x v="4"/>
  </r>
  <r>
    <n v="3890"/>
    <n v="57"/>
    <x v="1"/>
    <x v="10"/>
    <x v="0"/>
    <n v="65"/>
    <x v="29"/>
    <x v="1"/>
    <s v="Yellow"/>
    <x v="1"/>
    <n v="3.5"/>
    <x v="1"/>
    <x v="0"/>
    <x v="1"/>
    <x v="1"/>
    <n v="49"/>
    <x v="4"/>
    <x v="2"/>
  </r>
  <r>
    <n v="3891"/>
    <n v="35"/>
    <x v="1"/>
    <x v="5"/>
    <x v="0"/>
    <n v="81"/>
    <x v="43"/>
    <x v="3"/>
    <s v="Green"/>
    <x v="0"/>
    <n v="2.6"/>
    <x v="1"/>
    <x v="3"/>
    <x v="1"/>
    <x v="1"/>
    <n v="33"/>
    <x v="5"/>
    <x v="2"/>
  </r>
  <r>
    <n v="3892"/>
    <n v="36"/>
    <x v="1"/>
    <x v="10"/>
    <x v="0"/>
    <n v="30"/>
    <x v="24"/>
    <x v="0"/>
    <s v="Peach"/>
    <x v="0"/>
    <n v="4.7"/>
    <x v="1"/>
    <x v="1"/>
    <x v="1"/>
    <x v="1"/>
    <n v="6"/>
    <x v="4"/>
    <x v="3"/>
  </r>
  <r>
    <n v="3893"/>
    <n v="35"/>
    <x v="1"/>
    <x v="16"/>
    <x v="3"/>
    <n v="86"/>
    <x v="49"/>
    <x v="0"/>
    <s v="Indigo"/>
    <x v="2"/>
    <n v="3.5"/>
    <x v="1"/>
    <x v="3"/>
    <x v="1"/>
    <x v="1"/>
    <n v="5"/>
    <x v="3"/>
    <x v="0"/>
  </r>
  <r>
    <n v="3894"/>
    <n v="21"/>
    <x v="1"/>
    <x v="19"/>
    <x v="3"/>
    <n v="64"/>
    <x v="2"/>
    <x v="0"/>
    <s v="White"/>
    <x v="3"/>
    <n v="3.3"/>
    <x v="1"/>
    <x v="5"/>
    <x v="1"/>
    <x v="1"/>
    <n v="29"/>
    <x v="4"/>
    <x v="4"/>
  </r>
  <r>
    <n v="3895"/>
    <n v="66"/>
    <x v="1"/>
    <x v="11"/>
    <x v="0"/>
    <n v="78"/>
    <x v="39"/>
    <x v="0"/>
    <s v="White"/>
    <x v="1"/>
    <n v="3.9"/>
    <x v="1"/>
    <x v="4"/>
    <x v="1"/>
    <x v="1"/>
    <n v="44"/>
    <x v="2"/>
    <x v="6"/>
  </r>
  <r>
    <n v="3896"/>
    <n v="40"/>
    <x v="1"/>
    <x v="15"/>
    <x v="0"/>
    <n v="28"/>
    <x v="41"/>
    <x v="0"/>
    <s v="Turquoise"/>
    <x v="2"/>
    <n v="4.2"/>
    <x v="1"/>
    <x v="4"/>
    <x v="1"/>
    <x v="1"/>
    <n v="32"/>
    <x v="0"/>
    <x v="1"/>
  </r>
  <r>
    <n v="3897"/>
    <n v="52"/>
    <x v="1"/>
    <x v="21"/>
    <x v="3"/>
    <n v="49"/>
    <x v="44"/>
    <x v="0"/>
    <s v="White"/>
    <x v="1"/>
    <n v="4.5"/>
    <x v="1"/>
    <x v="5"/>
    <x v="1"/>
    <x v="1"/>
    <n v="41"/>
    <x v="4"/>
    <x v="4"/>
  </r>
  <r>
    <n v="3898"/>
    <n v="46"/>
    <x v="1"/>
    <x v="22"/>
    <x v="3"/>
    <n v="33"/>
    <x v="32"/>
    <x v="0"/>
    <s v="Green"/>
    <x v="1"/>
    <n v="2.9"/>
    <x v="1"/>
    <x v="3"/>
    <x v="1"/>
    <x v="1"/>
    <n v="24"/>
    <x v="0"/>
    <x v="3"/>
  </r>
  <r>
    <n v="3899"/>
    <n v="44"/>
    <x v="1"/>
    <x v="9"/>
    <x v="1"/>
    <n v="77"/>
    <x v="46"/>
    <x v="1"/>
    <s v="Brown"/>
    <x v="2"/>
    <n v="3.8"/>
    <x v="1"/>
    <x v="0"/>
    <x v="1"/>
    <x v="1"/>
    <n v="24"/>
    <x v="0"/>
    <x v="1"/>
  </r>
  <r>
    <n v="3900"/>
    <n v="52"/>
    <x v="1"/>
    <x v="8"/>
    <x v="3"/>
    <n v="81"/>
    <x v="18"/>
    <x v="2"/>
    <s v="Beige"/>
    <x v="1"/>
    <n v="3.1"/>
    <x v="1"/>
    <x v="5"/>
    <x v="1"/>
    <x v="1"/>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86:B91" firstHeaderRow="1" firstDataRow="1" firstDataCol="1"/>
  <pivotFields count="18">
    <pivotField showAll="0"/>
    <pivotField showAll="0"/>
    <pivotField showAll="0">
      <items count="3">
        <item x="1"/>
        <item x="0"/>
        <item t="default"/>
      </items>
    </pivotField>
    <pivotField showAll="0"/>
    <pivotField showAll="0"/>
    <pivotField dataField="1"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Purchase Amount (USD)" fld="5"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9" count="1" selected="0">
            <x v="0"/>
          </reference>
        </references>
      </pivotArea>
    </chartFormat>
    <chartFormat chart="6" format="8">
      <pivotArea type="data" outline="0" fieldPosition="0">
        <references count="2">
          <reference field="4294967294" count="1" selected="0">
            <x v="0"/>
          </reference>
          <reference field="9" count="1" selected="0">
            <x v="1"/>
          </reference>
        </references>
      </pivotArea>
    </chartFormat>
    <chartFormat chart="6" format="9">
      <pivotArea type="data" outline="0" fieldPosition="0">
        <references count="2">
          <reference field="4294967294" count="1" selected="0">
            <x v="0"/>
          </reference>
          <reference field="9" count="1" selected="0">
            <x v="2"/>
          </reference>
        </references>
      </pivotArea>
    </chartFormat>
    <chartFormat chart="6" format="10">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0"/>
          </reference>
        </references>
      </pivotArea>
    </chartFormat>
    <chartFormat chart="0" format="6">
      <pivotArea type="data" outline="0" fieldPosition="0">
        <references count="2">
          <reference field="4294967294" count="1" selected="0">
            <x v="0"/>
          </reference>
          <reference field="9" count="1" selected="0">
            <x v="1"/>
          </reference>
        </references>
      </pivotArea>
    </chartFormat>
    <chartFormat chart="0" format="7">
      <pivotArea type="data" outline="0" fieldPosition="0">
        <references count="2">
          <reference field="4294967294" count="1" selected="0">
            <x v="0"/>
          </reference>
          <reference field="9" count="1" selected="0">
            <x v="2"/>
          </reference>
        </references>
      </pivotArea>
    </chartFormat>
    <chartFormat chart="0" format="8">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1:B39" firstHeaderRow="1" firstDataRow="1" firstDataCol="1"/>
  <pivotFields count="18">
    <pivotField showAll="0"/>
    <pivotField showAll="0"/>
    <pivotField showAll="0">
      <items count="3">
        <item x="1"/>
        <item x="0"/>
        <item t="default"/>
      </items>
    </pivotField>
    <pivotField showAll="0"/>
    <pivotField showAll="0"/>
    <pivotField showAll="0"/>
    <pivotField showAll="0"/>
    <pivotField showAll="0">
      <items count="5">
        <item x="0"/>
        <item x="2"/>
        <item x="1"/>
        <item x="3"/>
        <item t="default"/>
      </items>
    </pivotField>
    <pivotField showAll="0"/>
    <pivotField showAll="0">
      <items count="5">
        <item x="3"/>
        <item x="1"/>
        <item x="2"/>
        <item x="0"/>
        <item t="default"/>
      </items>
    </pivotField>
    <pivotField dataField="1" showAll="0"/>
    <pivotField showAll="0"/>
    <pivotField showAll="0">
      <items count="7">
        <item x="4"/>
        <item x="0"/>
        <item x="1"/>
        <item x="2"/>
        <item x="3"/>
        <item h="1" x="5"/>
        <item t="default"/>
      </items>
    </pivotField>
    <pivotField showAll="0"/>
    <pivotField showAll="0"/>
    <pivotField showAll="0"/>
    <pivotField showAll="0">
      <items count="7">
        <item x="4"/>
        <item x="1"/>
        <item x="2"/>
        <item x="5"/>
        <item x="3"/>
        <item x="0"/>
        <item t="default"/>
      </items>
    </pivotField>
    <pivotField axis="axisRow" showAll="0">
      <items count="8">
        <item x="2"/>
        <item x="4"/>
        <item x="6"/>
        <item x="0"/>
        <item x="5"/>
        <item x="3"/>
        <item x="1"/>
        <item t="default"/>
      </items>
    </pivotField>
  </pivotFields>
  <rowFields count="1">
    <field x="17"/>
  </rowFields>
  <rowItems count="8">
    <i>
      <x/>
    </i>
    <i>
      <x v="1"/>
    </i>
    <i>
      <x v="2"/>
    </i>
    <i>
      <x v="3"/>
    </i>
    <i>
      <x v="4"/>
    </i>
    <i>
      <x v="5"/>
    </i>
    <i>
      <x v="6"/>
    </i>
    <i t="grand">
      <x/>
    </i>
  </rowItems>
  <colItems count="1">
    <i/>
  </colItems>
  <dataFields count="1">
    <dataField name="Average of Review Rating" fld="10" subtotal="average" baseField="2" baseItem="0" numFmtId="2"/>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8" firstHeaderRow="1" firstDataRow="1" firstDataCol="1"/>
  <pivotFields count="18">
    <pivotField showAll="0"/>
    <pivotField showAll="0"/>
    <pivotField showAll="0">
      <items count="3">
        <item x="1"/>
        <item x="0"/>
        <item t="default"/>
      </items>
    </pivotField>
    <pivotField showAll="0"/>
    <pivotField axis="axisRow" showAll="0">
      <items count="5">
        <item x="3"/>
        <item x="0"/>
        <item x="1"/>
        <item x="2"/>
        <item t="default"/>
      </items>
    </pivotField>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items count="7">
        <item x="4"/>
        <item x="0"/>
        <item x="1"/>
        <item x="2"/>
        <item x="3"/>
        <item h="1" x="5"/>
        <item t="default"/>
      </items>
    </pivotField>
    <pivotField showAll="0"/>
    <pivotField showAll="0"/>
    <pivotField showAll="0"/>
    <pivotField showAll="0">
      <items count="7">
        <item x="4"/>
        <item x="1"/>
        <item x="2"/>
        <item x="5"/>
        <item x="3"/>
        <item x="0"/>
        <item t="default"/>
      </items>
    </pivotField>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67:B78" firstHeaderRow="1" firstDataRow="1" firstDataCol="1"/>
  <pivotFields count="18">
    <pivotField showAll="0"/>
    <pivotField showAll="0"/>
    <pivotField showAll="0">
      <items count="3">
        <item x="1"/>
        <item x="0"/>
        <item t="default"/>
      </items>
    </pivotField>
    <pivotField showAll="0"/>
    <pivotField showAll="0"/>
    <pivotField dataField="1" showAll="0"/>
    <pivotField axis="axisRow" showAll="0" measureFilter="1">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pivotField showAll="0">
      <items count="5">
        <item x="3"/>
        <item x="1"/>
        <item x="2"/>
        <item x="0"/>
        <item t="default"/>
      </items>
    </pivotField>
    <pivotField showAll="0"/>
    <pivotField showAll="0"/>
    <pivotField showAll="0">
      <items count="7">
        <item x="4"/>
        <item x="0"/>
        <item x="1"/>
        <item x="2"/>
        <item x="3"/>
        <item h="1" x="5"/>
        <item t="default"/>
      </items>
    </pivotField>
    <pivotField showAll="0"/>
    <pivotField showAll="0"/>
    <pivotField showAll="0"/>
    <pivotField showAll="0">
      <items count="7">
        <item x="4"/>
        <item x="1"/>
        <item x="2"/>
        <item x="5"/>
        <item x="3"/>
        <item x="0"/>
        <item t="default"/>
      </items>
    </pivotField>
    <pivotField showAll="0"/>
  </pivotFields>
  <rowFields count="1">
    <field x="6"/>
  </rowFields>
  <rowItems count="11">
    <i>
      <x v="1"/>
    </i>
    <i>
      <x v="4"/>
    </i>
    <i>
      <x v="11"/>
    </i>
    <i>
      <x v="19"/>
    </i>
    <i>
      <x v="25"/>
    </i>
    <i>
      <x v="27"/>
    </i>
    <i>
      <x v="31"/>
    </i>
    <i>
      <x v="33"/>
    </i>
    <i>
      <x v="37"/>
    </i>
    <i>
      <x v="47"/>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Discount Applied" colHeaderCaption="Subscription Status">
  <location ref="A45:D49" firstHeaderRow="1" firstDataRow="2" firstDataCol="1"/>
  <pivotFields count="18">
    <pivotField showAll="0"/>
    <pivotField showAll="0"/>
    <pivotField showAll="0">
      <items count="3">
        <item x="1"/>
        <item x="0"/>
        <item t="default"/>
      </items>
    </pivotField>
    <pivotField showAll="0"/>
    <pivotField showAll="0"/>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axis="axisCol" showAll="0">
      <items count="3">
        <item x="1"/>
        <item x="0"/>
        <item t="default"/>
      </items>
    </pivotField>
    <pivotField showAll="0">
      <items count="7">
        <item x="4"/>
        <item x="0"/>
        <item x="1"/>
        <item x="2"/>
        <item x="3"/>
        <item h="1" x="5"/>
        <item t="default"/>
      </items>
    </pivotField>
    <pivotField axis="axisRow"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13"/>
  </rowFields>
  <rowItems count="3">
    <i>
      <x/>
    </i>
    <i>
      <x v="1"/>
    </i>
    <i t="grand">
      <x/>
    </i>
  </rowItems>
  <colFields count="1">
    <field x="11"/>
  </colFields>
  <colItems count="3">
    <i>
      <x/>
    </i>
    <i>
      <x v="1"/>
    </i>
    <i t="grand">
      <x/>
    </i>
  </colItems>
  <dataFields count="1">
    <dataField name="Sum of Purchase Amount (USD)" fld="5" baseField="13"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2">
          <reference field="4294967294" count="1" selected="0">
            <x v="0"/>
          </reference>
          <reference field="11" count="1" selected="0">
            <x v="0"/>
          </reference>
        </references>
      </pivotArea>
    </chartFormat>
    <chartFormat chart="2"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02:B109" firstHeaderRow="1" firstDataRow="1" firstDataCol="1"/>
  <pivotFields count="18">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pivotField showAll="0"/>
    <pivotField showAll="0"/>
    <pivotField showAll="0"/>
    <pivotField showAll="0"/>
    <pivotField axis="axisRow" showAll="0">
      <items count="7">
        <item x="4"/>
        <item x="0"/>
        <item x="1"/>
        <item x="2"/>
        <item x="3"/>
        <item x="5"/>
        <item t="default"/>
      </items>
    </pivotField>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3" name="PivotTable2"/>
    <pivotTable tabId="3" name="PivotTable3"/>
    <pivotTable tabId="3" name="PivotTable4"/>
    <pivotTable tabId="3" name="PivotTable5"/>
  </pivotTables>
  <data>
    <tabular pivotCacheId="1">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ason" sourceName="Season">
  <pivotTables>
    <pivotTable tabId="3" name="PivotTable2"/>
    <pivotTable tabId="3" name="PivotTable3"/>
    <pivotTable tabId="3" name="PivotTable4"/>
    <pivotTable tabId="3" name="PivotTable5"/>
  </pivotTables>
  <data>
    <tabular pivotCacheId="1">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hipping_Type" sourceName="Shipping Type">
  <pivotTables>
    <pivotTable tabId="3" name="PivotTable2"/>
    <pivotTable tabId="3" name="PivotTable3"/>
    <pivotTable tabId="3" name="PivotTable4"/>
    <pivotTable tabId="3" name="PivotTable5"/>
  </pivotTables>
  <data>
    <tabular pivotCacheId="1">
      <items count="6">
        <i x="4" s="1"/>
        <i x="0" s="1"/>
        <i x="1" s="1"/>
        <i x="2" s="1"/>
        <i x="3" s="1"/>
        <i x="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2"/>
    <pivotTable tabId="3" name="PivotTable3"/>
    <pivotTable tabId="3" name="PivotTable4"/>
    <pivotTable tabId="3" name="PivotTable5"/>
    <pivotTable tabId="3" name="PivotTable1"/>
    <pivotTable tabId="3" name="PivotTable6"/>
  </pivotTables>
  <data>
    <tabular pivotCacheId="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3" name="PivotTable3"/>
    <pivotTable tabId="3" name="PivotTable2"/>
    <pivotTable tabId="3" name="PivotTable4"/>
    <pivotTable tabId="3" name="PivotTable5"/>
  </pivotTables>
  <data>
    <tabular pivotCacheId="1">
      <items count="6">
        <i x="4" s="1"/>
        <i x="1" s="1"/>
        <i x="2" s="1"/>
        <i x="5"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2" cache="Slicer_Gender" caption="Gender" columnCount="2" style="SlicerStyleDark5" rowHeight="234950"/>
  <slicer name="Gender 1"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Size" cache="Slicer_Size" caption="Size" rowHeight="234950"/>
  <slicer name="Season" cache="Slicer_Season" caption="Season" rowHeight="234950"/>
  <slicer name="Shipping Type" cache="Slicer_Shipping_Type" caption="Shipping Type" rowHeight="234950"/>
  <slicer name="Gender" cache="Slicer_Gender" caption="Gender" rowHeight="234950"/>
  <slicer name="Payment Method" cache="Slicer_Payment_Method" caption="Payment Method" rowHeight="234950"/>
</slicers>
</file>

<file path=xl/tables/table1.xml><?xml version="1.0" encoding="utf-8"?>
<table xmlns="http://schemas.openxmlformats.org/spreadsheetml/2006/main" id="1" name="Table1" displayName="Table1" ref="A1:T3901" totalsRowShown="0">
  <autoFilter ref="A1:T3901"/>
  <tableColumns count="20">
    <tableColumn id="1" name="Customer ID"/>
    <tableColumn id="2" name="Age"/>
    <tableColumn id="3" name="Gender"/>
    <tableColumn id="4" name="Item Purchased"/>
    <tableColumn id="5" name="Category"/>
    <tableColumn id="6" name="Purchase Amount (USD)"/>
    <tableColumn id="7" name="Location"/>
    <tableColumn id="8" name="Size"/>
    <tableColumn id="9" name="Color"/>
    <tableColumn id="10" name="Season"/>
    <tableColumn id="11" name="Review Rating"/>
    <tableColumn id="12" name="Subscription Status"/>
    <tableColumn id="13" name="Shipping Type"/>
    <tableColumn id="14" name="Discount Applied"/>
    <tableColumn id="15" name="Promo Code Used"/>
    <tableColumn id="16" name="Previous Purchases"/>
    <tableColumn id="17" name="Payment Method"/>
    <tableColumn id="18" name="Frequency of Purchases"/>
    <tableColumn id="19" name="index match" dataDxfId="1">
      <calculatedColumnFormula>INDEX(Q:Q,MATCH(Table1[[#This Row],[Item Purchased]],D:D))</calculatedColumnFormula>
    </tableColumn>
    <tableColumn id="20" name="sumif" dataDxfId="0">
      <calculatedColumnFormula>SUMIF(J:J,Table1[[#This Row],[Season]],F:F)</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11:A112"/>
  <sheetViews>
    <sheetView tabSelected="1" topLeftCell="D1" zoomScaleNormal="100" workbookViewId="0">
      <selection activeCell="D1" sqref="D1"/>
    </sheetView>
  </sheetViews>
  <sheetFormatPr defaultRowHeight="14.4" x14ac:dyDescent="0.3"/>
  <cols>
    <col min="4" max="4" width="9.6640625" customWidth="1"/>
  </cols>
  <sheetData>
    <row r="111" ht="1.8" customHeight="1" x14ac:dyDescent="0.3"/>
    <row r="112" hidden="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01"/>
  <sheetViews>
    <sheetView workbookViewId="0">
      <selection activeCell="B35" sqref="B35"/>
    </sheetView>
  </sheetViews>
  <sheetFormatPr defaultRowHeight="14.4" x14ac:dyDescent="0.3"/>
  <cols>
    <col min="1" max="1" width="15.44140625" customWidth="1"/>
  </cols>
  <sheetData>
    <row r="1" spans="1:2" x14ac:dyDescent="0.3">
      <c r="A1" t="s">
        <v>157</v>
      </c>
      <c r="B1" t="s">
        <v>10</v>
      </c>
    </row>
    <row r="2" spans="1:2" x14ac:dyDescent="0.3">
      <c r="A2" s="5" t="s">
        <v>19</v>
      </c>
      <c r="B2">
        <f>VLOOKUP(A2,Table1[[Item Purchased]:[Subscription Status]],8,FALSE)</f>
        <v>3.1</v>
      </c>
    </row>
    <row r="3" spans="1:2" x14ac:dyDescent="0.3">
      <c r="A3" s="6" t="s">
        <v>29</v>
      </c>
      <c r="B3">
        <f>VLOOKUP(A3,Table1[[Item Purchased]:[Subscription Status]],8,FALSE)</f>
        <v>3.1</v>
      </c>
    </row>
    <row r="4" spans="1:2" x14ac:dyDescent="0.3">
      <c r="A4" s="5" t="s">
        <v>33</v>
      </c>
      <c r="B4">
        <f>VLOOKUP(A4,Table1[[Item Purchased]:[Subscription Status]],8,FALSE)</f>
        <v>3.1</v>
      </c>
    </row>
    <row r="5" spans="1:2" x14ac:dyDescent="0.3">
      <c r="A5" s="6" t="s">
        <v>40</v>
      </c>
      <c r="B5">
        <f>VLOOKUP(A5,Table1[[Item Purchased]:[Subscription Status]],8,FALSE)</f>
        <v>3.5</v>
      </c>
    </row>
    <row r="6" spans="1:2" x14ac:dyDescent="0.3">
      <c r="A6" s="5" t="s">
        <v>19</v>
      </c>
      <c r="B6">
        <f>VLOOKUP(A6,Table1[[Item Purchased]:[Subscription Status]],8,FALSE)</f>
        <v>3.1</v>
      </c>
    </row>
    <row r="7" spans="1:2" x14ac:dyDescent="0.3">
      <c r="A7" s="6" t="s">
        <v>49</v>
      </c>
      <c r="B7">
        <f>VLOOKUP(A7,Table1[[Item Purchased]:[Subscription Status]],8,FALSE)</f>
        <v>2.9</v>
      </c>
    </row>
    <row r="8" spans="1:2" x14ac:dyDescent="0.3">
      <c r="A8" s="5" t="s">
        <v>54</v>
      </c>
      <c r="B8">
        <f>VLOOKUP(A8,Table1[[Item Purchased]:[Subscription Status]],8,FALSE)</f>
        <v>3.2</v>
      </c>
    </row>
    <row r="9" spans="1:2" x14ac:dyDescent="0.3">
      <c r="A9" s="6" t="s">
        <v>58</v>
      </c>
      <c r="B9">
        <f>VLOOKUP(A9,Table1[[Item Purchased]:[Subscription Status]],8,FALSE)</f>
        <v>3.2</v>
      </c>
    </row>
    <row r="10" spans="1:2" x14ac:dyDescent="0.3">
      <c r="A10" s="5" t="s">
        <v>61</v>
      </c>
      <c r="B10">
        <f>VLOOKUP(A10,Table1[[Item Purchased]:[Subscription Status]],8,FALSE)</f>
        <v>2.6</v>
      </c>
    </row>
    <row r="11" spans="1:2" x14ac:dyDescent="0.3">
      <c r="A11" s="6" t="s">
        <v>65</v>
      </c>
      <c r="B11">
        <f>VLOOKUP(A11,Table1[[Item Purchased]:[Subscription Status]],8,FALSE)</f>
        <v>4.8</v>
      </c>
    </row>
    <row r="12" spans="1:2" x14ac:dyDescent="0.3">
      <c r="A12" s="5" t="s">
        <v>70</v>
      </c>
      <c r="B12">
        <f>VLOOKUP(A12,Table1[[Item Purchased]:[Subscription Status]],8,FALSE)</f>
        <v>4.0999999999999996</v>
      </c>
    </row>
    <row r="13" spans="1:2" x14ac:dyDescent="0.3">
      <c r="A13" s="6" t="s">
        <v>58</v>
      </c>
      <c r="B13">
        <f>VLOOKUP(A13,Table1[[Item Purchased]:[Subscription Status]],8,FALSE)</f>
        <v>3.2</v>
      </c>
    </row>
    <row r="14" spans="1:2" x14ac:dyDescent="0.3">
      <c r="A14" s="5" t="s">
        <v>61</v>
      </c>
      <c r="B14">
        <f>VLOOKUP(A14,Table1[[Item Purchased]:[Subscription Status]],8,FALSE)</f>
        <v>2.6</v>
      </c>
    </row>
    <row r="15" spans="1:2" x14ac:dyDescent="0.3">
      <c r="A15" s="6" t="s">
        <v>80</v>
      </c>
      <c r="B15">
        <f>VLOOKUP(A15,Table1[[Item Purchased]:[Subscription Status]],8,FALSE)</f>
        <v>4.7</v>
      </c>
    </row>
    <row r="16" spans="1:2" x14ac:dyDescent="0.3">
      <c r="A16" s="5" t="s">
        <v>61</v>
      </c>
      <c r="B16">
        <f>VLOOKUP(A16,Table1[[Item Purchased]:[Subscription Status]],8,FALSE)</f>
        <v>2.6</v>
      </c>
    </row>
    <row r="17" spans="1:2" x14ac:dyDescent="0.3">
      <c r="A17" s="6" t="s">
        <v>86</v>
      </c>
      <c r="B17">
        <f>VLOOKUP(A17,Table1[[Item Purchased]:[Subscription Status]],8,FALSE)</f>
        <v>2.8</v>
      </c>
    </row>
    <row r="18" spans="1:2" x14ac:dyDescent="0.3">
      <c r="A18" s="5" t="s">
        <v>88</v>
      </c>
      <c r="B18">
        <f>VLOOKUP(A18,Table1[[Item Purchased]:[Subscription Status]],8,FALSE)</f>
        <v>4.0999999999999996</v>
      </c>
    </row>
    <row r="19" spans="1:2" x14ac:dyDescent="0.3">
      <c r="A19" s="6" t="s">
        <v>80</v>
      </c>
      <c r="B19">
        <f>VLOOKUP(A19,Table1[[Item Purchased]:[Subscription Status]],8,FALSE)</f>
        <v>4.7</v>
      </c>
    </row>
    <row r="20" spans="1:2" x14ac:dyDescent="0.3">
      <c r="A20" s="5" t="s">
        <v>29</v>
      </c>
      <c r="B20">
        <f>VLOOKUP(A20,Table1[[Item Purchased]:[Subscription Status]],8,FALSE)</f>
        <v>3.1</v>
      </c>
    </row>
    <row r="21" spans="1:2" x14ac:dyDescent="0.3">
      <c r="A21" s="6" t="s">
        <v>94</v>
      </c>
      <c r="B21">
        <f>VLOOKUP(A21,Table1[[Item Purchased]:[Subscription Status]],8,FALSE)</f>
        <v>3.3</v>
      </c>
    </row>
    <row r="22" spans="1:2" x14ac:dyDescent="0.3">
      <c r="A22" s="5" t="s">
        <v>94</v>
      </c>
      <c r="B22">
        <f>VLOOKUP(A22,Table1[[Item Purchased]:[Subscription Status]],8,FALSE)</f>
        <v>3.3</v>
      </c>
    </row>
    <row r="23" spans="1:2" x14ac:dyDescent="0.3">
      <c r="A23" s="6" t="s">
        <v>94</v>
      </c>
      <c r="B23">
        <f>VLOOKUP(A23,Table1[[Item Purchased]:[Subscription Status]],8,FALSE)</f>
        <v>3.3</v>
      </c>
    </row>
    <row r="24" spans="1:2" x14ac:dyDescent="0.3">
      <c r="A24" s="5" t="s">
        <v>94</v>
      </c>
      <c r="B24">
        <f>VLOOKUP(A24,Table1[[Item Purchased]:[Subscription Status]],8,FALSE)</f>
        <v>3.3</v>
      </c>
    </row>
    <row r="25" spans="1:2" x14ac:dyDescent="0.3">
      <c r="A25" s="6" t="s">
        <v>94</v>
      </c>
      <c r="B25">
        <f>VLOOKUP(A25,Table1[[Item Purchased]:[Subscription Status]],8,FALSE)</f>
        <v>3.3</v>
      </c>
    </row>
    <row r="26" spans="1:2" x14ac:dyDescent="0.3">
      <c r="A26" s="5" t="s">
        <v>101</v>
      </c>
      <c r="B26">
        <f>VLOOKUP(A26,Table1[[Item Purchased]:[Subscription Status]],8,FALSE)</f>
        <v>2.9</v>
      </c>
    </row>
    <row r="27" spans="1:2" x14ac:dyDescent="0.3">
      <c r="A27" s="6" t="s">
        <v>103</v>
      </c>
      <c r="B27">
        <f>VLOOKUP(A27,Table1[[Item Purchased]:[Subscription Status]],8,FALSE)</f>
        <v>3.6</v>
      </c>
    </row>
    <row r="28" spans="1:2" x14ac:dyDescent="0.3">
      <c r="A28" s="5" t="s">
        <v>105</v>
      </c>
      <c r="B28">
        <f>VLOOKUP(A28,Table1[[Item Purchased]:[Subscription Status]],8,FALSE)</f>
        <v>3.6</v>
      </c>
    </row>
    <row r="29" spans="1:2" x14ac:dyDescent="0.3">
      <c r="A29" s="6" t="s">
        <v>58</v>
      </c>
      <c r="B29">
        <f>VLOOKUP(A29,Table1[[Item Purchased]:[Subscription Status]],8,FALSE)</f>
        <v>3.2</v>
      </c>
    </row>
    <row r="30" spans="1:2" x14ac:dyDescent="0.3">
      <c r="A30" s="5" t="s">
        <v>65</v>
      </c>
      <c r="B30">
        <f>VLOOKUP(A30,Table1[[Item Purchased]:[Subscription Status]],8,FALSE)</f>
        <v>4.8</v>
      </c>
    </row>
    <row r="31" spans="1:2" x14ac:dyDescent="0.3">
      <c r="A31" s="6" t="s">
        <v>80</v>
      </c>
      <c r="B31">
        <f>VLOOKUP(A31,Table1[[Item Purchased]:[Subscription Status]],8,FALSE)</f>
        <v>4.7</v>
      </c>
    </row>
    <row r="32" spans="1:2" x14ac:dyDescent="0.3">
      <c r="A32" s="5" t="s">
        <v>105</v>
      </c>
      <c r="B32">
        <f>VLOOKUP(A32,Table1[[Item Purchased]:[Subscription Status]],8,FALSE)</f>
        <v>3.6</v>
      </c>
    </row>
    <row r="33" spans="1:2" x14ac:dyDescent="0.3">
      <c r="A33" s="6" t="s">
        <v>80</v>
      </c>
      <c r="B33">
        <f>VLOOKUP(A33,Table1[[Item Purchased]:[Subscription Status]],8,FALSE)</f>
        <v>4.7</v>
      </c>
    </row>
    <row r="34" spans="1:2" x14ac:dyDescent="0.3">
      <c r="A34" s="5" t="s">
        <v>101</v>
      </c>
      <c r="B34">
        <f>VLOOKUP(A34,Table1[[Item Purchased]:[Subscription Status]],8,FALSE)</f>
        <v>2.9</v>
      </c>
    </row>
    <row r="35" spans="1:2" x14ac:dyDescent="0.3">
      <c r="A35" s="6" t="s">
        <v>94</v>
      </c>
      <c r="B35">
        <f>VLOOKUP(A35,Table1[[Item Purchased]:[Subscription Status]],8,FALSE)</f>
        <v>3.3</v>
      </c>
    </row>
    <row r="36" spans="1:2" x14ac:dyDescent="0.3">
      <c r="A36" s="5" t="s">
        <v>112</v>
      </c>
      <c r="B36">
        <f>VLOOKUP(A36,Table1[[Item Purchased]:[Subscription Status]],8,FALSE)</f>
        <v>4.5999999999999996</v>
      </c>
    </row>
    <row r="37" spans="1:2" x14ac:dyDescent="0.3">
      <c r="A37" s="6" t="s">
        <v>19</v>
      </c>
      <c r="B37">
        <f>VLOOKUP(A37,Table1[[Item Purchased]:[Subscription Status]],8,FALSE)</f>
        <v>3.1</v>
      </c>
    </row>
    <row r="38" spans="1:2" x14ac:dyDescent="0.3">
      <c r="A38" s="5" t="s">
        <v>112</v>
      </c>
      <c r="B38">
        <f>VLOOKUP(A38,Table1[[Item Purchased]:[Subscription Status]],8,FALSE)</f>
        <v>4.5999999999999996</v>
      </c>
    </row>
    <row r="39" spans="1:2" x14ac:dyDescent="0.3">
      <c r="A39" s="6" t="s">
        <v>33</v>
      </c>
      <c r="B39">
        <f>VLOOKUP(A39,Table1[[Item Purchased]:[Subscription Status]],8,FALSE)</f>
        <v>3.1</v>
      </c>
    </row>
    <row r="40" spans="1:2" x14ac:dyDescent="0.3">
      <c r="A40" s="5" t="s">
        <v>80</v>
      </c>
      <c r="B40">
        <f>VLOOKUP(A40,Table1[[Item Purchased]:[Subscription Status]],8,FALSE)</f>
        <v>4.7</v>
      </c>
    </row>
    <row r="41" spans="1:2" x14ac:dyDescent="0.3">
      <c r="A41" s="6" t="s">
        <v>94</v>
      </c>
      <c r="B41">
        <f>VLOOKUP(A41,Table1[[Item Purchased]:[Subscription Status]],8,FALSE)</f>
        <v>3.3</v>
      </c>
    </row>
    <row r="42" spans="1:2" x14ac:dyDescent="0.3">
      <c r="A42" s="5" t="s">
        <v>65</v>
      </c>
      <c r="B42">
        <f>VLOOKUP(A42,Table1[[Item Purchased]:[Subscription Status]],8,FALSE)</f>
        <v>4.8</v>
      </c>
    </row>
    <row r="43" spans="1:2" x14ac:dyDescent="0.3">
      <c r="A43" s="6" t="s">
        <v>118</v>
      </c>
      <c r="B43">
        <f>VLOOKUP(A43,Table1[[Item Purchased]:[Subscription Status]],8,FALSE)</f>
        <v>4.5</v>
      </c>
    </row>
    <row r="44" spans="1:2" x14ac:dyDescent="0.3">
      <c r="A44" s="5" t="s">
        <v>61</v>
      </c>
      <c r="B44">
        <f>VLOOKUP(A44,Table1[[Item Purchased]:[Subscription Status]],8,FALSE)</f>
        <v>2.6</v>
      </c>
    </row>
    <row r="45" spans="1:2" x14ac:dyDescent="0.3">
      <c r="A45" s="6" t="s">
        <v>118</v>
      </c>
      <c r="B45">
        <f>VLOOKUP(A45,Table1[[Item Purchased]:[Subscription Status]],8,FALSE)</f>
        <v>4.5</v>
      </c>
    </row>
    <row r="46" spans="1:2" x14ac:dyDescent="0.3">
      <c r="A46" s="5" t="s">
        <v>123</v>
      </c>
      <c r="B46">
        <f>VLOOKUP(A46,Table1[[Item Purchased]:[Subscription Status]],8,FALSE)</f>
        <v>4.5999999999999996</v>
      </c>
    </row>
    <row r="47" spans="1:2" x14ac:dyDescent="0.3">
      <c r="A47" s="6" t="s">
        <v>124</v>
      </c>
      <c r="B47">
        <f>VLOOKUP(A47,Table1[[Item Purchased]:[Subscription Status]],8,FALSE)</f>
        <v>2.9</v>
      </c>
    </row>
    <row r="48" spans="1:2" x14ac:dyDescent="0.3">
      <c r="A48" s="5" t="s">
        <v>54</v>
      </c>
      <c r="B48">
        <f>VLOOKUP(A48,Table1[[Item Purchased]:[Subscription Status]],8,FALSE)</f>
        <v>3.2</v>
      </c>
    </row>
    <row r="49" spans="1:2" x14ac:dyDescent="0.3">
      <c r="A49" s="6" t="s">
        <v>105</v>
      </c>
      <c r="B49">
        <f>VLOOKUP(A49,Table1[[Item Purchased]:[Subscription Status]],8,FALSE)</f>
        <v>3.6</v>
      </c>
    </row>
    <row r="50" spans="1:2" x14ac:dyDescent="0.3">
      <c r="A50" s="5" t="s">
        <v>54</v>
      </c>
      <c r="B50">
        <f>VLOOKUP(A50,Table1[[Item Purchased]:[Subscription Status]],8,FALSE)</f>
        <v>3.2</v>
      </c>
    </row>
    <row r="51" spans="1:2" x14ac:dyDescent="0.3">
      <c r="A51" s="6" t="s">
        <v>103</v>
      </c>
      <c r="B51">
        <f>VLOOKUP(A51,Table1[[Item Purchased]:[Subscription Status]],8,FALSE)</f>
        <v>3.6</v>
      </c>
    </row>
    <row r="52" spans="1:2" x14ac:dyDescent="0.3">
      <c r="A52" s="5" t="s">
        <v>19</v>
      </c>
      <c r="B52">
        <f>VLOOKUP(A52,Table1[[Item Purchased]:[Subscription Status]],8,FALSE)</f>
        <v>3.1</v>
      </c>
    </row>
    <row r="53" spans="1:2" x14ac:dyDescent="0.3">
      <c r="A53" s="6" t="s">
        <v>86</v>
      </c>
      <c r="B53">
        <f>VLOOKUP(A53,Table1[[Item Purchased]:[Subscription Status]],8,FALSE)</f>
        <v>2.8</v>
      </c>
    </row>
    <row r="54" spans="1:2" x14ac:dyDescent="0.3">
      <c r="A54" s="5" t="s">
        <v>112</v>
      </c>
      <c r="B54">
        <f>VLOOKUP(A54,Table1[[Item Purchased]:[Subscription Status]],8,FALSE)</f>
        <v>4.5999999999999996</v>
      </c>
    </row>
    <row r="55" spans="1:2" x14ac:dyDescent="0.3">
      <c r="A55" s="6" t="s">
        <v>86</v>
      </c>
      <c r="B55">
        <f>VLOOKUP(A55,Table1[[Item Purchased]:[Subscription Status]],8,FALSE)</f>
        <v>2.8</v>
      </c>
    </row>
    <row r="56" spans="1:2" x14ac:dyDescent="0.3">
      <c r="A56" s="5" t="s">
        <v>61</v>
      </c>
      <c r="B56">
        <f>VLOOKUP(A56,Table1[[Item Purchased]:[Subscription Status]],8,FALSE)</f>
        <v>2.6</v>
      </c>
    </row>
    <row r="57" spans="1:2" x14ac:dyDescent="0.3">
      <c r="A57" s="6" t="s">
        <v>101</v>
      </c>
      <c r="B57">
        <f>VLOOKUP(A57,Table1[[Item Purchased]:[Subscription Status]],8,FALSE)</f>
        <v>2.9</v>
      </c>
    </row>
    <row r="58" spans="1:2" x14ac:dyDescent="0.3">
      <c r="A58" s="5" t="s">
        <v>131</v>
      </c>
      <c r="B58">
        <f>VLOOKUP(A58,Table1[[Item Purchased]:[Subscription Status]],8,FALSE)</f>
        <v>4.7</v>
      </c>
    </row>
    <row r="59" spans="1:2" x14ac:dyDescent="0.3">
      <c r="A59" s="6" t="s">
        <v>61</v>
      </c>
      <c r="B59">
        <f>VLOOKUP(A59,Table1[[Item Purchased]:[Subscription Status]],8,FALSE)</f>
        <v>2.6</v>
      </c>
    </row>
    <row r="60" spans="1:2" x14ac:dyDescent="0.3">
      <c r="A60" s="5" t="s">
        <v>103</v>
      </c>
      <c r="B60">
        <f>VLOOKUP(A60,Table1[[Item Purchased]:[Subscription Status]],8,FALSE)</f>
        <v>3.6</v>
      </c>
    </row>
    <row r="61" spans="1:2" x14ac:dyDescent="0.3">
      <c r="A61" s="6" t="s">
        <v>132</v>
      </c>
      <c r="B61">
        <f>VLOOKUP(A61,Table1[[Item Purchased]:[Subscription Status]],8,FALSE)</f>
        <v>4.5999999999999996</v>
      </c>
    </row>
    <row r="62" spans="1:2" x14ac:dyDescent="0.3">
      <c r="A62" s="5" t="s">
        <v>29</v>
      </c>
      <c r="B62">
        <f>VLOOKUP(A62,Table1[[Item Purchased]:[Subscription Status]],8,FALSE)</f>
        <v>3.1</v>
      </c>
    </row>
    <row r="63" spans="1:2" x14ac:dyDescent="0.3">
      <c r="A63" s="6" t="s">
        <v>118</v>
      </c>
      <c r="B63">
        <f>VLOOKUP(A63,Table1[[Item Purchased]:[Subscription Status]],8,FALSE)</f>
        <v>4.5</v>
      </c>
    </row>
    <row r="64" spans="1:2" x14ac:dyDescent="0.3">
      <c r="A64" s="5" t="s">
        <v>49</v>
      </c>
      <c r="B64">
        <f>VLOOKUP(A64,Table1[[Item Purchased]:[Subscription Status]],8,FALSE)</f>
        <v>2.9</v>
      </c>
    </row>
    <row r="65" spans="1:2" x14ac:dyDescent="0.3">
      <c r="A65" s="6" t="s">
        <v>88</v>
      </c>
      <c r="B65">
        <f>VLOOKUP(A65,Table1[[Item Purchased]:[Subscription Status]],8,FALSE)</f>
        <v>4.0999999999999996</v>
      </c>
    </row>
    <row r="66" spans="1:2" x14ac:dyDescent="0.3">
      <c r="A66" s="5" t="s">
        <v>136</v>
      </c>
      <c r="B66">
        <f>VLOOKUP(A66,Table1[[Item Purchased]:[Subscription Status]],8,FALSE)</f>
        <v>4.8</v>
      </c>
    </row>
    <row r="67" spans="1:2" x14ac:dyDescent="0.3">
      <c r="A67" s="6" t="s">
        <v>131</v>
      </c>
      <c r="B67">
        <f>VLOOKUP(A67,Table1[[Item Purchased]:[Subscription Status]],8,FALSE)</f>
        <v>4.7</v>
      </c>
    </row>
    <row r="68" spans="1:2" x14ac:dyDescent="0.3">
      <c r="A68" s="5" t="s">
        <v>19</v>
      </c>
      <c r="B68">
        <f>VLOOKUP(A68,Table1[[Item Purchased]:[Subscription Status]],8,FALSE)</f>
        <v>3.1</v>
      </c>
    </row>
    <row r="69" spans="1:2" x14ac:dyDescent="0.3">
      <c r="A69" s="6" t="s">
        <v>61</v>
      </c>
      <c r="B69">
        <f>VLOOKUP(A69,Table1[[Item Purchased]:[Subscription Status]],8,FALSE)</f>
        <v>2.6</v>
      </c>
    </row>
    <row r="70" spans="1:2" x14ac:dyDescent="0.3">
      <c r="A70" s="5" t="s">
        <v>65</v>
      </c>
      <c r="B70">
        <f>VLOOKUP(A70,Table1[[Item Purchased]:[Subscription Status]],8,FALSE)</f>
        <v>4.8</v>
      </c>
    </row>
    <row r="71" spans="1:2" x14ac:dyDescent="0.3">
      <c r="A71" s="6" t="s">
        <v>132</v>
      </c>
      <c r="B71">
        <f>VLOOKUP(A71,Table1[[Item Purchased]:[Subscription Status]],8,FALSE)</f>
        <v>4.5999999999999996</v>
      </c>
    </row>
    <row r="72" spans="1:2" x14ac:dyDescent="0.3">
      <c r="A72" s="5" t="s">
        <v>132</v>
      </c>
      <c r="B72">
        <f>VLOOKUP(A72,Table1[[Item Purchased]:[Subscription Status]],8,FALSE)</f>
        <v>4.5999999999999996</v>
      </c>
    </row>
    <row r="73" spans="1:2" x14ac:dyDescent="0.3">
      <c r="A73" s="6" t="s">
        <v>80</v>
      </c>
      <c r="B73">
        <f>VLOOKUP(A73,Table1[[Item Purchased]:[Subscription Status]],8,FALSE)</f>
        <v>4.7</v>
      </c>
    </row>
    <row r="74" spans="1:2" x14ac:dyDescent="0.3">
      <c r="A74" s="5" t="s">
        <v>80</v>
      </c>
      <c r="B74">
        <f>VLOOKUP(A74,Table1[[Item Purchased]:[Subscription Status]],8,FALSE)</f>
        <v>4.7</v>
      </c>
    </row>
    <row r="75" spans="1:2" x14ac:dyDescent="0.3">
      <c r="A75" s="6" t="s">
        <v>94</v>
      </c>
      <c r="B75">
        <f>VLOOKUP(A75,Table1[[Item Purchased]:[Subscription Status]],8,FALSE)</f>
        <v>3.3</v>
      </c>
    </row>
    <row r="76" spans="1:2" x14ac:dyDescent="0.3">
      <c r="A76" s="5" t="s">
        <v>142</v>
      </c>
      <c r="B76">
        <f>VLOOKUP(A76,Table1[[Item Purchased]:[Subscription Status]],8,FALSE)</f>
        <v>4.5</v>
      </c>
    </row>
    <row r="77" spans="1:2" x14ac:dyDescent="0.3">
      <c r="A77" s="6" t="s">
        <v>118</v>
      </c>
      <c r="B77">
        <f>VLOOKUP(A77,Table1[[Item Purchased]:[Subscription Status]],8,FALSE)</f>
        <v>4.5</v>
      </c>
    </row>
    <row r="78" spans="1:2" x14ac:dyDescent="0.3">
      <c r="A78" s="5" t="s">
        <v>123</v>
      </c>
      <c r="B78">
        <f>VLOOKUP(A78,Table1[[Item Purchased]:[Subscription Status]],8,FALSE)</f>
        <v>4.5999999999999996</v>
      </c>
    </row>
    <row r="79" spans="1:2" x14ac:dyDescent="0.3">
      <c r="A79" s="6" t="s">
        <v>80</v>
      </c>
      <c r="B79">
        <f>VLOOKUP(A79,Table1[[Item Purchased]:[Subscription Status]],8,FALSE)</f>
        <v>4.7</v>
      </c>
    </row>
    <row r="80" spans="1:2" x14ac:dyDescent="0.3">
      <c r="A80" s="5" t="s">
        <v>86</v>
      </c>
      <c r="B80">
        <f>VLOOKUP(A80,Table1[[Item Purchased]:[Subscription Status]],8,FALSE)</f>
        <v>2.8</v>
      </c>
    </row>
    <row r="81" spans="1:2" x14ac:dyDescent="0.3">
      <c r="A81" s="6" t="s">
        <v>101</v>
      </c>
      <c r="B81">
        <f>VLOOKUP(A81,Table1[[Item Purchased]:[Subscription Status]],8,FALSE)</f>
        <v>2.9</v>
      </c>
    </row>
    <row r="82" spans="1:2" x14ac:dyDescent="0.3">
      <c r="A82" s="5" t="s">
        <v>40</v>
      </c>
      <c r="B82">
        <f>VLOOKUP(A82,Table1[[Item Purchased]:[Subscription Status]],8,FALSE)</f>
        <v>3.5</v>
      </c>
    </row>
    <row r="83" spans="1:2" x14ac:dyDescent="0.3">
      <c r="A83" s="6" t="s">
        <v>70</v>
      </c>
      <c r="B83">
        <f>VLOOKUP(A83,Table1[[Item Purchased]:[Subscription Status]],8,FALSE)</f>
        <v>4.0999999999999996</v>
      </c>
    </row>
    <row r="84" spans="1:2" x14ac:dyDescent="0.3">
      <c r="A84" s="5" t="s">
        <v>94</v>
      </c>
      <c r="B84">
        <f>VLOOKUP(A84,Table1[[Item Purchased]:[Subscription Status]],8,FALSE)</f>
        <v>3.3</v>
      </c>
    </row>
    <row r="85" spans="1:2" x14ac:dyDescent="0.3">
      <c r="A85" s="6" t="s">
        <v>80</v>
      </c>
      <c r="B85">
        <f>VLOOKUP(A85,Table1[[Item Purchased]:[Subscription Status]],8,FALSE)</f>
        <v>4.7</v>
      </c>
    </row>
    <row r="86" spans="1:2" x14ac:dyDescent="0.3">
      <c r="A86" s="5" t="s">
        <v>61</v>
      </c>
      <c r="B86">
        <f>VLOOKUP(A86,Table1[[Item Purchased]:[Subscription Status]],8,FALSE)</f>
        <v>2.6</v>
      </c>
    </row>
    <row r="87" spans="1:2" x14ac:dyDescent="0.3">
      <c r="A87" s="6" t="s">
        <v>88</v>
      </c>
      <c r="B87">
        <f>VLOOKUP(A87,Table1[[Item Purchased]:[Subscription Status]],8,FALSE)</f>
        <v>4.0999999999999996</v>
      </c>
    </row>
    <row r="88" spans="1:2" x14ac:dyDescent="0.3">
      <c r="A88" s="5" t="s">
        <v>103</v>
      </c>
      <c r="B88">
        <f>VLOOKUP(A88,Table1[[Item Purchased]:[Subscription Status]],8,FALSE)</f>
        <v>3.6</v>
      </c>
    </row>
    <row r="89" spans="1:2" x14ac:dyDescent="0.3">
      <c r="A89" s="6" t="s">
        <v>70</v>
      </c>
      <c r="B89">
        <f>VLOOKUP(A89,Table1[[Item Purchased]:[Subscription Status]],8,FALSE)</f>
        <v>4.0999999999999996</v>
      </c>
    </row>
    <row r="90" spans="1:2" x14ac:dyDescent="0.3">
      <c r="A90" s="5" t="s">
        <v>112</v>
      </c>
      <c r="B90">
        <f>VLOOKUP(A90,Table1[[Item Purchased]:[Subscription Status]],8,FALSE)</f>
        <v>4.5999999999999996</v>
      </c>
    </row>
    <row r="91" spans="1:2" x14ac:dyDescent="0.3">
      <c r="A91" s="6" t="s">
        <v>101</v>
      </c>
      <c r="B91">
        <f>VLOOKUP(A91,Table1[[Item Purchased]:[Subscription Status]],8,FALSE)</f>
        <v>2.9</v>
      </c>
    </row>
    <row r="92" spans="1:2" x14ac:dyDescent="0.3">
      <c r="A92" s="5" t="s">
        <v>123</v>
      </c>
      <c r="B92">
        <f>VLOOKUP(A92,Table1[[Item Purchased]:[Subscription Status]],8,FALSE)</f>
        <v>4.5999999999999996</v>
      </c>
    </row>
    <row r="93" spans="1:2" x14ac:dyDescent="0.3">
      <c r="A93" s="6" t="s">
        <v>118</v>
      </c>
      <c r="B93">
        <f>VLOOKUP(A93,Table1[[Item Purchased]:[Subscription Status]],8,FALSE)</f>
        <v>4.5</v>
      </c>
    </row>
    <row r="94" spans="1:2" x14ac:dyDescent="0.3">
      <c r="A94" s="5" t="s">
        <v>101</v>
      </c>
      <c r="B94">
        <f>VLOOKUP(A94,Table1[[Item Purchased]:[Subscription Status]],8,FALSE)</f>
        <v>2.9</v>
      </c>
    </row>
    <row r="95" spans="1:2" x14ac:dyDescent="0.3">
      <c r="A95" s="6" t="s">
        <v>29</v>
      </c>
      <c r="B95">
        <f>VLOOKUP(A95,Table1[[Item Purchased]:[Subscription Status]],8,FALSE)</f>
        <v>3.1</v>
      </c>
    </row>
    <row r="96" spans="1:2" x14ac:dyDescent="0.3">
      <c r="A96" s="5" t="s">
        <v>86</v>
      </c>
      <c r="B96">
        <f>VLOOKUP(A96,Table1[[Item Purchased]:[Subscription Status]],8,FALSE)</f>
        <v>2.8</v>
      </c>
    </row>
    <row r="97" spans="1:2" x14ac:dyDescent="0.3">
      <c r="A97" s="6" t="s">
        <v>49</v>
      </c>
      <c r="B97">
        <f>VLOOKUP(A97,Table1[[Item Purchased]:[Subscription Status]],8,FALSE)</f>
        <v>2.9</v>
      </c>
    </row>
    <row r="98" spans="1:2" x14ac:dyDescent="0.3">
      <c r="A98" s="5" t="s">
        <v>142</v>
      </c>
      <c r="B98">
        <f>VLOOKUP(A98,Table1[[Item Purchased]:[Subscription Status]],8,FALSE)</f>
        <v>4.5</v>
      </c>
    </row>
    <row r="99" spans="1:2" x14ac:dyDescent="0.3">
      <c r="A99" s="6" t="s">
        <v>70</v>
      </c>
      <c r="B99">
        <f>VLOOKUP(A99,Table1[[Item Purchased]:[Subscription Status]],8,FALSE)</f>
        <v>4.0999999999999996</v>
      </c>
    </row>
    <row r="100" spans="1:2" x14ac:dyDescent="0.3">
      <c r="A100" s="5" t="s">
        <v>33</v>
      </c>
      <c r="B100">
        <f>VLOOKUP(A100,Table1[[Item Purchased]:[Subscription Status]],8,FALSE)</f>
        <v>3.1</v>
      </c>
    </row>
    <row r="101" spans="1:2" x14ac:dyDescent="0.3">
      <c r="A101" s="6" t="s">
        <v>103</v>
      </c>
      <c r="B101">
        <f>VLOOKUP(A101,Table1[[Item Purchased]:[Subscription Status]],8,FALSE)</f>
        <v>3.6</v>
      </c>
    </row>
    <row r="102" spans="1:2" x14ac:dyDescent="0.3">
      <c r="A102" s="5" t="s">
        <v>88</v>
      </c>
      <c r="B102">
        <f>VLOOKUP(A102,Table1[[Item Purchased]:[Subscription Status]],8,FALSE)</f>
        <v>4.0999999999999996</v>
      </c>
    </row>
    <row r="103" spans="1:2" x14ac:dyDescent="0.3">
      <c r="A103" s="6" t="s">
        <v>61</v>
      </c>
      <c r="B103">
        <f>VLOOKUP(A103,Table1[[Item Purchased]:[Subscription Status]],8,FALSE)</f>
        <v>2.6</v>
      </c>
    </row>
    <row r="104" spans="1:2" x14ac:dyDescent="0.3">
      <c r="A104" s="5" t="s">
        <v>124</v>
      </c>
      <c r="B104">
        <f>VLOOKUP(A104,Table1[[Item Purchased]:[Subscription Status]],8,FALSE)</f>
        <v>2.9</v>
      </c>
    </row>
    <row r="105" spans="1:2" x14ac:dyDescent="0.3">
      <c r="A105" s="6" t="s">
        <v>136</v>
      </c>
      <c r="B105">
        <f>VLOOKUP(A105,Table1[[Item Purchased]:[Subscription Status]],8,FALSE)</f>
        <v>4.8</v>
      </c>
    </row>
    <row r="106" spans="1:2" x14ac:dyDescent="0.3">
      <c r="A106" s="5" t="s">
        <v>88</v>
      </c>
      <c r="B106">
        <f>VLOOKUP(A106,Table1[[Item Purchased]:[Subscription Status]],8,FALSE)</f>
        <v>4.0999999999999996</v>
      </c>
    </row>
    <row r="107" spans="1:2" x14ac:dyDescent="0.3">
      <c r="A107" s="6" t="s">
        <v>131</v>
      </c>
      <c r="B107">
        <f>VLOOKUP(A107,Table1[[Item Purchased]:[Subscription Status]],8,FALSE)</f>
        <v>4.7</v>
      </c>
    </row>
    <row r="108" spans="1:2" x14ac:dyDescent="0.3">
      <c r="A108" s="5" t="s">
        <v>101</v>
      </c>
      <c r="B108">
        <f>VLOOKUP(A108,Table1[[Item Purchased]:[Subscription Status]],8,FALSE)</f>
        <v>2.9</v>
      </c>
    </row>
    <row r="109" spans="1:2" x14ac:dyDescent="0.3">
      <c r="A109" s="6" t="s">
        <v>49</v>
      </c>
      <c r="B109">
        <f>VLOOKUP(A109,Table1[[Item Purchased]:[Subscription Status]],8,FALSE)</f>
        <v>2.9</v>
      </c>
    </row>
    <row r="110" spans="1:2" x14ac:dyDescent="0.3">
      <c r="A110" s="5" t="s">
        <v>124</v>
      </c>
      <c r="B110">
        <f>VLOOKUP(A110,Table1[[Item Purchased]:[Subscription Status]],8,FALSE)</f>
        <v>2.9</v>
      </c>
    </row>
    <row r="111" spans="1:2" x14ac:dyDescent="0.3">
      <c r="A111" s="6" t="s">
        <v>112</v>
      </c>
      <c r="B111">
        <f>VLOOKUP(A111,Table1[[Item Purchased]:[Subscription Status]],8,FALSE)</f>
        <v>4.5999999999999996</v>
      </c>
    </row>
    <row r="112" spans="1:2" x14ac:dyDescent="0.3">
      <c r="A112" s="5" t="s">
        <v>131</v>
      </c>
      <c r="B112">
        <f>VLOOKUP(A112,Table1[[Item Purchased]:[Subscription Status]],8,FALSE)</f>
        <v>4.7</v>
      </c>
    </row>
    <row r="113" spans="1:2" x14ac:dyDescent="0.3">
      <c r="A113" s="6" t="s">
        <v>132</v>
      </c>
      <c r="B113">
        <f>VLOOKUP(A113,Table1[[Item Purchased]:[Subscription Status]],8,FALSE)</f>
        <v>4.5999999999999996</v>
      </c>
    </row>
    <row r="114" spans="1:2" x14ac:dyDescent="0.3">
      <c r="A114" s="5" t="s">
        <v>142</v>
      </c>
      <c r="B114">
        <f>VLOOKUP(A114,Table1[[Item Purchased]:[Subscription Status]],8,FALSE)</f>
        <v>4.5</v>
      </c>
    </row>
    <row r="115" spans="1:2" x14ac:dyDescent="0.3">
      <c r="A115" s="6" t="s">
        <v>123</v>
      </c>
      <c r="B115">
        <f>VLOOKUP(A115,Table1[[Item Purchased]:[Subscription Status]],8,FALSE)</f>
        <v>4.5999999999999996</v>
      </c>
    </row>
    <row r="116" spans="1:2" x14ac:dyDescent="0.3">
      <c r="A116" s="5" t="s">
        <v>61</v>
      </c>
      <c r="B116">
        <f>VLOOKUP(A116,Table1[[Item Purchased]:[Subscription Status]],8,FALSE)</f>
        <v>2.6</v>
      </c>
    </row>
    <row r="117" spans="1:2" x14ac:dyDescent="0.3">
      <c r="A117" s="6" t="s">
        <v>86</v>
      </c>
      <c r="B117">
        <f>VLOOKUP(A117,Table1[[Item Purchased]:[Subscription Status]],8,FALSE)</f>
        <v>2.8</v>
      </c>
    </row>
    <row r="118" spans="1:2" x14ac:dyDescent="0.3">
      <c r="A118" s="5" t="s">
        <v>70</v>
      </c>
      <c r="B118">
        <f>VLOOKUP(A118,Table1[[Item Purchased]:[Subscription Status]],8,FALSE)</f>
        <v>4.0999999999999996</v>
      </c>
    </row>
    <row r="119" spans="1:2" x14ac:dyDescent="0.3">
      <c r="A119" s="6" t="s">
        <v>40</v>
      </c>
      <c r="B119">
        <f>VLOOKUP(A119,Table1[[Item Purchased]:[Subscription Status]],8,FALSE)</f>
        <v>3.5</v>
      </c>
    </row>
    <row r="120" spans="1:2" x14ac:dyDescent="0.3">
      <c r="A120" s="5" t="s">
        <v>29</v>
      </c>
      <c r="B120">
        <f>VLOOKUP(A120,Table1[[Item Purchased]:[Subscription Status]],8,FALSE)</f>
        <v>3.1</v>
      </c>
    </row>
    <row r="121" spans="1:2" x14ac:dyDescent="0.3">
      <c r="A121" s="6" t="s">
        <v>61</v>
      </c>
      <c r="B121">
        <f>VLOOKUP(A121,Table1[[Item Purchased]:[Subscription Status]],8,FALSE)</f>
        <v>2.6</v>
      </c>
    </row>
    <row r="122" spans="1:2" x14ac:dyDescent="0.3">
      <c r="A122" s="5" t="s">
        <v>123</v>
      </c>
      <c r="B122">
        <f>VLOOKUP(A122,Table1[[Item Purchased]:[Subscription Status]],8,FALSE)</f>
        <v>4.5999999999999996</v>
      </c>
    </row>
    <row r="123" spans="1:2" x14ac:dyDescent="0.3">
      <c r="A123" s="6" t="s">
        <v>58</v>
      </c>
      <c r="B123">
        <f>VLOOKUP(A123,Table1[[Item Purchased]:[Subscription Status]],8,FALSE)</f>
        <v>3.2</v>
      </c>
    </row>
    <row r="124" spans="1:2" x14ac:dyDescent="0.3">
      <c r="A124" s="5" t="s">
        <v>131</v>
      </c>
      <c r="B124">
        <f>VLOOKUP(A124,Table1[[Item Purchased]:[Subscription Status]],8,FALSE)</f>
        <v>4.7</v>
      </c>
    </row>
    <row r="125" spans="1:2" x14ac:dyDescent="0.3">
      <c r="A125" s="6" t="s">
        <v>29</v>
      </c>
      <c r="B125">
        <f>VLOOKUP(A125,Table1[[Item Purchased]:[Subscription Status]],8,FALSE)</f>
        <v>3.1</v>
      </c>
    </row>
    <row r="126" spans="1:2" x14ac:dyDescent="0.3">
      <c r="A126" s="5" t="s">
        <v>29</v>
      </c>
      <c r="B126">
        <f>VLOOKUP(A126,Table1[[Item Purchased]:[Subscription Status]],8,FALSE)</f>
        <v>3.1</v>
      </c>
    </row>
    <row r="127" spans="1:2" x14ac:dyDescent="0.3">
      <c r="A127" s="6" t="s">
        <v>58</v>
      </c>
      <c r="B127">
        <f>VLOOKUP(A127,Table1[[Item Purchased]:[Subscription Status]],8,FALSE)</f>
        <v>3.2</v>
      </c>
    </row>
    <row r="128" spans="1:2" x14ac:dyDescent="0.3">
      <c r="A128" s="5" t="s">
        <v>58</v>
      </c>
      <c r="B128">
        <f>VLOOKUP(A128,Table1[[Item Purchased]:[Subscription Status]],8,FALSE)</f>
        <v>3.2</v>
      </c>
    </row>
    <row r="129" spans="1:2" x14ac:dyDescent="0.3">
      <c r="A129" s="6" t="s">
        <v>29</v>
      </c>
      <c r="B129">
        <f>VLOOKUP(A129,Table1[[Item Purchased]:[Subscription Status]],8,FALSE)</f>
        <v>3.1</v>
      </c>
    </row>
    <row r="130" spans="1:2" x14ac:dyDescent="0.3">
      <c r="A130" s="5" t="s">
        <v>118</v>
      </c>
      <c r="B130">
        <f>VLOOKUP(A130,Table1[[Item Purchased]:[Subscription Status]],8,FALSE)</f>
        <v>4.5</v>
      </c>
    </row>
    <row r="131" spans="1:2" x14ac:dyDescent="0.3">
      <c r="A131" s="6" t="s">
        <v>80</v>
      </c>
      <c r="B131">
        <f>VLOOKUP(A131,Table1[[Item Purchased]:[Subscription Status]],8,FALSE)</f>
        <v>4.7</v>
      </c>
    </row>
    <row r="132" spans="1:2" x14ac:dyDescent="0.3">
      <c r="A132" s="5" t="s">
        <v>118</v>
      </c>
      <c r="B132">
        <f>VLOOKUP(A132,Table1[[Item Purchased]:[Subscription Status]],8,FALSE)</f>
        <v>4.5</v>
      </c>
    </row>
    <row r="133" spans="1:2" x14ac:dyDescent="0.3">
      <c r="A133" s="6" t="s">
        <v>86</v>
      </c>
      <c r="B133">
        <f>VLOOKUP(A133,Table1[[Item Purchased]:[Subscription Status]],8,FALSE)</f>
        <v>2.8</v>
      </c>
    </row>
    <row r="134" spans="1:2" x14ac:dyDescent="0.3">
      <c r="A134" s="5" t="s">
        <v>131</v>
      </c>
      <c r="B134">
        <f>VLOOKUP(A134,Table1[[Item Purchased]:[Subscription Status]],8,FALSE)</f>
        <v>4.7</v>
      </c>
    </row>
    <row r="135" spans="1:2" x14ac:dyDescent="0.3">
      <c r="A135" s="6" t="s">
        <v>29</v>
      </c>
      <c r="B135">
        <f>VLOOKUP(A135,Table1[[Item Purchased]:[Subscription Status]],8,FALSE)</f>
        <v>3.1</v>
      </c>
    </row>
    <row r="136" spans="1:2" x14ac:dyDescent="0.3">
      <c r="A136" s="5" t="s">
        <v>123</v>
      </c>
      <c r="B136">
        <f>VLOOKUP(A136,Table1[[Item Purchased]:[Subscription Status]],8,FALSE)</f>
        <v>4.5999999999999996</v>
      </c>
    </row>
    <row r="137" spans="1:2" x14ac:dyDescent="0.3">
      <c r="A137" s="6" t="s">
        <v>40</v>
      </c>
      <c r="B137">
        <f>VLOOKUP(A137,Table1[[Item Purchased]:[Subscription Status]],8,FALSE)</f>
        <v>3.5</v>
      </c>
    </row>
    <row r="138" spans="1:2" x14ac:dyDescent="0.3">
      <c r="A138" s="5" t="s">
        <v>19</v>
      </c>
      <c r="B138">
        <f>VLOOKUP(A138,Table1[[Item Purchased]:[Subscription Status]],8,FALSE)</f>
        <v>3.1</v>
      </c>
    </row>
    <row r="139" spans="1:2" x14ac:dyDescent="0.3">
      <c r="A139" s="6" t="s">
        <v>49</v>
      </c>
      <c r="B139">
        <f>VLOOKUP(A139,Table1[[Item Purchased]:[Subscription Status]],8,FALSE)</f>
        <v>2.9</v>
      </c>
    </row>
    <row r="140" spans="1:2" x14ac:dyDescent="0.3">
      <c r="A140" s="5" t="s">
        <v>86</v>
      </c>
      <c r="B140">
        <f>VLOOKUP(A140,Table1[[Item Purchased]:[Subscription Status]],8,FALSE)</f>
        <v>2.8</v>
      </c>
    </row>
    <row r="141" spans="1:2" x14ac:dyDescent="0.3">
      <c r="A141" s="6" t="s">
        <v>61</v>
      </c>
      <c r="B141">
        <f>VLOOKUP(A141,Table1[[Item Purchased]:[Subscription Status]],8,FALSE)</f>
        <v>2.6</v>
      </c>
    </row>
    <row r="142" spans="1:2" x14ac:dyDescent="0.3">
      <c r="A142" s="5" t="s">
        <v>54</v>
      </c>
      <c r="B142">
        <f>VLOOKUP(A142,Table1[[Item Purchased]:[Subscription Status]],8,FALSE)</f>
        <v>3.2</v>
      </c>
    </row>
    <row r="143" spans="1:2" x14ac:dyDescent="0.3">
      <c r="A143" s="6" t="s">
        <v>142</v>
      </c>
      <c r="B143">
        <f>VLOOKUP(A143,Table1[[Item Purchased]:[Subscription Status]],8,FALSE)</f>
        <v>4.5</v>
      </c>
    </row>
    <row r="144" spans="1:2" x14ac:dyDescent="0.3">
      <c r="A144" s="5" t="s">
        <v>101</v>
      </c>
      <c r="B144">
        <f>VLOOKUP(A144,Table1[[Item Purchased]:[Subscription Status]],8,FALSE)</f>
        <v>2.9</v>
      </c>
    </row>
    <row r="145" spans="1:2" x14ac:dyDescent="0.3">
      <c r="A145" s="6" t="s">
        <v>61</v>
      </c>
      <c r="B145">
        <f>VLOOKUP(A145,Table1[[Item Purchased]:[Subscription Status]],8,FALSE)</f>
        <v>2.6</v>
      </c>
    </row>
    <row r="146" spans="1:2" x14ac:dyDescent="0.3">
      <c r="A146" s="5" t="s">
        <v>70</v>
      </c>
      <c r="B146">
        <f>VLOOKUP(A146,Table1[[Item Purchased]:[Subscription Status]],8,FALSE)</f>
        <v>4.0999999999999996</v>
      </c>
    </row>
    <row r="147" spans="1:2" x14ac:dyDescent="0.3">
      <c r="A147" s="6" t="s">
        <v>105</v>
      </c>
      <c r="B147">
        <f>VLOOKUP(A147,Table1[[Item Purchased]:[Subscription Status]],8,FALSE)</f>
        <v>3.6</v>
      </c>
    </row>
    <row r="148" spans="1:2" x14ac:dyDescent="0.3">
      <c r="A148" s="5" t="s">
        <v>86</v>
      </c>
      <c r="B148">
        <f>VLOOKUP(A148,Table1[[Item Purchased]:[Subscription Status]],8,FALSE)</f>
        <v>2.8</v>
      </c>
    </row>
    <row r="149" spans="1:2" x14ac:dyDescent="0.3">
      <c r="A149" s="6" t="s">
        <v>70</v>
      </c>
      <c r="B149">
        <f>VLOOKUP(A149,Table1[[Item Purchased]:[Subscription Status]],8,FALSE)</f>
        <v>4.0999999999999996</v>
      </c>
    </row>
    <row r="150" spans="1:2" x14ac:dyDescent="0.3">
      <c r="A150" s="5" t="s">
        <v>142</v>
      </c>
      <c r="B150">
        <f>VLOOKUP(A150,Table1[[Item Purchased]:[Subscription Status]],8,FALSE)</f>
        <v>4.5</v>
      </c>
    </row>
    <row r="151" spans="1:2" x14ac:dyDescent="0.3">
      <c r="A151" s="6" t="s">
        <v>94</v>
      </c>
      <c r="B151">
        <f>VLOOKUP(A151,Table1[[Item Purchased]:[Subscription Status]],8,FALSE)</f>
        <v>3.3</v>
      </c>
    </row>
    <row r="152" spans="1:2" x14ac:dyDescent="0.3">
      <c r="A152" s="5" t="s">
        <v>136</v>
      </c>
      <c r="B152">
        <f>VLOOKUP(A152,Table1[[Item Purchased]:[Subscription Status]],8,FALSE)</f>
        <v>4.8</v>
      </c>
    </row>
    <row r="153" spans="1:2" x14ac:dyDescent="0.3">
      <c r="A153" s="6" t="s">
        <v>88</v>
      </c>
      <c r="B153">
        <f>VLOOKUP(A153,Table1[[Item Purchased]:[Subscription Status]],8,FALSE)</f>
        <v>4.0999999999999996</v>
      </c>
    </row>
    <row r="154" spans="1:2" x14ac:dyDescent="0.3">
      <c r="A154" s="5" t="s">
        <v>54</v>
      </c>
      <c r="B154">
        <f>VLOOKUP(A154,Table1[[Item Purchased]:[Subscription Status]],8,FALSE)</f>
        <v>3.2</v>
      </c>
    </row>
    <row r="155" spans="1:2" x14ac:dyDescent="0.3">
      <c r="A155" s="6" t="s">
        <v>103</v>
      </c>
      <c r="B155">
        <f>VLOOKUP(A155,Table1[[Item Purchased]:[Subscription Status]],8,FALSE)</f>
        <v>3.6</v>
      </c>
    </row>
    <row r="156" spans="1:2" x14ac:dyDescent="0.3">
      <c r="A156" s="5" t="s">
        <v>80</v>
      </c>
      <c r="B156">
        <f>VLOOKUP(A156,Table1[[Item Purchased]:[Subscription Status]],8,FALSE)</f>
        <v>4.7</v>
      </c>
    </row>
    <row r="157" spans="1:2" x14ac:dyDescent="0.3">
      <c r="A157" s="6" t="s">
        <v>124</v>
      </c>
      <c r="B157">
        <f>VLOOKUP(A157,Table1[[Item Purchased]:[Subscription Status]],8,FALSE)</f>
        <v>2.9</v>
      </c>
    </row>
    <row r="158" spans="1:2" x14ac:dyDescent="0.3">
      <c r="A158" s="5" t="s">
        <v>58</v>
      </c>
      <c r="B158">
        <f>VLOOKUP(A158,Table1[[Item Purchased]:[Subscription Status]],8,FALSE)</f>
        <v>3.2</v>
      </c>
    </row>
    <row r="159" spans="1:2" x14ac:dyDescent="0.3">
      <c r="A159" s="6" t="s">
        <v>123</v>
      </c>
      <c r="B159">
        <f>VLOOKUP(A159,Table1[[Item Purchased]:[Subscription Status]],8,FALSE)</f>
        <v>4.5999999999999996</v>
      </c>
    </row>
    <row r="160" spans="1:2" x14ac:dyDescent="0.3">
      <c r="A160" s="5" t="s">
        <v>54</v>
      </c>
      <c r="B160">
        <f>VLOOKUP(A160,Table1[[Item Purchased]:[Subscription Status]],8,FALSE)</f>
        <v>3.2</v>
      </c>
    </row>
    <row r="161" spans="1:2" x14ac:dyDescent="0.3">
      <c r="A161" s="6" t="s">
        <v>142</v>
      </c>
      <c r="B161">
        <f>VLOOKUP(A161,Table1[[Item Purchased]:[Subscription Status]],8,FALSE)</f>
        <v>4.5</v>
      </c>
    </row>
    <row r="162" spans="1:2" x14ac:dyDescent="0.3">
      <c r="A162" s="5" t="s">
        <v>142</v>
      </c>
      <c r="B162">
        <f>VLOOKUP(A162,Table1[[Item Purchased]:[Subscription Status]],8,FALSE)</f>
        <v>4.5</v>
      </c>
    </row>
    <row r="163" spans="1:2" x14ac:dyDescent="0.3">
      <c r="A163" s="6" t="s">
        <v>131</v>
      </c>
      <c r="B163">
        <f>VLOOKUP(A163,Table1[[Item Purchased]:[Subscription Status]],8,FALSE)</f>
        <v>4.7</v>
      </c>
    </row>
    <row r="164" spans="1:2" x14ac:dyDescent="0.3">
      <c r="A164" s="5" t="s">
        <v>88</v>
      </c>
      <c r="B164">
        <f>VLOOKUP(A164,Table1[[Item Purchased]:[Subscription Status]],8,FALSE)</f>
        <v>4.0999999999999996</v>
      </c>
    </row>
    <row r="165" spans="1:2" x14ac:dyDescent="0.3">
      <c r="A165" s="6" t="s">
        <v>86</v>
      </c>
      <c r="B165">
        <f>VLOOKUP(A165,Table1[[Item Purchased]:[Subscription Status]],8,FALSE)</f>
        <v>2.8</v>
      </c>
    </row>
    <row r="166" spans="1:2" x14ac:dyDescent="0.3">
      <c r="A166" s="5" t="s">
        <v>65</v>
      </c>
      <c r="B166">
        <f>VLOOKUP(A166,Table1[[Item Purchased]:[Subscription Status]],8,FALSE)</f>
        <v>4.8</v>
      </c>
    </row>
    <row r="167" spans="1:2" x14ac:dyDescent="0.3">
      <c r="A167" s="6" t="s">
        <v>65</v>
      </c>
      <c r="B167">
        <f>VLOOKUP(A167,Table1[[Item Purchased]:[Subscription Status]],8,FALSE)</f>
        <v>4.8</v>
      </c>
    </row>
    <row r="168" spans="1:2" x14ac:dyDescent="0.3">
      <c r="A168" s="5" t="s">
        <v>49</v>
      </c>
      <c r="B168">
        <f>VLOOKUP(A168,Table1[[Item Purchased]:[Subscription Status]],8,FALSE)</f>
        <v>2.9</v>
      </c>
    </row>
    <row r="169" spans="1:2" x14ac:dyDescent="0.3">
      <c r="A169" s="6" t="s">
        <v>142</v>
      </c>
      <c r="B169">
        <f>VLOOKUP(A169,Table1[[Item Purchased]:[Subscription Status]],8,FALSE)</f>
        <v>4.5</v>
      </c>
    </row>
    <row r="170" spans="1:2" x14ac:dyDescent="0.3">
      <c r="A170" s="5" t="s">
        <v>70</v>
      </c>
      <c r="B170">
        <f>VLOOKUP(A170,Table1[[Item Purchased]:[Subscription Status]],8,FALSE)</f>
        <v>4.0999999999999996</v>
      </c>
    </row>
    <row r="171" spans="1:2" x14ac:dyDescent="0.3">
      <c r="A171" s="6" t="s">
        <v>101</v>
      </c>
      <c r="B171">
        <f>VLOOKUP(A171,Table1[[Item Purchased]:[Subscription Status]],8,FALSE)</f>
        <v>2.9</v>
      </c>
    </row>
    <row r="172" spans="1:2" x14ac:dyDescent="0.3">
      <c r="A172" s="5" t="s">
        <v>54</v>
      </c>
      <c r="B172">
        <f>VLOOKUP(A172,Table1[[Item Purchased]:[Subscription Status]],8,FALSE)</f>
        <v>3.2</v>
      </c>
    </row>
    <row r="173" spans="1:2" x14ac:dyDescent="0.3">
      <c r="A173" s="6" t="s">
        <v>58</v>
      </c>
      <c r="B173">
        <f>VLOOKUP(A173,Table1[[Item Purchased]:[Subscription Status]],8,FALSE)</f>
        <v>3.2</v>
      </c>
    </row>
    <row r="174" spans="1:2" x14ac:dyDescent="0.3">
      <c r="A174" s="5" t="s">
        <v>105</v>
      </c>
      <c r="B174">
        <f>VLOOKUP(A174,Table1[[Item Purchased]:[Subscription Status]],8,FALSE)</f>
        <v>3.6</v>
      </c>
    </row>
    <row r="175" spans="1:2" x14ac:dyDescent="0.3">
      <c r="A175" s="6" t="s">
        <v>123</v>
      </c>
      <c r="B175">
        <f>VLOOKUP(A175,Table1[[Item Purchased]:[Subscription Status]],8,FALSE)</f>
        <v>4.5999999999999996</v>
      </c>
    </row>
    <row r="176" spans="1:2" x14ac:dyDescent="0.3">
      <c r="A176" s="5" t="s">
        <v>70</v>
      </c>
      <c r="B176">
        <f>VLOOKUP(A176,Table1[[Item Purchased]:[Subscription Status]],8,FALSE)</f>
        <v>4.0999999999999996</v>
      </c>
    </row>
    <row r="177" spans="1:2" x14ac:dyDescent="0.3">
      <c r="A177" s="6" t="s">
        <v>61</v>
      </c>
      <c r="B177">
        <f>VLOOKUP(A177,Table1[[Item Purchased]:[Subscription Status]],8,FALSE)</f>
        <v>2.6</v>
      </c>
    </row>
    <row r="178" spans="1:2" x14ac:dyDescent="0.3">
      <c r="A178" s="5" t="s">
        <v>131</v>
      </c>
      <c r="B178">
        <f>VLOOKUP(A178,Table1[[Item Purchased]:[Subscription Status]],8,FALSE)</f>
        <v>4.7</v>
      </c>
    </row>
    <row r="179" spans="1:2" x14ac:dyDescent="0.3">
      <c r="A179" s="6" t="s">
        <v>103</v>
      </c>
      <c r="B179">
        <f>VLOOKUP(A179,Table1[[Item Purchased]:[Subscription Status]],8,FALSE)</f>
        <v>3.6</v>
      </c>
    </row>
    <row r="180" spans="1:2" x14ac:dyDescent="0.3">
      <c r="A180" s="5" t="s">
        <v>86</v>
      </c>
      <c r="B180">
        <f>VLOOKUP(A180,Table1[[Item Purchased]:[Subscription Status]],8,FALSE)</f>
        <v>2.8</v>
      </c>
    </row>
    <row r="181" spans="1:2" x14ac:dyDescent="0.3">
      <c r="A181" s="6" t="s">
        <v>136</v>
      </c>
      <c r="B181">
        <f>VLOOKUP(A181,Table1[[Item Purchased]:[Subscription Status]],8,FALSE)</f>
        <v>4.8</v>
      </c>
    </row>
    <row r="182" spans="1:2" x14ac:dyDescent="0.3">
      <c r="A182" s="5" t="s">
        <v>40</v>
      </c>
      <c r="B182">
        <f>VLOOKUP(A182,Table1[[Item Purchased]:[Subscription Status]],8,FALSE)</f>
        <v>3.5</v>
      </c>
    </row>
    <row r="183" spans="1:2" x14ac:dyDescent="0.3">
      <c r="A183" s="6" t="s">
        <v>94</v>
      </c>
      <c r="B183">
        <f>VLOOKUP(A183,Table1[[Item Purchased]:[Subscription Status]],8,FALSE)</f>
        <v>3.3</v>
      </c>
    </row>
    <row r="184" spans="1:2" x14ac:dyDescent="0.3">
      <c r="A184" s="5" t="s">
        <v>142</v>
      </c>
      <c r="B184">
        <f>VLOOKUP(A184,Table1[[Item Purchased]:[Subscription Status]],8,FALSE)</f>
        <v>4.5</v>
      </c>
    </row>
    <row r="185" spans="1:2" x14ac:dyDescent="0.3">
      <c r="A185" s="6" t="s">
        <v>86</v>
      </c>
      <c r="B185">
        <f>VLOOKUP(A185,Table1[[Item Purchased]:[Subscription Status]],8,FALSE)</f>
        <v>2.8</v>
      </c>
    </row>
    <row r="186" spans="1:2" x14ac:dyDescent="0.3">
      <c r="A186" s="5" t="s">
        <v>49</v>
      </c>
      <c r="B186">
        <f>VLOOKUP(A186,Table1[[Item Purchased]:[Subscription Status]],8,FALSE)</f>
        <v>2.9</v>
      </c>
    </row>
    <row r="187" spans="1:2" x14ac:dyDescent="0.3">
      <c r="A187" s="6" t="s">
        <v>112</v>
      </c>
      <c r="B187">
        <f>VLOOKUP(A187,Table1[[Item Purchased]:[Subscription Status]],8,FALSE)</f>
        <v>4.5999999999999996</v>
      </c>
    </row>
    <row r="188" spans="1:2" x14ac:dyDescent="0.3">
      <c r="A188" s="5" t="s">
        <v>131</v>
      </c>
      <c r="B188">
        <f>VLOOKUP(A188,Table1[[Item Purchased]:[Subscription Status]],8,FALSE)</f>
        <v>4.7</v>
      </c>
    </row>
    <row r="189" spans="1:2" x14ac:dyDescent="0.3">
      <c r="A189" s="6" t="s">
        <v>70</v>
      </c>
      <c r="B189">
        <f>VLOOKUP(A189,Table1[[Item Purchased]:[Subscription Status]],8,FALSE)</f>
        <v>4.0999999999999996</v>
      </c>
    </row>
    <row r="190" spans="1:2" x14ac:dyDescent="0.3">
      <c r="A190" s="5" t="s">
        <v>103</v>
      </c>
      <c r="B190">
        <f>VLOOKUP(A190,Table1[[Item Purchased]:[Subscription Status]],8,FALSE)</f>
        <v>3.6</v>
      </c>
    </row>
    <row r="191" spans="1:2" x14ac:dyDescent="0.3">
      <c r="A191" s="6" t="s">
        <v>19</v>
      </c>
      <c r="B191">
        <f>VLOOKUP(A191,Table1[[Item Purchased]:[Subscription Status]],8,FALSE)</f>
        <v>3.1</v>
      </c>
    </row>
    <row r="192" spans="1:2" x14ac:dyDescent="0.3">
      <c r="A192" s="5" t="s">
        <v>61</v>
      </c>
      <c r="B192">
        <f>VLOOKUP(A192,Table1[[Item Purchased]:[Subscription Status]],8,FALSE)</f>
        <v>2.6</v>
      </c>
    </row>
    <row r="193" spans="1:2" x14ac:dyDescent="0.3">
      <c r="A193" s="6" t="s">
        <v>123</v>
      </c>
      <c r="B193">
        <f>VLOOKUP(A193,Table1[[Item Purchased]:[Subscription Status]],8,FALSE)</f>
        <v>4.5999999999999996</v>
      </c>
    </row>
    <row r="194" spans="1:2" x14ac:dyDescent="0.3">
      <c r="A194" s="5" t="s">
        <v>70</v>
      </c>
      <c r="B194">
        <f>VLOOKUP(A194,Table1[[Item Purchased]:[Subscription Status]],8,FALSE)</f>
        <v>4.0999999999999996</v>
      </c>
    </row>
    <row r="195" spans="1:2" x14ac:dyDescent="0.3">
      <c r="A195" s="6" t="s">
        <v>132</v>
      </c>
      <c r="B195">
        <f>VLOOKUP(A195,Table1[[Item Purchased]:[Subscription Status]],8,FALSE)</f>
        <v>4.5999999999999996</v>
      </c>
    </row>
    <row r="196" spans="1:2" x14ac:dyDescent="0.3">
      <c r="A196" s="5" t="s">
        <v>131</v>
      </c>
      <c r="B196">
        <f>VLOOKUP(A196,Table1[[Item Purchased]:[Subscription Status]],8,FALSE)</f>
        <v>4.7</v>
      </c>
    </row>
    <row r="197" spans="1:2" x14ac:dyDescent="0.3">
      <c r="A197" s="6" t="s">
        <v>101</v>
      </c>
      <c r="B197">
        <f>VLOOKUP(A197,Table1[[Item Purchased]:[Subscription Status]],8,FALSE)</f>
        <v>2.9</v>
      </c>
    </row>
    <row r="198" spans="1:2" x14ac:dyDescent="0.3">
      <c r="A198" s="5" t="s">
        <v>136</v>
      </c>
      <c r="B198">
        <f>VLOOKUP(A198,Table1[[Item Purchased]:[Subscription Status]],8,FALSE)</f>
        <v>4.8</v>
      </c>
    </row>
    <row r="199" spans="1:2" x14ac:dyDescent="0.3">
      <c r="A199" s="6" t="s">
        <v>118</v>
      </c>
      <c r="B199">
        <f>VLOOKUP(A199,Table1[[Item Purchased]:[Subscription Status]],8,FALSE)</f>
        <v>4.5</v>
      </c>
    </row>
    <row r="200" spans="1:2" x14ac:dyDescent="0.3">
      <c r="A200" s="5" t="s">
        <v>105</v>
      </c>
      <c r="B200">
        <f>VLOOKUP(A200,Table1[[Item Purchased]:[Subscription Status]],8,FALSE)</f>
        <v>3.6</v>
      </c>
    </row>
    <row r="201" spans="1:2" x14ac:dyDescent="0.3">
      <c r="A201" s="6" t="s">
        <v>123</v>
      </c>
      <c r="B201">
        <f>VLOOKUP(A201,Table1[[Item Purchased]:[Subscription Status]],8,FALSE)</f>
        <v>4.5999999999999996</v>
      </c>
    </row>
    <row r="202" spans="1:2" x14ac:dyDescent="0.3">
      <c r="A202" s="5" t="s">
        <v>80</v>
      </c>
      <c r="B202">
        <f>VLOOKUP(A202,Table1[[Item Purchased]:[Subscription Status]],8,FALSE)</f>
        <v>4.7</v>
      </c>
    </row>
    <row r="203" spans="1:2" x14ac:dyDescent="0.3">
      <c r="A203" s="6" t="s">
        <v>19</v>
      </c>
      <c r="B203">
        <f>VLOOKUP(A203,Table1[[Item Purchased]:[Subscription Status]],8,FALSE)</f>
        <v>3.1</v>
      </c>
    </row>
    <row r="204" spans="1:2" x14ac:dyDescent="0.3">
      <c r="A204" s="5" t="s">
        <v>123</v>
      </c>
      <c r="B204">
        <f>VLOOKUP(A204,Table1[[Item Purchased]:[Subscription Status]],8,FALSE)</f>
        <v>4.5999999999999996</v>
      </c>
    </row>
    <row r="205" spans="1:2" x14ac:dyDescent="0.3">
      <c r="A205" s="6" t="s">
        <v>118</v>
      </c>
      <c r="B205">
        <f>VLOOKUP(A205,Table1[[Item Purchased]:[Subscription Status]],8,FALSE)</f>
        <v>4.5</v>
      </c>
    </row>
    <row r="206" spans="1:2" x14ac:dyDescent="0.3">
      <c r="A206" s="5" t="s">
        <v>49</v>
      </c>
      <c r="B206">
        <f>VLOOKUP(A206,Table1[[Item Purchased]:[Subscription Status]],8,FALSE)</f>
        <v>2.9</v>
      </c>
    </row>
    <row r="207" spans="1:2" x14ac:dyDescent="0.3">
      <c r="A207" s="6" t="s">
        <v>54</v>
      </c>
      <c r="B207">
        <f>VLOOKUP(A207,Table1[[Item Purchased]:[Subscription Status]],8,FALSE)</f>
        <v>3.2</v>
      </c>
    </row>
    <row r="208" spans="1:2" x14ac:dyDescent="0.3">
      <c r="A208" s="5" t="s">
        <v>112</v>
      </c>
      <c r="B208">
        <f>VLOOKUP(A208,Table1[[Item Purchased]:[Subscription Status]],8,FALSE)</f>
        <v>4.5999999999999996</v>
      </c>
    </row>
    <row r="209" spans="1:2" x14ac:dyDescent="0.3">
      <c r="A209" s="6" t="s">
        <v>142</v>
      </c>
      <c r="B209">
        <f>VLOOKUP(A209,Table1[[Item Purchased]:[Subscription Status]],8,FALSE)</f>
        <v>4.5</v>
      </c>
    </row>
    <row r="210" spans="1:2" x14ac:dyDescent="0.3">
      <c r="A210" s="5" t="s">
        <v>86</v>
      </c>
      <c r="B210">
        <f>VLOOKUP(A210,Table1[[Item Purchased]:[Subscription Status]],8,FALSE)</f>
        <v>2.8</v>
      </c>
    </row>
    <row r="211" spans="1:2" x14ac:dyDescent="0.3">
      <c r="A211" s="6" t="s">
        <v>40</v>
      </c>
      <c r="B211">
        <f>VLOOKUP(A211,Table1[[Item Purchased]:[Subscription Status]],8,FALSE)</f>
        <v>3.5</v>
      </c>
    </row>
    <row r="212" spans="1:2" x14ac:dyDescent="0.3">
      <c r="A212" s="5" t="s">
        <v>101</v>
      </c>
      <c r="B212">
        <f>VLOOKUP(A212,Table1[[Item Purchased]:[Subscription Status]],8,FALSE)</f>
        <v>2.9</v>
      </c>
    </row>
    <row r="213" spans="1:2" x14ac:dyDescent="0.3">
      <c r="A213" s="6" t="s">
        <v>86</v>
      </c>
      <c r="B213">
        <f>VLOOKUP(A213,Table1[[Item Purchased]:[Subscription Status]],8,FALSE)</f>
        <v>2.8</v>
      </c>
    </row>
    <row r="214" spans="1:2" x14ac:dyDescent="0.3">
      <c r="A214" s="5" t="s">
        <v>65</v>
      </c>
      <c r="B214">
        <f>VLOOKUP(A214,Table1[[Item Purchased]:[Subscription Status]],8,FALSE)</f>
        <v>4.8</v>
      </c>
    </row>
    <row r="215" spans="1:2" x14ac:dyDescent="0.3">
      <c r="A215" s="6" t="s">
        <v>65</v>
      </c>
      <c r="B215">
        <f>VLOOKUP(A215,Table1[[Item Purchased]:[Subscription Status]],8,FALSE)</f>
        <v>4.8</v>
      </c>
    </row>
    <row r="216" spans="1:2" x14ac:dyDescent="0.3">
      <c r="A216" s="5" t="s">
        <v>101</v>
      </c>
      <c r="B216">
        <f>VLOOKUP(A216,Table1[[Item Purchased]:[Subscription Status]],8,FALSE)</f>
        <v>2.9</v>
      </c>
    </row>
    <row r="217" spans="1:2" x14ac:dyDescent="0.3">
      <c r="A217" s="6" t="s">
        <v>118</v>
      </c>
      <c r="B217">
        <f>VLOOKUP(A217,Table1[[Item Purchased]:[Subscription Status]],8,FALSE)</f>
        <v>4.5</v>
      </c>
    </row>
    <row r="218" spans="1:2" x14ac:dyDescent="0.3">
      <c r="A218" s="5" t="s">
        <v>58</v>
      </c>
      <c r="B218">
        <f>VLOOKUP(A218,Table1[[Item Purchased]:[Subscription Status]],8,FALSE)</f>
        <v>3.2</v>
      </c>
    </row>
    <row r="219" spans="1:2" x14ac:dyDescent="0.3">
      <c r="A219" s="6" t="s">
        <v>88</v>
      </c>
      <c r="B219">
        <f>VLOOKUP(A219,Table1[[Item Purchased]:[Subscription Status]],8,FALSE)</f>
        <v>4.0999999999999996</v>
      </c>
    </row>
    <row r="220" spans="1:2" x14ac:dyDescent="0.3">
      <c r="A220" s="5" t="s">
        <v>112</v>
      </c>
      <c r="B220">
        <f>VLOOKUP(A220,Table1[[Item Purchased]:[Subscription Status]],8,FALSE)</f>
        <v>4.5999999999999996</v>
      </c>
    </row>
    <row r="221" spans="1:2" x14ac:dyDescent="0.3">
      <c r="A221" s="6" t="s">
        <v>132</v>
      </c>
      <c r="B221">
        <f>VLOOKUP(A221,Table1[[Item Purchased]:[Subscription Status]],8,FALSE)</f>
        <v>4.5999999999999996</v>
      </c>
    </row>
    <row r="222" spans="1:2" x14ac:dyDescent="0.3">
      <c r="A222" s="5" t="s">
        <v>49</v>
      </c>
      <c r="B222">
        <f>VLOOKUP(A222,Table1[[Item Purchased]:[Subscription Status]],8,FALSE)</f>
        <v>2.9</v>
      </c>
    </row>
    <row r="223" spans="1:2" x14ac:dyDescent="0.3">
      <c r="A223" s="6" t="s">
        <v>123</v>
      </c>
      <c r="B223">
        <f>VLOOKUP(A223,Table1[[Item Purchased]:[Subscription Status]],8,FALSE)</f>
        <v>4.5999999999999996</v>
      </c>
    </row>
    <row r="224" spans="1:2" x14ac:dyDescent="0.3">
      <c r="A224" s="5" t="s">
        <v>142</v>
      </c>
      <c r="B224">
        <f>VLOOKUP(A224,Table1[[Item Purchased]:[Subscription Status]],8,FALSE)</f>
        <v>4.5</v>
      </c>
    </row>
    <row r="225" spans="1:2" x14ac:dyDescent="0.3">
      <c r="A225" s="6" t="s">
        <v>94</v>
      </c>
      <c r="B225">
        <f>VLOOKUP(A225,Table1[[Item Purchased]:[Subscription Status]],8,FALSE)</f>
        <v>3.3</v>
      </c>
    </row>
    <row r="226" spans="1:2" x14ac:dyDescent="0.3">
      <c r="A226" s="5" t="s">
        <v>124</v>
      </c>
      <c r="B226">
        <f>VLOOKUP(A226,Table1[[Item Purchased]:[Subscription Status]],8,FALSE)</f>
        <v>2.9</v>
      </c>
    </row>
    <row r="227" spans="1:2" x14ac:dyDescent="0.3">
      <c r="A227" s="6" t="s">
        <v>101</v>
      </c>
      <c r="B227">
        <f>VLOOKUP(A227,Table1[[Item Purchased]:[Subscription Status]],8,FALSE)</f>
        <v>2.9</v>
      </c>
    </row>
    <row r="228" spans="1:2" x14ac:dyDescent="0.3">
      <c r="A228" s="5" t="s">
        <v>70</v>
      </c>
      <c r="B228">
        <f>VLOOKUP(A228,Table1[[Item Purchased]:[Subscription Status]],8,FALSE)</f>
        <v>4.0999999999999996</v>
      </c>
    </row>
    <row r="229" spans="1:2" x14ac:dyDescent="0.3">
      <c r="A229" s="6" t="s">
        <v>33</v>
      </c>
      <c r="B229">
        <f>VLOOKUP(A229,Table1[[Item Purchased]:[Subscription Status]],8,FALSE)</f>
        <v>3.1</v>
      </c>
    </row>
    <row r="230" spans="1:2" x14ac:dyDescent="0.3">
      <c r="A230" s="5" t="s">
        <v>124</v>
      </c>
      <c r="B230">
        <f>VLOOKUP(A230,Table1[[Item Purchased]:[Subscription Status]],8,FALSE)</f>
        <v>2.9</v>
      </c>
    </row>
    <row r="231" spans="1:2" x14ac:dyDescent="0.3">
      <c r="A231" s="6" t="s">
        <v>40</v>
      </c>
      <c r="B231">
        <f>VLOOKUP(A231,Table1[[Item Purchased]:[Subscription Status]],8,FALSE)</f>
        <v>3.5</v>
      </c>
    </row>
    <row r="232" spans="1:2" x14ac:dyDescent="0.3">
      <c r="A232" s="5" t="s">
        <v>118</v>
      </c>
      <c r="B232">
        <f>VLOOKUP(A232,Table1[[Item Purchased]:[Subscription Status]],8,FALSE)</f>
        <v>4.5</v>
      </c>
    </row>
    <row r="233" spans="1:2" x14ac:dyDescent="0.3">
      <c r="A233" s="6" t="s">
        <v>19</v>
      </c>
      <c r="B233">
        <f>VLOOKUP(A233,Table1[[Item Purchased]:[Subscription Status]],8,FALSE)</f>
        <v>3.1</v>
      </c>
    </row>
    <row r="234" spans="1:2" x14ac:dyDescent="0.3">
      <c r="A234" s="5" t="s">
        <v>105</v>
      </c>
      <c r="B234">
        <f>VLOOKUP(A234,Table1[[Item Purchased]:[Subscription Status]],8,FALSE)</f>
        <v>3.6</v>
      </c>
    </row>
    <row r="235" spans="1:2" x14ac:dyDescent="0.3">
      <c r="A235" s="6" t="s">
        <v>29</v>
      </c>
      <c r="B235">
        <f>VLOOKUP(A235,Table1[[Item Purchased]:[Subscription Status]],8,FALSE)</f>
        <v>3.1</v>
      </c>
    </row>
    <row r="236" spans="1:2" x14ac:dyDescent="0.3">
      <c r="A236" s="5" t="s">
        <v>142</v>
      </c>
      <c r="B236">
        <f>VLOOKUP(A236,Table1[[Item Purchased]:[Subscription Status]],8,FALSE)</f>
        <v>4.5</v>
      </c>
    </row>
    <row r="237" spans="1:2" x14ac:dyDescent="0.3">
      <c r="A237" s="6" t="s">
        <v>88</v>
      </c>
      <c r="B237">
        <f>VLOOKUP(A237,Table1[[Item Purchased]:[Subscription Status]],8,FALSE)</f>
        <v>4.0999999999999996</v>
      </c>
    </row>
    <row r="238" spans="1:2" x14ac:dyDescent="0.3">
      <c r="A238" s="5" t="s">
        <v>61</v>
      </c>
      <c r="B238">
        <f>VLOOKUP(A238,Table1[[Item Purchased]:[Subscription Status]],8,FALSE)</f>
        <v>2.6</v>
      </c>
    </row>
    <row r="239" spans="1:2" x14ac:dyDescent="0.3">
      <c r="A239" s="6" t="s">
        <v>80</v>
      </c>
      <c r="B239">
        <f>VLOOKUP(A239,Table1[[Item Purchased]:[Subscription Status]],8,FALSE)</f>
        <v>4.7</v>
      </c>
    </row>
    <row r="240" spans="1:2" x14ac:dyDescent="0.3">
      <c r="A240" s="5" t="s">
        <v>86</v>
      </c>
      <c r="B240">
        <f>VLOOKUP(A240,Table1[[Item Purchased]:[Subscription Status]],8,FALSE)</f>
        <v>2.8</v>
      </c>
    </row>
    <row r="241" spans="1:2" x14ac:dyDescent="0.3">
      <c r="A241" s="6" t="s">
        <v>94</v>
      </c>
      <c r="B241">
        <f>VLOOKUP(A241,Table1[[Item Purchased]:[Subscription Status]],8,FALSE)</f>
        <v>3.3</v>
      </c>
    </row>
    <row r="242" spans="1:2" x14ac:dyDescent="0.3">
      <c r="A242" s="5" t="s">
        <v>29</v>
      </c>
      <c r="B242">
        <f>VLOOKUP(A242,Table1[[Item Purchased]:[Subscription Status]],8,FALSE)</f>
        <v>3.1</v>
      </c>
    </row>
    <row r="243" spans="1:2" x14ac:dyDescent="0.3">
      <c r="A243" s="6" t="s">
        <v>103</v>
      </c>
      <c r="B243">
        <f>VLOOKUP(A243,Table1[[Item Purchased]:[Subscription Status]],8,FALSE)</f>
        <v>3.6</v>
      </c>
    </row>
    <row r="244" spans="1:2" x14ac:dyDescent="0.3">
      <c r="A244" s="5" t="s">
        <v>61</v>
      </c>
      <c r="B244">
        <f>VLOOKUP(A244,Table1[[Item Purchased]:[Subscription Status]],8,FALSE)</f>
        <v>2.6</v>
      </c>
    </row>
    <row r="245" spans="1:2" x14ac:dyDescent="0.3">
      <c r="A245" s="6" t="s">
        <v>105</v>
      </c>
      <c r="B245">
        <f>VLOOKUP(A245,Table1[[Item Purchased]:[Subscription Status]],8,FALSE)</f>
        <v>3.6</v>
      </c>
    </row>
    <row r="246" spans="1:2" x14ac:dyDescent="0.3">
      <c r="A246" s="5" t="s">
        <v>132</v>
      </c>
      <c r="B246">
        <f>VLOOKUP(A246,Table1[[Item Purchased]:[Subscription Status]],8,FALSE)</f>
        <v>4.5999999999999996</v>
      </c>
    </row>
    <row r="247" spans="1:2" x14ac:dyDescent="0.3">
      <c r="A247" s="6" t="s">
        <v>40</v>
      </c>
      <c r="B247">
        <f>VLOOKUP(A247,Table1[[Item Purchased]:[Subscription Status]],8,FALSE)</f>
        <v>3.5</v>
      </c>
    </row>
    <row r="248" spans="1:2" x14ac:dyDescent="0.3">
      <c r="A248" s="5" t="s">
        <v>88</v>
      </c>
      <c r="B248">
        <f>VLOOKUP(A248,Table1[[Item Purchased]:[Subscription Status]],8,FALSE)</f>
        <v>4.0999999999999996</v>
      </c>
    </row>
    <row r="249" spans="1:2" x14ac:dyDescent="0.3">
      <c r="A249" s="6" t="s">
        <v>29</v>
      </c>
      <c r="B249">
        <f>VLOOKUP(A249,Table1[[Item Purchased]:[Subscription Status]],8,FALSE)</f>
        <v>3.1</v>
      </c>
    </row>
    <row r="250" spans="1:2" x14ac:dyDescent="0.3">
      <c r="A250" s="5" t="s">
        <v>132</v>
      </c>
      <c r="B250">
        <f>VLOOKUP(A250,Table1[[Item Purchased]:[Subscription Status]],8,FALSE)</f>
        <v>4.5999999999999996</v>
      </c>
    </row>
    <row r="251" spans="1:2" x14ac:dyDescent="0.3">
      <c r="A251" s="6" t="s">
        <v>65</v>
      </c>
      <c r="B251">
        <f>VLOOKUP(A251,Table1[[Item Purchased]:[Subscription Status]],8,FALSE)</f>
        <v>4.8</v>
      </c>
    </row>
    <row r="252" spans="1:2" x14ac:dyDescent="0.3">
      <c r="A252" s="5" t="s">
        <v>86</v>
      </c>
      <c r="B252">
        <f>VLOOKUP(A252,Table1[[Item Purchased]:[Subscription Status]],8,FALSE)</f>
        <v>2.8</v>
      </c>
    </row>
    <row r="253" spans="1:2" x14ac:dyDescent="0.3">
      <c r="A253" s="6" t="s">
        <v>65</v>
      </c>
      <c r="B253">
        <f>VLOOKUP(A253,Table1[[Item Purchased]:[Subscription Status]],8,FALSE)</f>
        <v>4.8</v>
      </c>
    </row>
    <row r="254" spans="1:2" x14ac:dyDescent="0.3">
      <c r="A254" s="5" t="s">
        <v>58</v>
      </c>
      <c r="B254">
        <f>VLOOKUP(A254,Table1[[Item Purchased]:[Subscription Status]],8,FALSE)</f>
        <v>3.2</v>
      </c>
    </row>
    <row r="255" spans="1:2" x14ac:dyDescent="0.3">
      <c r="A255" s="6" t="s">
        <v>136</v>
      </c>
      <c r="B255">
        <f>VLOOKUP(A255,Table1[[Item Purchased]:[Subscription Status]],8,FALSE)</f>
        <v>4.8</v>
      </c>
    </row>
    <row r="256" spans="1:2" x14ac:dyDescent="0.3">
      <c r="A256" s="5" t="s">
        <v>88</v>
      </c>
      <c r="B256">
        <f>VLOOKUP(A256,Table1[[Item Purchased]:[Subscription Status]],8,FALSE)</f>
        <v>4.0999999999999996</v>
      </c>
    </row>
    <row r="257" spans="1:2" x14ac:dyDescent="0.3">
      <c r="A257" s="6" t="s">
        <v>118</v>
      </c>
      <c r="B257">
        <f>VLOOKUP(A257,Table1[[Item Purchased]:[Subscription Status]],8,FALSE)</f>
        <v>4.5</v>
      </c>
    </row>
    <row r="258" spans="1:2" x14ac:dyDescent="0.3">
      <c r="A258" s="5" t="s">
        <v>105</v>
      </c>
      <c r="B258">
        <f>VLOOKUP(A258,Table1[[Item Purchased]:[Subscription Status]],8,FALSE)</f>
        <v>3.6</v>
      </c>
    </row>
    <row r="259" spans="1:2" x14ac:dyDescent="0.3">
      <c r="A259" s="6" t="s">
        <v>65</v>
      </c>
      <c r="B259">
        <f>VLOOKUP(A259,Table1[[Item Purchased]:[Subscription Status]],8,FALSE)</f>
        <v>4.8</v>
      </c>
    </row>
    <row r="260" spans="1:2" x14ac:dyDescent="0.3">
      <c r="A260" s="5" t="s">
        <v>142</v>
      </c>
      <c r="B260">
        <f>VLOOKUP(A260,Table1[[Item Purchased]:[Subscription Status]],8,FALSE)</f>
        <v>4.5</v>
      </c>
    </row>
    <row r="261" spans="1:2" x14ac:dyDescent="0.3">
      <c r="A261" s="6" t="s">
        <v>33</v>
      </c>
      <c r="B261">
        <f>VLOOKUP(A261,Table1[[Item Purchased]:[Subscription Status]],8,FALSE)</f>
        <v>3.1</v>
      </c>
    </row>
    <row r="262" spans="1:2" x14ac:dyDescent="0.3">
      <c r="A262" s="5" t="s">
        <v>123</v>
      </c>
      <c r="B262">
        <f>VLOOKUP(A262,Table1[[Item Purchased]:[Subscription Status]],8,FALSE)</f>
        <v>4.5999999999999996</v>
      </c>
    </row>
    <row r="263" spans="1:2" x14ac:dyDescent="0.3">
      <c r="A263" s="6" t="s">
        <v>33</v>
      </c>
      <c r="B263">
        <f>VLOOKUP(A263,Table1[[Item Purchased]:[Subscription Status]],8,FALSE)</f>
        <v>3.1</v>
      </c>
    </row>
    <row r="264" spans="1:2" x14ac:dyDescent="0.3">
      <c r="A264" s="5" t="s">
        <v>94</v>
      </c>
      <c r="B264">
        <f>VLOOKUP(A264,Table1[[Item Purchased]:[Subscription Status]],8,FALSE)</f>
        <v>3.3</v>
      </c>
    </row>
    <row r="265" spans="1:2" x14ac:dyDescent="0.3">
      <c r="A265" s="6" t="s">
        <v>58</v>
      </c>
      <c r="B265">
        <f>VLOOKUP(A265,Table1[[Item Purchased]:[Subscription Status]],8,FALSE)</f>
        <v>3.2</v>
      </c>
    </row>
    <row r="266" spans="1:2" x14ac:dyDescent="0.3">
      <c r="A266" s="5" t="s">
        <v>94</v>
      </c>
      <c r="B266">
        <f>VLOOKUP(A266,Table1[[Item Purchased]:[Subscription Status]],8,FALSE)</f>
        <v>3.3</v>
      </c>
    </row>
    <row r="267" spans="1:2" x14ac:dyDescent="0.3">
      <c r="A267" s="6" t="s">
        <v>131</v>
      </c>
      <c r="B267">
        <f>VLOOKUP(A267,Table1[[Item Purchased]:[Subscription Status]],8,FALSE)</f>
        <v>4.7</v>
      </c>
    </row>
    <row r="268" spans="1:2" x14ac:dyDescent="0.3">
      <c r="A268" s="5" t="s">
        <v>105</v>
      </c>
      <c r="B268">
        <f>VLOOKUP(A268,Table1[[Item Purchased]:[Subscription Status]],8,FALSE)</f>
        <v>3.6</v>
      </c>
    </row>
    <row r="269" spans="1:2" x14ac:dyDescent="0.3">
      <c r="A269" s="6" t="s">
        <v>29</v>
      </c>
      <c r="B269">
        <f>VLOOKUP(A269,Table1[[Item Purchased]:[Subscription Status]],8,FALSE)</f>
        <v>3.1</v>
      </c>
    </row>
    <row r="270" spans="1:2" x14ac:dyDescent="0.3">
      <c r="A270" s="5" t="s">
        <v>70</v>
      </c>
      <c r="B270">
        <f>VLOOKUP(A270,Table1[[Item Purchased]:[Subscription Status]],8,FALSE)</f>
        <v>4.0999999999999996</v>
      </c>
    </row>
    <row r="271" spans="1:2" x14ac:dyDescent="0.3">
      <c r="A271" s="6" t="s">
        <v>19</v>
      </c>
      <c r="B271">
        <f>VLOOKUP(A271,Table1[[Item Purchased]:[Subscription Status]],8,FALSE)</f>
        <v>3.1</v>
      </c>
    </row>
    <row r="272" spans="1:2" x14ac:dyDescent="0.3">
      <c r="A272" s="5" t="s">
        <v>33</v>
      </c>
      <c r="B272">
        <f>VLOOKUP(A272,Table1[[Item Purchased]:[Subscription Status]],8,FALSE)</f>
        <v>3.1</v>
      </c>
    </row>
    <row r="273" spans="1:2" x14ac:dyDescent="0.3">
      <c r="A273" s="6" t="s">
        <v>88</v>
      </c>
      <c r="B273">
        <f>VLOOKUP(A273,Table1[[Item Purchased]:[Subscription Status]],8,FALSE)</f>
        <v>4.0999999999999996</v>
      </c>
    </row>
    <row r="274" spans="1:2" x14ac:dyDescent="0.3">
      <c r="A274" s="5" t="s">
        <v>105</v>
      </c>
      <c r="B274">
        <f>VLOOKUP(A274,Table1[[Item Purchased]:[Subscription Status]],8,FALSE)</f>
        <v>3.6</v>
      </c>
    </row>
    <row r="275" spans="1:2" x14ac:dyDescent="0.3">
      <c r="A275" s="6" t="s">
        <v>61</v>
      </c>
      <c r="B275">
        <f>VLOOKUP(A275,Table1[[Item Purchased]:[Subscription Status]],8,FALSE)</f>
        <v>2.6</v>
      </c>
    </row>
    <row r="276" spans="1:2" x14ac:dyDescent="0.3">
      <c r="A276" s="5" t="s">
        <v>105</v>
      </c>
      <c r="B276">
        <f>VLOOKUP(A276,Table1[[Item Purchased]:[Subscription Status]],8,FALSE)</f>
        <v>3.6</v>
      </c>
    </row>
    <row r="277" spans="1:2" x14ac:dyDescent="0.3">
      <c r="A277" s="6" t="s">
        <v>131</v>
      </c>
      <c r="B277">
        <f>VLOOKUP(A277,Table1[[Item Purchased]:[Subscription Status]],8,FALSE)</f>
        <v>4.7</v>
      </c>
    </row>
    <row r="278" spans="1:2" x14ac:dyDescent="0.3">
      <c r="A278" s="5" t="s">
        <v>86</v>
      </c>
      <c r="B278">
        <f>VLOOKUP(A278,Table1[[Item Purchased]:[Subscription Status]],8,FALSE)</f>
        <v>2.8</v>
      </c>
    </row>
    <row r="279" spans="1:2" x14ac:dyDescent="0.3">
      <c r="A279" s="6" t="s">
        <v>54</v>
      </c>
      <c r="B279">
        <f>VLOOKUP(A279,Table1[[Item Purchased]:[Subscription Status]],8,FALSE)</f>
        <v>3.2</v>
      </c>
    </row>
    <row r="280" spans="1:2" x14ac:dyDescent="0.3">
      <c r="A280" s="5" t="s">
        <v>29</v>
      </c>
      <c r="B280">
        <f>VLOOKUP(A280,Table1[[Item Purchased]:[Subscription Status]],8,FALSE)</f>
        <v>3.1</v>
      </c>
    </row>
    <row r="281" spans="1:2" x14ac:dyDescent="0.3">
      <c r="A281" s="6" t="s">
        <v>49</v>
      </c>
      <c r="B281">
        <f>VLOOKUP(A281,Table1[[Item Purchased]:[Subscription Status]],8,FALSE)</f>
        <v>2.9</v>
      </c>
    </row>
    <row r="282" spans="1:2" x14ac:dyDescent="0.3">
      <c r="A282" s="5" t="s">
        <v>40</v>
      </c>
      <c r="B282">
        <f>VLOOKUP(A282,Table1[[Item Purchased]:[Subscription Status]],8,FALSE)</f>
        <v>3.5</v>
      </c>
    </row>
    <row r="283" spans="1:2" x14ac:dyDescent="0.3">
      <c r="A283" s="6" t="s">
        <v>132</v>
      </c>
      <c r="B283">
        <f>VLOOKUP(A283,Table1[[Item Purchased]:[Subscription Status]],8,FALSE)</f>
        <v>4.5999999999999996</v>
      </c>
    </row>
    <row r="284" spans="1:2" x14ac:dyDescent="0.3">
      <c r="A284" s="5" t="s">
        <v>86</v>
      </c>
      <c r="B284">
        <f>VLOOKUP(A284,Table1[[Item Purchased]:[Subscription Status]],8,FALSE)</f>
        <v>2.8</v>
      </c>
    </row>
    <row r="285" spans="1:2" x14ac:dyDescent="0.3">
      <c r="A285" s="6" t="s">
        <v>29</v>
      </c>
      <c r="B285">
        <f>VLOOKUP(A285,Table1[[Item Purchased]:[Subscription Status]],8,FALSE)</f>
        <v>3.1</v>
      </c>
    </row>
    <row r="286" spans="1:2" x14ac:dyDescent="0.3">
      <c r="A286" s="5" t="s">
        <v>86</v>
      </c>
      <c r="B286">
        <f>VLOOKUP(A286,Table1[[Item Purchased]:[Subscription Status]],8,FALSE)</f>
        <v>2.8</v>
      </c>
    </row>
    <row r="287" spans="1:2" x14ac:dyDescent="0.3">
      <c r="A287" s="6" t="s">
        <v>65</v>
      </c>
      <c r="B287">
        <f>VLOOKUP(A287,Table1[[Item Purchased]:[Subscription Status]],8,FALSE)</f>
        <v>4.8</v>
      </c>
    </row>
    <row r="288" spans="1:2" x14ac:dyDescent="0.3">
      <c r="A288" s="5" t="s">
        <v>105</v>
      </c>
      <c r="B288">
        <f>VLOOKUP(A288,Table1[[Item Purchased]:[Subscription Status]],8,FALSE)</f>
        <v>3.6</v>
      </c>
    </row>
    <row r="289" spans="1:2" x14ac:dyDescent="0.3">
      <c r="A289" s="6" t="s">
        <v>118</v>
      </c>
      <c r="B289">
        <f>VLOOKUP(A289,Table1[[Item Purchased]:[Subscription Status]],8,FALSE)</f>
        <v>4.5</v>
      </c>
    </row>
    <row r="290" spans="1:2" x14ac:dyDescent="0.3">
      <c r="A290" s="5" t="s">
        <v>112</v>
      </c>
      <c r="B290">
        <f>VLOOKUP(A290,Table1[[Item Purchased]:[Subscription Status]],8,FALSE)</f>
        <v>4.5999999999999996</v>
      </c>
    </row>
    <row r="291" spans="1:2" x14ac:dyDescent="0.3">
      <c r="A291" s="6" t="s">
        <v>61</v>
      </c>
      <c r="B291">
        <f>VLOOKUP(A291,Table1[[Item Purchased]:[Subscription Status]],8,FALSE)</f>
        <v>2.6</v>
      </c>
    </row>
    <row r="292" spans="1:2" x14ac:dyDescent="0.3">
      <c r="A292" s="5" t="s">
        <v>112</v>
      </c>
      <c r="B292">
        <f>VLOOKUP(A292,Table1[[Item Purchased]:[Subscription Status]],8,FALSE)</f>
        <v>4.5999999999999996</v>
      </c>
    </row>
    <row r="293" spans="1:2" x14ac:dyDescent="0.3">
      <c r="A293" s="6" t="s">
        <v>80</v>
      </c>
      <c r="B293">
        <f>VLOOKUP(A293,Table1[[Item Purchased]:[Subscription Status]],8,FALSE)</f>
        <v>4.7</v>
      </c>
    </row>
    <row r="294" spans="1:2" x14ac:dyDescent="0.3">
      <c r="A294" s="5" t="s">
        <v>70</v>
      </c>
      <c r="B294">
        <f>VLOOKUP(A294,Table1[[Item Purchased]:[Subscription Status]],8,FALSE)</f>
        <v>4.0999999999999996</v>
      </c>
    </row>
    <row r="295" spans="1:2" x14ac:dyDescent="0.3">
      <c r="A295" s="6" t="s">
        <v>65</v>
      </c>
      <c r="B295">
        <f>VLOOKUP(A295,Table1[[Item Purchased]:[Subscription Status]],8,FALSE)</f>
        <v>4.8</v>
      </c>
    </row>
    <row r="296" spans="1:2" x14ac:dyDescent="0.3">
      <c r="A296" s="5" t="s">
        <v>86</v>
      </c>
      <c r="B296">
        <f>VLOOKUP(A296,Table1[[Item Purchased]:[Subscription Status]],8,FALSE)</f>
        <v>2.8</v>
      </c>
    </row>
    <row r="297" spans="1:2" x14ac:dyDescent="0.3">
      <c r="A297" s="6" t="s">
        <v>88</v>
      </c>
      <c r="B297">
        <f>VLOOKUP(A297,Table1[[Item Purchased]:[Subscription Status]],8,FALSE)</f>
        <v>4.0999999999999996</v>
      </c>
    </row>
    <row r="298" spans="1:2" x14ac:dyDescent="0.3">
      <c r="A298" s="5" t="s">
        <v>40</v>
      </c>
      <c r="B298">
        <f>VLOOKUP(A298,Table1[[Item Purchased]:[Subscription Status]],8,FALSE)</f>
        <v>3.5</v>
      </c>
    </row>
    <row r="299" spans="1:2" x14ac:dyDescent="0.3">
      <c r="A299" s="6" t="s">
        <v>70</v>
      </c>
      <c r="B299">
        <f>VLOOKUP(A299,Table1[[Item Purchased]:[Subscription Status]],8,FALSE)</f>
        <v>4.0999999999999996</v>
      </c>
    </row>
    <row r="300" spans="1:2" x14ac:dyDescent="0.3">
      <c r="A300" s="5" t="s">
        <v>112</v>
      </c>
      <c r="B300">
        <f>VLOOKUP(A300,Table1[[Item Purchased]:[Subscription Status]],8,FALSE)</f>
        <v>4.5999999999999996</v>
      </c>
    </row>
    <row r="301" spans="1:2" x14ac:dyDescent="0.3">
      <c r="A301" s="6" t="s">
        <v>49</v>
      </c>
      <c r="B301">
        <f>VLOOKUP(A301,Table1[[Item Purchased]:[Subscription Status]],8,FALSE)</f>
        <v>2.9</v>
      </c>
    </row>
    <row r="302" spans="1:2" x14ac:dyDescent="0.3">
      <c r="A302" s="5" t="s">
        <v>123</v>
      </c>
      <c r="B302">
        <f>VLOOKUP(A302,Table1[[Item Purchased]:[Subscription Status]],8,FALSE)</f>
        <v>4.5999999999999996</v>
      </c>
    </row>
    <row r="303" spans="1:2" x14ac:dyDescent="0.3">
      <c r="A303" s="6" t="s">
        <v>86</v>
      </c>
      <c r="B303">
        <f>VLOOKUP(A303,Table1[[Item Purchased]:[Subscription Status]],8,FALSE)</f>
        <v>2.8</v>
      </c>
    </row>
    <row r="304" spans="1:2" x14ac:dyDescent="0.3">
      <c r="A304" s="5" t="s">
        <v>29</v>
      </c>
      <c r="B304">
        <f>VLOOKUP(A304,Table1[[Item Purchased]:[Subscription Status]],8,FALSE)</f>
        <v>3.1</v>
      </c>
    </row>
    <row r="305" spans="1:2" x14ac:dyDescent="0.3">
      <c r="A305" s="6" t="s">
        <v>40</v>
      </c>
      <c r="B305">
        <f>VLOOKUP(A305,Table1[[Item Purchased]:[Subscription Status]],8,FALSE)</f>
        <v>3.5</v>
      </c>
    </row>
    <row r="306" spans="1:2" x14ac:dyDescent="0.3">
      <c r="A306" s="5" t="s">
        <v>80</v>
      </c>
      <c r="B306">
        <f>VLOOKUP(A306,Table1[[Item Purchased]:[Subscription Status]],8,FALSE)</f>
        <v>4.7</v>
      </c>
    </row>
    <row r="307" spans="1:2" x14ac:dyDescent="0.3">
      <c r="A307" s="6" t="s">
        <v>29</v>
      </c>
      <c r="B307">
        <f>VLOOKUP(A307,Table1[[Item Purchased]:[Subscription Status]],8,FALSE)</f>
        <v>3.1</v>
      </c>
    </row>
    <row r="308" spans="1:2" x14ac:dyDescent="0.3">
      <c r="A308" s="5" t="s">
        <v>101</v>
      </c>
      <c r="B308">
        <f>VLOOKUP(A308,Table1[[Item Purchased]:[Subscription Status]],8,FALSE)</f>
        <v>2.9</v>
      </c>
    </row>
    <row r="309" spans="1:2" x14ac:dyDescent="0.3">
      <c r="A309" s="6" t="s">
        <v>142</v>
      </c>
      <c r="B309">
        <f>VLOOKUP(A309,Table1[[Item Purchased]:[Subscription Status]],8,FALSE)</f>
        <v>4.5</v>
      </c>
    </row>
    <row r="310" spans="1:2" x14ac:dyDescent="0.3">
      <c r="A310" s="5" t="s">
        <v>65</v>
      </c>
      <c r="B310">
        <f>VLOOKUP(A310,Table1[[Item Purchased]:[Subscription Status]],8,FALSE)</f>
        <v>4.8</v>
      </c>
    </row>
    <row r="311" spans="1:2" x14ac:dyDescent="0.3">
      <c r="A311" s="6" t="s">
        <v>80</v>
      </c>
      <c r="B311">
        <f>VLOOKUP(A311,Table1[[Item Purchased]:[Subscription Status]],8,FALSE)</f>
        <v>4.7</v>
      </c>
    </row>
    <row r="312" spans="1:2" x14ac:dyDescent="0.3">
      <c r="A312" s="5" t="s">
        <v>94</v>
      </c>
      <c r="B312">
        <f>VLOOKUP(A312,Table1[[Item Purchased]:[Subscription Status]],8,FALSE)</f>
        <v>3.3</v>
      </c>
    </row>
    <row r="313" spans="1:2" x14ac:dyDescent="0.3">
      <c r="A313" s="6" t="s">
        <v>33</v>
      </c>
      <c r="B313">
        <f>VLOOKUP(A313,Table1[[Item Purchased]:[Subscription Status]],8,FALSE)</f>
        <v>3.1</v>
      </c>
    </row>
    <row r="314" spans="1:2" x14ac:dyDescent="0.3">
      <c r="A314" s="5" t="s">
        <v>94</v>
      </c>
      <c r="B314">
        <f>VLOOKUP(A314,Table1[[Item Purchased]:[Subscription Status]],8,FALSE)</f>
        <v>3.3</v>
      </c>
    </row>
    <row r="315" spans="1:2" x14ac:dyDescent="0.3">
      <c r="A315" s="6" t="s">
        <v>80</v>
      </c>
      <c r="B315">
        <f>VLOOKUP(A315,Table1[[Item Purchased]:[Subscription Status]],8,FALSE)</f>
        <v>4.7</v>
      </c>
    </row>
    <row r="316" spans="1:2" x14ac:dyDescent="0.3">
      <c r="A316" s="5" t="s">
        <v>94</v>
      </c>
      <c r="B316">
        <f>VLOOKUP(A316,Table1[[Item Purchased]:[Subscription Status]],8,FALSE)</f>
        <v>3.3</v>
      </c>
    </row>
    <row r="317" spans="1:2" x14ac:dyDescent="0.3">
      <c r="A317" s="6" t="s">
        <v>105</v>
      </c>
      <c r="B317">
        <f>VLOOKUP(A317,Table1[[Item Purchased]:[Subscription Status]],8,FALSE)</f>
        <v>3.6</v>
      </c>
    </row>
    <row r="318" spans="1:2" x14ac:dyDescent="0.3">
      <c r="A318" s="5" t="s">
        <v>65</v>
      </c>
      <c r="B318">
        <f>VLOOKUP(A318,Table1[[Item Purchased]:[Subscription Status]],8,FALSE)</f>
        <v>4.8</v>
      </c>
    </row>
    <row r="319" spans="1:2" x14ac:dyDescent="0.3">
      <c r="A319" s="6" t="s">
        <v>29</v>
      </c>
      <c r="B319">
        <f>VLOOKUP(A319,Table1[[Item Purchased]:[Subscription Status]],8,FALSE)</f>
        <v>3.1</v>
      </c>
    </row>
    <row r="320" spans="1:2" x14ac:dyDescent="0.3">
      <c r="A320" s="5" t="s">
        <v>131</v>
      </c>
      <c r="B320">
        <f>VLOOKUP(A320,Table1[[Item Purchased]:[Subscription Status]],8,FALSE)</f>
        <v>4.7</v>
      </c>
    </row>
    <row r="321" spans="1:2" x14ac:dyDescent="0.3">
      <c r="A321" s="6" t="s">
        <v>58</v>
      </c>
      <c r="B321">
        <f>VLOOKUP(A321,Table1[[Item Purchased]:[Subscription Status]],8,FALSE)</f>
        <v>3.2</v>
      </c>
    </row>
    <row r="322" spans="1:2" x14ac:dyDescent="0.3">
      <c r="A322" s="5" t="s">
        <v>105</v>
      </c>
      <c r="B322">
        <f>VLOOKUP(A322,Table1[[Item Purchased]:[Subscription Status]],8,FALSE)</f>
        <v>3.6</v>
      </c>
    </row>
    <row r="323" spans="1:2" x14ac:dyDescent="0.3">
      <c r="A323" s="6" t="s">
        <v>49</v>
      </c>
      <c r="B323">
        <f>VLOOKUP(A323,Table1[[Item Purchased]:[Subscription Status]],8,FALSE)</f>
        <v>2.9</v>
      </c>
    </row>
    <row r="324" spans="1:2" x14ac:dyDescent="0.3">
      <c r="A324" s="5" t="s">
        <v>132</v>
      </c>
      <c r="B324">
        <f>VLOOKUP(A324,Table1[[Item Purchased]:[Subscription Status]],8,FALSE)</f>
        <v>4.5999999999999996</v>
      </c>
    </row>
    <row r="325" spans="1:2" x14ac:dyDescent="0.3">
      <c r="A325" s="6" t="s">
        <v>103</v>
      </c>
      <c r="B325">
        <f>VLOOKUP(A325,Table1[[Item Purchased]:[Subscription Status]],8,FALSE)</f>
        <v>3.6</v>
      </c>
    </row>
    <row r="326" spans="1:2" x14ac:dyDescent="0.3">
      <c r="A326" s="5" t="s">
        <v>54</v>
      </c>
      <c r="B326">
        <f>VLOOKUP(A326,Table1[[Item Purchased]:[Subscription Status]],8,FALSE)</f>
        <v>3.2</v>
      </c>
    </row>
    <row r="327" spans="1:2" x14ac:dyDescent="0.3">
      <c r="A327" s="6" t="s">
        <v>94</v>
      </c>
      <c r="B327">
        <f>VLOOKUP(A327,Table1[[Item Purchased]:[Subscription Status]],8,FALSE)</f>
        <v>3.3</v>
      </c>
    </row>
    <row r="328" spans="1:2" x14ac:dyDescent="0.3">
      <c r="A328" s="5" t="s">
        <v>118</v>
      </c>
      <c r="B328">
        <f>VLOOKUP(A328,Table1[[Item Purchased]:[Subscription Status]],8,FALSE)</f>
        <v>4.5</v>
      </c>
    </row>
    <row r="329" spans="1:2" x14ac:dyDescent="0.3">
      <c r="A329" s="6" t="s">
        <v>61</v>
      </c>
      <c r="B329">
        <f>VLOOKUP(A329,Table1[[Item Purchased]:[Subscription Status]],8,FALSE)</f>
        <v>2.6</v>
      </c>
    </row>
    <row r="330" spans="1:2" x14ac:dyDescent="0.3">
      <c r="A330" s="5" t="s">
        <v>61</v>
      </c>
      <c r="B330">
        <f>VLOOKUP(A330,Table1[[Item Purchased]:[Subscription Status]],8,FALSE)</f>
        <v>2.6</v>
      </c>
    </row>
    <row r="331" spans="1:2" x14ac:dyDescent="0.3">
      <c r="A331" s="6" t="s">
        <v>124</v>
      </c>
      <c r="B331">
        <f>VLOOKUP(A331,Table1[[Item Purchased]:[Subscription Status]],8,FALSE)</f>
        <v>2.9</v>
      </c>
    </row>
    <row r="332" spans="1:2" x14ac:dyDescent="0.3">
      <c r="A332" s="5" t="s">
        <v>29</v>
      </c>
      <c r="B332">
        <f>VLOOKUP(A332,Table1[[Item Purchased]:[Subscription Status]],8,FALSE)</f>
        <v>3.1</v>
      </c>
    </row>
    <row r="333" spans="1:2" x14ac:dyDescent="0.3">
      <c r="A333" s="6" t="s">
        <v>54</v>
      </c>
      <c r="B333">
        <f>VLOOKUP(A333,Table1[[Item Purchased]:[Subscription Status]],8,FALSE)</f>
        <v>3.2</v>
      </c>
    </row>
    <row r="334" spans="1:2" x14ac:dyDescent="0.3">
      <c r="A334" s="5" t="s">
        <v>54</v>
      </c>
      <c r="B334">
        <f>VLOOKUP(A334,Table1[[Item Purchased]:[Subscription Status]],8,FALSE)</f>
        <v>3.2</v>
      </c>
    </row>
    <row r="335" spans="1:2" x14ac:dyDescent="0.3">
      <c r="A335" s="6" t="s">
        <v>29</v>
      </c>
      <c r="B335">
        <f>VLOOKUP(A335,Table1[[Item Purchased]:[Subscription Status]],8,FALSE)</f>
        <v>3.1</v>
      </c>
    </row>
    <row r="336" spans="1:2" x14ac:dyDescent="0.3">
      <c r="A336" s="5" t="s">
        <v>19</v>
      </c>
      <c r="B336">
        <f>VLOOKUP(A336,Table1[[Item Purchased]:[Subscription Status]],8,FALSE)</f>
        <v>3.1</v>
      </c>
    </row>
    <row r="337" spans="1:2" x14ac:dyDescent="0.3">
      <c r="A337" s="6" t="s">
        <v>29</v>
      </c>
      <c r="B337">
        <f>VLOOKUP(A337,Table1[[Item Purchased]:[Subscription Status]],8,FALSE)</f>
        <v>3.1</v>
      </c>
    </row>
    <row r="338" spans="1:2" x14ac:dyDescent="0.3">
      <c r="A338" s="5" t="s">
        <v>123</v>
      </c>
      <c r="B338">
        <f>VLOOKUP(A338,Table1[[Item Purchased]:[Subscription Status]],8,FALSE)</f>
        <v>4.5999999999999996</v>
      </c>
    </row>
    <row r="339" spans="1:2" x14ac:dyDescent="0.3">
      <c r="A339" s="6" t="s">
        <v>29</v>
      </c>
      <c r="B339">
        <f>VLOOKUP(A339,Table1[[Item Purchased]:[Subscription Status]],8,FALSE)</f>
        <v>3.1</v>
      </c>
    </row>
    <row r="340" spans="1:2" x14ac:dyDescent="0.3">
      <c r="A340" s="5" t="s">
        <v>103</v>
      </c>
      <c r="B340">
        <f>VLOOKUP(A340,Table1[[Item Purchased]:[Subscription Status]],8,FALSE)</f>
        <v>3.6</v>
      </c>
    </row>
    <row r="341" spans="1:2" x14ac:dyDescent="0.3">
      <c r="A341" s="6" t="s">
        <v>58</v>
      </c>
      <c r="B341">
        <f>VLOOKUP(A341,Table1[[Item Purchased]:[Subscription Status]],8,FALSE)</f>
        <v>3.2</v>
      </c>
    </row>
    <row r="342" spans="1:2" x14ac:dyDescent="0.3">
      <c r="A342" s="5" t="s">
        <v>58</v>
      </c>
      <c r="B342">
        <f>VLOOKUP(A342,Table1[[Item Purchased]:[Subscription Status]],8,FALSE)</f>
        <v>3.2</v>
      </c>
    </row>
    <row r="343" spans="1:2" x14ac:dyDescent="0.3">
      <c r="A343" s="6" t="s">
        <v>123</v>
      </c>
      <c r="B343">
        <f>VLOOKUP(A343,Table1[[Item Purchased]:[Subscription Status]],8,FALSE)</f>
        <v>4.5999999999999996</v>
      </c>
    </row>
    <row r="344" spans="1:2" x14ac:dyDescent="0.3">
      <c r="A344" s="5" t="s">
        <v>61</v>
      </c>
      <c r="B344">
        <f>VLOOKUP(A344,Table1[[Item Purchased]:[Subscription Status]],8,FALSE)</f>
        <v>2.6</v>
      </c>
    </row>
    <row r="345" spans="1:2" x14ac:dyDescent="0.3">
      <c r="A345" s="6" t="s">
        <v>40</v>
      </c>
      <c r="B345">
        <f>VLOOKUP(A345,Table1[[Item Purchased]:[Subscription Status]],8,FALSE)</f>
        <v>3.5</v>
      </c>
    </row>
    <row r="346" spans="1:2" x14ac:dyDescent="0.3">
      <c r="A346" s="5" t="s">
        <v>86</v>
      </c>
      <c r="B346">
        <f>VLOOKUP(A346,Table1[[Item Purchased]:[Subscription Status]],8,FALSE)</f>
        <v>2.8</v>
      </c>
    </row>
    <row r="347" spans="1:2" x14ac:dyDescent="0.3">
      <c r="A347" s="6" t="s">
        <v>70</v>
      </c>
      <c r="B347">
        <f>VLOOKUP(A347,Table1[[Item Purchased]:[Subscription Status]],8,FALSE)</f>
        <v>4.0999999999999996</v>
      </c>
    </row>
    <row r="348" spans="1:2" x14ac:dyDescent="0.3">
      <c r="A348" s="5" t="s">
        <v>33</v>
      </c>
      <c r="B348">
        <f>VLOOKUP(A348,Table1[[Item Purchased]:[Subscription Status]],8,FALSE)</f>
        <v>3.1</v>
      </c>
    </row>
    <row r="349" spans="1:2" x14ac:dyDescent="0.3">
      <c r="A349" s="6" t="s">
        <v>40</v>
      </c>
      <c r="B349">
        <f>VLOOKUP(A349,Table1[[Item Purchased]:[Subscription Status]],8,FALSE)</f>
        <v>3.5</v>
      </c>
    </row>
    <row r="350" spans="1:2" x14ac:dyDescent="0.3">
      <c r="A350" s="5" t="s">
        <v>19</v>
      </c>
      <c r="B350">
        <f>VLOOKUP(A350,Table1[[Item Purchased]:[Subscription Status]],8,FALSE)</f>
        <v>3.1</v>
      </c>
    </row>
    <row r="351" spans="1:2" x14ac:dyDescent="0.3">
      <c r="A351" s="6" t="s">
        <v>123</v>
      </c>
      <c r="B351">
        <f>VLOOKUP(A351,Table1[[Item Purchased]:[Subscription Status]],8,FALSE)</f>
        <v>4.5999999999999996</v>
      </c>
    </row>
    <row r="352" spans="1:2" x14ac:dyDescent="0.3">
      <c r="A352" s="5" t="s">
        <v>29</v>
      </c>
      <c r="B352">
        <f>VLOOKUP(A352,Table1[[Item Purchased]:[Subscription Status]],8,FALSE)</f>
        <v>3.1</v>
      </c>
    </row>
    <row r="353" spans="1:2" x14ac:dyDescent="0.3">
      <c r="A353" s="6" t="s">
        <v>86</v>
      </c>
      <c r="B353">
        <f>VLOOKUP(A353,Table1[[Item Purchased]:[Subscription Status]],8,FALSE)</f>
        <v>2.8</v>
      </c>
    </row>
    <row r="354" spans="1:2" x14ac:dyDescent="0.3">
      <c r="A354" s="5" t="s">
        <v>33</v>
      </c>
      <c r="B354">
        <f>VLOOKUP(A354,Table1[[Item Purchased]:[Subscription Status]],8,FALSE)</f>
        <v>3.1</v>
      </c>
    </row>
    <row r="355" spans="1:2" x14ac:dyDescent="0.3">
      <c r="A355" s="6" t="s">
        <v>49</v>
      </c>
      <c r="B355">
        <f>VLOOKUP(A355,Table1[[Item Purchased]:[Subscription Status]],8,FALSE)</f>
        <v>2.9</v>
      </c>
    </row>
    <row r="356" spans="1:2" x14ac:dyDescent="0.3">
      <c r="A356" s="5" t="s">
        <v>105</v>
      </c>
      <c r="B356">
        <f>VLOOKUP(A356,Table1[[Item Purchased]:[Subscription Status]],8,FALSE)</f>
        <v>3.6</v>
      </c>
    </row>
    <row r="357" spans="1:2" x14ac:dyDescent="0.3">
      <c r="A357" s="6" t="s">
        <v>105</v>
      </c>
      <c r="B357">
        <f>VLOOKUP(A357,Table1[[Item Purchased]:[Subscription Status]],8,FALSE)</f>
        <v>3.6</v>
      </c>
    </row>
    <row r="358" spans="1:2" x14ac:dyDescent="0.3">
      <c r="A358" s="5" t="s">
        <v>94</v>
      </c>
      <c r="B358">
        <f>VLOOKUP(A358,Table1[[Item Purchased]:[Subscription Status]],8,FALSE)</f>
        <v>3.3</v>
      </c>
    </row>
    <row r="359" spans="1:2" x14ac:dyDescent="0.3">
      <c r="A359" s="6" t="s">
        <v>132</v>
      </c>
      <c r="B359">
        <f>VLOOKUP(A359,Table1[[Item Purchased]:[Subscription Status]],8,FALSE)</f>
        <v>4.5999999999999996</v>
      </c>
    </row>
    <row r="360" spans="1:2" x14ac:dyDescent="0.3">
      <c r="A360" s="5" t="s">
        <v>123</v>
      </c>
      <c r="B360">
        <f>VLOOKUP(A360,Table1[[Item Purchased]:[Subscription Status]],8,FALSE)</f>
        <v>4.5999999999999996</v>
      </c>
    </row>
    <row r="361" spans="1:2" x14ac:dyDescent="0.3">
      <c r="A361" s="6" t="s">
        <v>49</v>
      </c>
      <c r="B361">
        <f>VLOOKUP(A361,Table1[[Item Purchased]:[Subscription Status]],8,FALSE)</f>
        <v>2.9</v>
      </c>
    </row>
    <row r="362" spans="1:2" x14ac:dyDescent="0.3">
      <c r="A362" s="5" t="s">
        <v>94</v>
      </c>
      <c r="B362">
        <f>VLOOKUP(A362,Table1[[Item Purchased]:[Subscription Status]],8,FALSE)</f>
        <v>3.3</v>
      </c>
    </row>
    <row r="363" spans="1:2" x14ac:dyDescent="0.3">
      <c r="A363" s="6" t="s">
        <v>112</v>
      </c>
      <c r="B363">
        <f>VLOOKUP(A363,Table1[[Item Purchased]:[Subscription Status]],8,FALSE)</f>
        <v>4.5999999999999996</v>
      </c>
    </row>
    <row r="364" spans="1:2" x14ac:dyDescent="0.3">
      <c r="A364" s="5" t="s">
        <v>49</v>
      </c>
      <c r="B364">
        <f>VLOOKUP(A364,Table1[[Item Purchased]:[Subscription Status]],8,FALSE)</f>
        <v>2.9</v>
      </c>
    </row>
    <row r="365" spans="1:2" x14ac:dyDescent="0.3">
      <c r="A365" s="6" t="s">
        <v>58</v>
      </c>
      <c r="B365">
        <f>VLOOKUP(A365,Table1[[Item Purchased]:[Subscription Status]],8,FALSE)</f>
        <v>3.2</v>
      </c>
    </row>
    <row r="366" spans="1:2" x14ac:dyDescent="0.3">
      <c r="A366" s="5" t="s">
        <v>70</v>
      </c>
      <c r="B366">
        <f>VLOOKUP(A366,Table1[[Item Purchased]:[Subscription Status]],8,FALSE)</f>
        <v>4.0999999999999996</v>
      </c>
    </row>
    <row r="367" spans="1:2" x14ac:dyDescent="0.3">
      <c r="A367" s="6" t="s">
        <v>142</v>
      </c>
      <c r="B367">
        <f>VLOOKUP(A367,Table1[[Item Purchased]:[Subscription Status]],8,FALSE)</f>
        <v>4.5</v>
      </c>
    </row>
    <row r="368" spans="1:2" x14ac:dyDescent="0.3">
      <c r="A368" s="5" t="s">
        <v>124</v>
      </c>
      <c r="B368">
        <f>VLOOKUP(A368,Table1[[Item Purchased]:[Subscription Status]],8,FALSE)</f>
        <v>2.9</v>
      </c>
    </row>
    <row r="369" spans="1:2" x14ac:dyDescent="0.3">
      <c r="A369" s="6" t="s">
        <v>80</v>
      </c>
      <c r="B369">
        <f>VLOOKUP(A369,Table1[[Item Purchased]:[Subscription Status]],8,FALSE)</f>
        <v>4.7</v>
      </c>
    </row>
    <row r="370" spans="1:2" x14ac:dyDescent="0.3">
      <c r="A370" s="5" t="s">
        <v>65</v>
      </c>
      <c r="B370">
        <f>VLOOKUP(A370,Table1[[Item Purchased]:[Subscription Status]],8,FALSE)</f>
        <v>4.8</v>
      </c>
    </row>
    <row r="371" spans="1:2" x14ac:dyDescent="0.3">
      <c r="A371" s="6" t="s">
        <v>132</v>
      </c>
      <c r="B371">
        <f>VLOOKUP(A371,Table1[[Item Purchased]:[Subscription Status]],8,FALSE)</f>
        <v>4.5999999999999996</v>
      </c>
    </row>
    <row r="372" spans="1:2" x14ac:dyDescent="0.3">
      <c r="A372" s="5" t="s">
        <v>118</v>
      </c>
      <c r="B372">
        <f>VLOOKUP(A372,Table1[[Item Purchased]:[Subscription Status]],8,FALSE)</f>
        <v>4.5</v>
      </c>
    </row>
    <row r="373" spans="1:2" x14ac:dyDescent="0.3">
      <c r="A373" s="6" t="s">
        <v>49</v>
      </c>
      <c r="B373">
        <f>VLOOKUP(A373,Table1[[Item Purchased]:[Subscription Status]],8,FALSE)</f>
        <v>2.9</v>
      </c>
    </row>
    <row r="374" spans="1:2" x14ac:dyDescent="0.3">
      <c r="A374" s="5" t="s">
        <v>29</v>
      </c>
      <c r="B374">
        <f>VLOOKUP(A374,Table1[[Item Purchased]:[Subscription Status]],8,FALSE)</f>
        <v>3.1</v>
      </c>
    </row>
    <row r="375" spans="1:2" x14ac:dyDescent="0.3">
      <c r="A375" s="6" t="s">
        <v>61</v>
      </c>
      <c r="B375">
        <f>VLOOKUP(A375,Table1[[Item Purchased]:[Subscription Status]],8,FALSE)</f>
        <v>2.6</v>
      </c>
    </row>
    <row r="376" spans="1:2" x14ac:dyDescent="0.3">
      <c r="A376" s="5" t="s">
        <v>105</v>
      </c>
      <c r="B376">
        <f>VLOOKUP(A376,Table1[[Item Purchased]:[Subscription Status]],8,FALSE)</f>
        <v>3.6</v>
      </c>
    </row>
    <row r="377" spans="1:2" x14ac:dyDescent="0.3">
      <c r="A377" s="6" t="s">
        <v>88</v>
      </c>
      <c r="B377">
        <f>VLOOKUP(A377,Table1[[Item Purchased]:[Subscription Status]],8,FALSE)</f>
        <v>4.0999999999999996</v>
      </c>
    </row>
    <row r="378" spans="1:2" x14ac:dyDescent="0.3">
      <c r="A378" s="5" t="s">
        <v>70</v>
      </c>
      <c r="B378">
        <f>VLOOKUP(A378,Table1[[Item Purchased]:[Subscription Status]],8,FALSE)</f>
        <v>4.0999999999999996</v>
      </c>
    </row>
    <row r="379" spans="1:2" x14ac:dyDescent="0.3">
      <c r="A379" s="6" t="s">
        <v>118</v>
      </c>
      <c r="B379">
        <f>VLOOKUP(A379,Table1[[Item Purchased]:[Subscription Status]],8,FALSE)</f>
        <v>4.5</v>
      </c>
    </row>
    <row r="380" spans="1:2" x14ac:dyDescent="0.3">
      <c r="A380" s="5" t="s">
        <v>80</v>
      </c>
      <c r="B380">
        <f>VLOOKUP(A380,Table1[[Item Purchased]:[Subscription Status]],8,FALSE)</f>
        <v>4.7</v>
      </c>
    </row>
    <row r="381" spans="1:2" x14ac:dyDescent="0.3">
      <c r="A381" s="6" t="s">
        <v>112</v>
      </c>
      <c r="B381">
        <f>VLOOKUP(A381,Table1[[Item Purchased]:[Subscription Status]],8,FALSE)</f>
        <v>4.5999999999999996</v>
      </c>
    </row>
    <row r="382" spans="1:2" x14ac:dyDescent="0.3">
      <c r="A382" s="5" t="s">
        <v>131</v>
      </c>
      <c r="B382">
        <f>VLOOKUP(A382,Table1[[Item Purchased]:[Subscription Status]],8,FALSE)</f>
        <v>4.7</v>
      </c>
    </row>
    <row r="383" spans="1:2" x14ac:dyDescent="0.3">
      <c r="A383" s="6" t="s">
        <v>105</v>
      </c>
      <c r="B383">
        <f>VLOOKUP(A383,Table1[[Item Purchased]:[Subscription Status]],8,FALSE)</f>
        <v>3.6</v>
      </c>
    </row>
    <row r="384" spans="1:2" x14ac:dyDescent="0.3">
      <c r="A384" s="5" t="s">
        <v>33</v>
      </c>
      <c r="B384">
        <f>VLOOKUP(A384,Table1[[Item Purchased]:[Subscription Status]],8,FALSE)</f>
        <v>3.1</v>
      </c>
    </row>
    <row r="385" spans="1:2" x14ac:dyDescent="0.3">
      <c r="A385" s="6" t="s">
        <v>88</v>
      </c>
      <c r="B385">
        <f>VLOOKUP(A385,Table1[[Item Purchased]:[Subscription Status]],8,FALSE)</f>
        <v>4.0999999999999996</v>
      </c>
    </row>
    <row r="386" spans="1:2" x14ac:dyDescent="0.3">
      <c r="A386" s="5" t="s">
        <v>29</v>
      </c>
      <c r="B386">
        <f>VLOOKUP(A386,Table1[[Item Purchased]:[Subscription Status]],8,FALSE)</f>
        <v>3.1</v>
      </c>
    </row>
    <row r="387" spans="1:2" x14ac:dyDescent="0.3">
      <c r="A387" s="6" t="s">
        <v>58</v>
      </c>
      <c r="B387">
        <f>VLOOKUP(A387,Table1[[Item Purchased]:[Subscription Status]],8,FALSE)</f>
        <v>3.2</v>
      </c>
    </row>
    <row r="388" spans="1:2" x14ac:dyDescent="0.3">
      <c r="A388" s="5" t="s">
        <v>105</v>
      </c>
      <c r="B388">
        <f>VLOOKUP(A388,Table1[[Item Purchased]:[Subscription Status]],8,FALSE)</f>
        <v>3.6</v>
      </c>
    </row>
    <row r="389" spans="1:2" x14ac:dyDescent="0.3">
      <c r="A389" s="6" t="s">
        <v>61</v>
      </c>
      <c r="B389">
        <f>VLOOKUP(A389,Table1[[Item Purchased]:[Subscription Status]],8,FALSE)</f>
        <v>2.6</v>
      </c>
    </row>
    <row r="390" spans="1:2" x14ac:dyDescent="0.3">
      <c r="A390" s="5" t="s">
        <v>65</v>
      </c>
      <c r="B390">
        <f>VLOOKUP(A390,Table1[[Item Purchased]:[Subscription Status]],8,FALSE)</f>
        <v>4.8</v>
      </c>
    </row>
    <row r="391" spans="1:2" x14ac:dyDescent="0.3">
      <c r="A391" s="6" t="s">
        <v>136</v>
      </c>
      <c r="B391">
        <f>VLOOKUP(A391,Table1[[Item Purchased]:[Subscription Status]],8,FALSE)</f>
        <v>4.8</v>
      </c>
    </row>
    <row r="392" spans="1:2" x14ac:dyDescent="0.3">
      <c r="A392" s="5" t="s">
        <v>142</v>
      </c>
      <c r="B392">
        <f>VLOOKUP(A392,Table1[[Item Purchased]:[Subscription Status]],8,FALSE)</f>
        <v>4.5</v>
      </c>
    </row>
    <row r="393" spans="1:2" x14ac:dyDescent="0.3">
      <c r="A393" s="6" t="s">
        <v>29</v>
      </c>
      <c r="B393">
        <f>VLOOKUP(A393,Table1[[Item Purchased]:[Subscription Status]],8,FALSE)</f>
        <v>3.1</v>
      </c>
    </row>
    <row r="394" spans="1:2" x14ac:dyDescent="0.3">
      <c r="A394" s="5" t="s">
        <v>112</v>
      </c>
      <c r="B394">
        <f>VLOOKUP(A394,Table1[[Item Purchased]:[Subscription Status]],8,FALSE)</f>
        <v>4.5999999999999996</v>
      </c>
    </row>
    <row r="395" spans="1:2" x14ac:dyDescent="0.3">
      <c r="A395" s="6" t="s">
        <v>70</v>
      </c>
      <c r="B395">
        <f>VLOOKUP(A395,Table1[[Item Purchased]:[Subscription Status]],8,FALSE)</f>
        <v>4.0999999999999996</v>
      </c>
    </row>
    <row r="396" spans="1:2" x14ac:dyDescent="0.3">
      <c r="A396" s="5" t="s">
        <v>118</v>
      </c>
      <c r="B396">
        <f>VLOOKUP(A396,Table1[[Item Purchased]:[Subscription Status]],8,FALSE)</f>
        <v>4.5</v>
      </c>
    </row>
    <row r="397" spans="1:2" x14ac:dyDescent="0.3">
      <c r="A397" s="6" t="s">
        <v>49</v>
      </c>
      <c r="B397">
        <f>VLOOKUP(A397,Table1[[Item Purchased]:[Subscription Status]],8,FALSE)</f>
        <v>2.9</v>
      </c>
    </row>
    <row r="398" spans="1:2" x14ac:dyDescent="0.3">
      <c r="A398" s="5" t="s">
        <v>80</v>
      </c>
      <c r="B398">
        <f>VLOOKUP(A398,Table1[[Item Purchased]:[Subscription Status]],8,FALSE)</f>
        <v>4.7</v>
      </c>
    </row>
    <row r="399" spans="1:2" x14ac:dyDescent="0.3">
      <c r="A399" s="6" t="s">
        <v>132</v>
      </c>
      <c r="B399">
        <f>VLOOKUP(A399,Table1[[Item Purchased]:[Subscription Status]],8,FALSE)</f>
        <v>4.5999999999999996</v>
      </c>
    </row>
    <row r="400" spans="1:2" x14ac:dyDescent="0.3">
      <c r="A400" s="5" t="s">
        <v>136</v>
      </c>
      <c r="B400">
        <f>VLOOKUP(A400,Table1[[Item Purchased]:[Subscription Status]],8,FALSE)</f>
        <v>4.8</v>
      </c>
    </row>
    <row r="401" spans="1:2" x14ac:dyDescent="0.3">
      <c r="A401" s="6" t="s">
        <v>118</v>
      </c>
      <c r="B401">
        <f>VLOOKUP(A401,Table1[[Item Purchased]:[Subscription Status]],8,FALSE)</f>
        <v>4.5</v>
      </c>
    </row>
    <row r="402" spans="1:2" x14ac:dyDescent="0.3">
      <c r="A402" s="5" t="s">
        <v>136</v>
      </c>
      <c r="B402">
        <f>VLOOKUP(A402,Table1[[Item Purchased]:[Subscription Status]],8,FALSE)</f>
        <v>4.8</v>
      </c>
    </row>
    <row r="403" spans="1:2" x14ac:dyDescent="0.3">
      <c r="A403" s="6" t="s">
        <v>112</v>
      </c>
      <c r="B403">
        <f>VLOOKUP(A403,Table1[[Item Purchased]:[Subscription Status]],8,FALSE)</f>
        <v>4.5999999999999996</v>
      </c>
    </row>
    <row r="404" spans="1:2" x14ac:dyDescent="0.3">
      <c r="A404" s="5" t="s">
        <v>131</v>
      </c>
      <c r="B404">
        <f>VLOOKUP(A404,Table1[[Item Purchased]:[Subscription Status]],8,FALSE)</f>
        <v>4.7</v>
      </c>
    </row>
    <row r="405" spans="1:2" x14ac:dyDescent="0.3">
      <c r="A405" s="6" t="s">
        <v>49</v>
      </c>
      <c r="B405">
        <f>VLOOKUP(A405,Table1[[Item Purchased]:[Subscription Status]],8,FALSE)</f>
        <v>2.9</v>
      </c>
    </row>
    <row r="406" spans="1:2" x14ac:dyDescent="0.3">
      <c r="A406" s="5" t="s">
        <v>112</v>
      </c>
      <c r="B406">
        <f>VLOOKUP(A406,Table1[[Item Purchased]:[Subscription Status]],8,FALSE)</f>
        <v>4.5999999999999996</v>
      </c>
    </row>
    <row r="407" spans="1:2" x14ac:dyDescent="0.3">
      <c r="A407" s="6" t="s">
        <v>33</v>
      </c>
      <c r="B407">
        <f>VLOOKUP(A407,Table1[[Item Purchased]:[Subscription Status]],8,FALSE)</f>
        <v>3.1</v>
      </c>
    </row>
    <row r="408" spans="1:2" x14ac:dyDescent="0.3">
      <c r="A408" s="5" t="s">
        <v>142</v>
      </c>
      <c r="B408">
        <f>VLOOKUP(A408,Table1[[Item Purchased]:[Subscription Status]],8,FALSE)</f>
        <v>4.5</v>
      </c>
    </row>
    <row r="409" spans="1:2" x14ac:dyDescent="0.3">
      <c r="A409" s="6" t="s">
        <v>103</v>
      </c>
      <c r="B409">
        <f>VLOOKUP(A409,Table1[[Item Purchased]:[Subscription Status]],8,FALSE)</f>
        <v>3.6</v>
      </c>
    </row>
    <row r="410" spans="1:2" x14ac:dyDescent="0.3">
      <c r="A410" s="5" t="s">
        <v>49</v>
      </c>
      <c r="B410">
        <f>VLOOKUP(A410,Table1[[Item Purchased]:[Subscription Status]],8,FALSE)</f>
        <v>2.9</v>
      </c>
    </row>
    <row r="411" spans="1:2" x14ac:dyDescent="0.3">
      <c r="A411" s="6" t="s">
        <v>58</v>
      </c>
      <c r="B411">
        <f>VLOOKUP(A411,Table1[[Item Purchased]:[Subscription Status]],8,FALSE)</f>
        <v>3.2</v>
      </c>
    </row>
    <row r="412" spans="1:2" x14ac:dyDescent="0.3">
      <c r="A412" s="5" t="s">
        <v>29</v>
      </c>
      <c r="B412">
        <f>VLOOKUP(A412,Table1[[Item Purchased]:[Subscription Status]],8,FALSE)</f>
        <v>3.1</v>
      </c>
    </row>
    <row r="413" spans="1:2" x14ac:dyDescent="0.3">
      <c r="A413" s="6" t="s">
        <v>33</v>
      </c>
      <c r="B413">
        <f>VLOOKUP(A413,Table1[[Item Purchased]:[Subscription Status]],8,FALSE)</f>
        <v>3.1</v>
      </c>
    </row>
    <row r="414" spans="1:2" x14ac:dyDescent="0.3">
      <c r="A414" s="5" t="s">
        <v>101</v>
      </c>
      <c r="B414">
        <f>VLOOKUP(A414,Table1[[Item Purchased]:[Subscription Status]],8,FALSE)</f>
        <v>2.9</v>
      </c>
    </row>
    <row r="415" spans="1:2" x14ac:dyDescent="0.3">
      <c r="A415" s="6" t="s">
        <v>105</v>
      </c>
      <c r="B415">
        <f>VLOOKUP(A415,Table1[[Item Purchased]:[Subscription Status]],8,FALSE)</f>
        <v>3.6</v>
      </c>
    </row>
    <row r="416" spans="1:2" x14ac:dyDescent="0.3">
      <c r="A416" s="5" t="s">
        <v>131</v>
      </c>
      <c r="B416">
        <f>VLOOKUP(A416,Table1[[Item Purchased]:[Subscription Status]],8,FALSE)</f>
        <v>4.7</v>
      </c>
    </row>
    <row r="417" spans="1:2" x14ac:dyDescent="0.3">
      <c r="A417" s="6" t="s">
        <v>61</v>
      </c>
      <c r="B417">
        <f>VLOOKUP(A417,Table1[[Item Purchased]:[Subscription Status]],8,FALSE)</f>
        <v>2.6</v>
      </c>
    </row>
    <row r="418" spans="1:2" x14ac:dyDescent="0.3">
      <c r="A418" s="5" t="s">
        <v>132</v>
      </c>
      <c r="B418">
        <f>VLOOKUP(A418,Table1[[Item Purchased]:[Subscription Status]],8,FALSE)</f>
        <v>4.5999999999999996</v>
      </c>
    </row>
    <row r="419" spans="1:2" x14ac:dyDescent="0.3">
      <c r="A419" s="6" t="s">
        <v>40</v>
      </c>
      <c r="B419">
        <f>VLOOKUP(A419,Table1[[Item Purchased]:[Subscription Status]],8,FALSE)</f>
        <v>3.5</v>
      </c>
    </row>
    <row r="420" spans="1:2" x14ac:dyDescent="0.3">
      <c r="A420" s="5" t="s">
        <v>29</v>
      </c>
      <c r="B420">
        <f>VLOOKUP(A420,Table1[[Item Purchased]:[Subscription Status]],8,FALSE)</f>
        <v>3.1</v>
      </c>
    </row>
    <row r="421" spans="1:2" x14ac:dyDescent="0.3">
      <c r="A421" s="6" t="s">
        <v>58</v>
      </c>
      <c r="B421">
        <f>VLOOKUP(A421,Table1[[Item Purchased]:[Subscription Status]],8,FALSE)</f>
        <v>3.2</v>
      </c>
    </row>
    <row r="422" spans="1:2" x14ac:dyDescent="0.3">
      <c r="A422" s="5" t="s">
        <v>124</v>
      </c>
      <c r="B422">
        <f>VLOOKUP(A422,Table1[[Item Purchased]:[Subscription Status]],8,FALSE)</f>
        <v>2.9</v>
      </c>
    </row>
    <row r="423" spans="1:2" x14ac:dyDescent="0.3">
      <c r="A423" s="6" t="s">
        <v>54</v>
      </c>
      <c r="B423">
        <f>VLOOKUP(A423,Table1[[Item Purchased]:[Subscription Status]],8,FALSE)</f>
        <v>3.2</v>
      </c>
    </row>
    <row r="424" spans="1:2" x14ac:dyDescent="0.3">
      <c r="A424" s="5" t="s">
        <v>94</v>
      </c>
      <c r="B424">
        <f>VLOOKUP(A424,Table1[[Item Purchased]:[Subscription Status]],8,FALSE)</f>
        <v>3.3</v>
      </c>
    </row>
    <row r="425" spans="1:2" x14ac:dyDescent="0.3">
      <c r="A425" s="6" t="s">
        <v>118</v>
      </c>
      <c r="B425">
        <f>VLOOKUP(A425,Table1[[Item Purchased]:[Subscription Status]],8,FALSE)</f>
        <v>4.5</v>
      </c>
    </row>
    <row r="426" spans="1:2" x14ac:dyDescent="0.3">
      <c r="A426" s="5" t="s">
        <v>29</v>
      </c>
      <c r="B426">
        <f>VLOOKUP(A426,Table1[[Item Purchased]:[Subscription Status]],8,FALSE)</f>
        <v>3.1</v>
      </c>
    </row>
    <row r="427" spans="1:2" x14ac:dyDescent="0.3">
      <c r="A427" s="6" t="s">
        <v>33</v>
      </c>
      <c r="B427">
        <f>VLOOKUP(A427,Table1[[Item Purchased]:[Subscription Status]],8,FALSE)</f>
        <v>3.1</v>
      </c>
    </row>
    <row r="428" spans="1:2" x14ac:dyDescent="0.3">
      <c r="A428" s="5" t="s">
        <v>94</v>
      </c>
      <c r="B428">
        <f>VLOOKUP(A428,Table1[[Item Purchased]:[Subscription Status]],8,FALSE)</f>
        <v>3.3</v>
      </c>
    </row>
    <row r="429" spans="1:2" x14ac:dyDescent="0.3">
      <c r="A429" s="6" t="s">
        <v>131</v>
      </c>
      <c r="B429">
        <f>VLOOKUP(A429,Table1[[Item Purchased]:[Subscription Status]],8,FALSE)</f>
        <v>4.7</v>
      </c>
    </row>
    <row r="430" spans="1:2" x14ac:dyDescent="0.3">
      <c r="A430" s="5" t="s">
        <v>61</v>
      </c>
      <c r="B430">
        <f>VLOOKUP(A430,Table1[[Item Purchased]:[Subscription Status]],8,FALSE)</f>
        <v>2.6</v>
      </c>
    </row>
    <row r="431" spans="1:2" x14ac:dyDescent="0.3">
      <c r="A431" s="6" t="s">
        <v>40</v>
      </c>
      <c r="B431">
        <f>VLOOKUP(A431,Table1[[Item Purchased]:[Subscription Status]],8,FALSE)</f>
        <v>3.5</v>
      </c>
    </row>
    <row r="432" spans="1:2" x14ac:dyDescent="0.3">
      <c r="A432" s="5" t="s">
        <v>54</v>
      </c>
      <c r="B432">
        <f>VLOOKUP(A432,Table1[[Item Purchased]:[Subscription Status]],8,FALSE)</f>
        <v>3.2</v>
      </c>
    </row>
    <row r="433" spans="1:2" x14ac:dyDescent="0.3">
      <c r="A433" s="6" t="s">
        <v>123</v>
      </c>
      <c r="B433">
        <f>VLOOKUP(A433,Table1[[Item Purchased]:[Subscription Status]],8,FALSE)</f>
        <v>4.5999999999999996</v>
      </c>
    </row>
    <row r="434" spans="1:2" x14ac:dyDescent="0.3">
      <c r="A434" s="5" t="s">
        <v>54</v>
      </c>
      <c r="B434">
        <f>VLOOKUP(A434,Table1[[Item Purchased]:[Subscription Status]],8,FALSE)</f>
        <v>3.2</v>
      </c>
    </row>
    <row r="435" spans="1:2" x14ac:dyDescent="0.3">
      <c r="A435" s="6" t="s">
        <v>86</v>
      </c>
      <c r="B435">
        <f>VLOOKUP(A435,Table1[[Item Purchased]:[Subscription Status]],8,FALSE)</f>
        <v>2.8</v>
      </c>
    </row>
    <row r="436" spans="1:2" x14ac:dyDescent="0.3">
      <c r="A436" s="5" t="s">
        <v>70</v>
      </c>
      <c r="B436">
        <f>VLOOKUP(A436,Table1[[Item Purchased]:[Subscription Status]],8,FALSE)</f>
        <v>4.0999999999999996</v>
      </c>
    </row>
    <row r="437" spans="1:2" x14ac:dyDescent="0.3">
      <c r="A437" s="6" t="s">
        <v>61</v>
      </c>
      <c r="B437">
        <f>VLOOKUP(A437,Table1[[Item Purchased]:[Subscription Status]],8,FALSE)</f>
        <v>2.6</v>
      </c>
    </row>
    <row r="438" spans="1:2" x14ac:dyDescent="0.3">
      <c r="A438" s="5" t="s">
        <v>94</v>
      </c>
      <c r="B438">
        <f>VLOOKUP(A438,Table1[[Item Purchased]:[Subscription Status]],8,FALSE)</f>
        <v>3.3</v>
      </c>
    </row>
    <row r="439" spans="1:2" x14ac:dyDescent="0.3">
      <c r="A439" s="6" t="s">
        <v>105</v>
      </c>
      <c r="B439">
        <f>VLOOKUP(A439,Table1[[Item Purchased]:[Subscription Status]],8,FALSE)</f>
        <v>3.6</v>
      </c>
    </row>
    <row r="440" spans="1:2" x14ac:dyDescent="0.3">
      <c r="A440" s="5" t="s">
        <v>132</v>
      </c>
      <c r="B440">
        <f>VLOOKUP(A440,Table1[[Item Purchased]:[Subscription Status]],8,FALSE)</f>
        <v>4.5999999999999996</v>
      </c>
    </row>
    <row r="441" spans="1:2" x14ac:dyDescent="0.3">
      <c r="A441" s="6" t="s">
        <v>101</v>
      </c>
      <c r="B441">
        <f>VLOOKUP(A441,Table1[[Item Purchased]:[Subscription Status]],8,FALSE)</f>
        <v>2.9</v>
      </c>
    </row>
    <row r="442" spans="1:2" x14ac:dyDescent="0.3">
      <c r="A442" s="5" t="s">
        <v>54</v>
      </c>
      <c r="B442">
        <f>VLOOKUP(A442,Table1[[Item Purchased]:[Subscription Status]],8,FALSE)</f>
        <v>3.2</v>
      </c>
    </row>
    <row r="443" spans="1:2" x14ac:dyDescent="0.3">
      <c r="A443" s="6" t="s">
        <v>103</v>
      </c>
      <c r="B443">
        <f>VLOOKUP(A443,Table1[[Item Purchased]:[Subscription Status]],8,FALSE)</f>
        <v>3.6</v>
      </c>
    </row>
    <row r="444" spans="1:2" x14ac:dyDescent="0.3">
      <c r="A444" s="5" t="s">
        <v>88</v>
      </c>
      <c r="B444">
        <f>VLOOKUP(A444,Table1[[Item Purchased]:[Subscription Status]],8,FALSE)</f>
        <v>4.0999999999999996</v>
      </c>
    </row>
    <row r="445" spans="1:2" x14ac:dyDescent="0.3">
      <c r="A445" s="6" t="s">
        <v>88</v>
      </c>
      <c r="B445">
        <f>VLOOKUP(A445,Table1[[Item Purchased]:[Subscription Status]],8,FALSE)</f>
        <v>4.0999999999999996</v>
      </c>
    </row>
    <row r="446" spans="1:2" x14ac:dyDescent="0.3">
      <c r="A446" s="5" t="s">
        <v>80</v>
      </c>
      <c r="B446">
        <f>VLOOKUP(A446,Table1[[Item Purchased]:[Subscription Status]],8,FALSE)</f>
        <v>4.7</v>
      </c>
    </row>
    <row r="447" spans="1:2" x14ac:dyDescent="0.3">
      <c r="A447" s="6" t="s">
        <v>136</v>
      </c>
      <c r="B447">
        <f>VLOOKUP(A447,Table1[[Item Purchased]:[Subscription Status]],8,FALSE)</f>
        <v>4.8</v>
      </c>
    </row>
    <row r="448" spans="1:2" x14ac:dyDescent="0.3">
      <c r="A448" s="5" t="s">
        <v>54</v>
      </c>
      <c r="B448">
        <f>VLOOKUP(A448,Table1[[Item Purchased]:[Subscription Status]],8,FALSE)</f>
        <v>3.2</v>
      </c>
    </row>
    <row r="449" spans="1:2" x14ac:dyDescent="0.3">
      <c r="A449" s="6" t="s">
        <v>58</v>
      </c>
      <c r="B449">
        <f>VLOOKUP(A449,Table1[[Item Purchased]:[Subscription Status]],8,FALSE)</f>
        <v>3.2</v>
      </c>
    </row>
    <row r="450" spans="1:2" x14ac:dyDescent="0.3">
      <c r="A450" s="5" t="s">
        <v>142</v>
      </c>
      <c r="B450">
        <f>VLOOKUP(A450,Table1[[Item Purchased]:[Subscription Status]],8,FALSE)</f>
        <v>4.5</v>
      </c>
    </row>
    <row r="451" spans="1:2" x14ac:dyDescent="0.3">
      <c r="A451" s="6" t="s">
        <v>105</v>
      </c>
      <c r="B451">
        <f>VLOOKUP(A451,Table1[[Item Purchased]:[Subscription Status]],8,FALSE)</f>
        <v>3.6</v>
      </c>
    </row>
    <row r="452" spans="1:2" x14ac:dyDescent="0.3">
      <c r="A452" s="5" t="s">
        <v>136</v>
      </c>
      <c r="B452">
        <f>VLOOKUP(A452,Table1[[Item Purchased]:[Subscription Status]],8,FALSE)</f>
        <v>4.8</v>
      </c>
    </row>
    <row r="453" spans="1:2" x14ac:dyDescent="0.3">
      <c r="A453" s="6" t="s">
        <v>105</v>
      </c>
      <c r="B453">
        <f>VLOOKUP(A453,Table1[[Item Purchased]:[Subscription Status]],8,FALSE)</f>
        <v>3.6</v>
      </c>
    </row>
    <row r="454" spans="1:2" x14ac:dyDescent="0.3">
      <c r="A454" s="5" t="s">
        <v>94</v>
      </c>
      <c r="B454">
        <f>VLOOKUP(A454,Table1[[Item Purchased]:[Subscription Status]],8,FALSE)</f>
        <v>3.3</v>
      </c>
    </row>
    <row r="455" spans="1:2" x14ac:dyDescent="0.3">
      <c r="A455" s="6" t="s">
        <v>105</v>
      </c>
      <c r="B455">
        <f>VLOOKUP(A455,Table1[[Item Purchased]:[Subscription Status]],8,FALSE)</f>
        <v>3.6</v>
      </c>
    </row>
    <row r="456" spans="1:2" x14ac:dyDescent="0.3">
      <c r="A456" s="5" t="s">
        <v>101</v>
      </c>
      <c r="B456">
        <f>VLOOKUP(A456,Table1[[Item Purchased]:[Subscription Status]],8,FALSE)</f>
        <v>2.9</v>
      </c>
    </row>
    <row r="457" spans="1:2" x14ac:dyDescent="0.3">
      <c r="A457" s="6" t="s">
        <v>19</v>
      </c>
      <c r="B457">
        <f>VLOOKUP(A457,Table1[[Item Purchased]:[Subscription Status]],8,FALSE)</f>
        <v>3.1</v>
      </c>
    </row>
    <row r="458" spans="1:2" x14ac:dyDescent="0.3">
      <c r="A458" s="5" t="s">
        <v>19</v>
      </c>
      <c r="B458">
        <f>VLOOKUP(A458,Table1[[Item Purchased]:[Subscription Status]],8,FALSE)</f>
        <v>3.1</v>
      </c>
    </row>
    <row r="459" spans="1:2" x14ac:dyDescent="0.3">
      <c r="A459" s="6" t="s">
        <v>142</v>
      </c>
      <c r="B459">
        <f>VLOOKUP(A459,Table1[[Item Purchased]:[Subscription Status]],8,FALSE)</f>
        <v>4.5</v>
      </c>
    </row>
    <row r="460" spans="1:2" x14ac:dyDescent="0.3">
      <c r="A460" s="5" t="s">
        <v>58</v>
      </c>
      <c r="B460">
        <f>VLOOKUP(A460,Table1[[Item Purchased]:[Subscription Status]],8,FALSE)</f>
        <v>3.2</v>
      </c>
    </row>
    <row r="461" spans="1:2" x14ac:dyDescent="0.3">
      <c r="A461" s="6" t="s">
        <v>123</v>
      </c>
      <c r="B461">
        <f>VLOOKUP(A461,Table1[[Item Purchased]:[Subscription Status]],8,FALSE)</f>
        <v>4.5999999999999996</v>
      </c>
    </row>
    <row r="462" spans="1:2" x14ac:dyDescent="0.3">
      <c r="A462" s="5" t="s">
        <v>70</v>
      </c>
      <c r="B462">
        <f>VLOOKUP(A462,Table1[[Item Purchased]:[Subscription Status]],8,FALSE)</f>
        <v>4.0999999999999996</v>
      </c>
    </row>
    <row r="463" spans="1:2" x14ac:dyDescent="0.3">
      <c r="A463" s="6" t="s">
        <v>136</v>
      </c>
      <c r="B463">
        <f>VLOOKUP(A463,Table1[[Item Purchased]:[Subscription Status]],8,FALSE)</f>
        <v>4.8</v>
      </c>
    </row>
    <row r="464" spans="1:2" x14ac:dyDescent="0.3">
      <c r="A464" s="5" t="s">
        <v>101</v>
      </c>
      <c r="B464">
        <f>VLOOKUP(A464,Table1[[Item Purchased]:[Subscription Status]],8,FALSE)</f>
        <v>2.9</v>
      </c>
    </row>
    <row r="465" spans="1:2" x14ac:dyDescent="0.3">
      <c r="A465" s="6" t="s">
        <v>105</v>
      </c>
      <c r="B465">
        <f>VLOOKUP(A465,Table1[[Item Purchased]:[Subscription Status]],8,FALSE)</f>
        <v>3.6</v>
      </c>
    </row>
    <row r="466" spans="1:2" x14ac:dyDescent="0.3">
      <c r="A466" s="5" t="s">
        <v>88</v>
      </c>
      <c r="B466">
        <f>VLOOKUP(A466,Table1[[Item Purchased]:[Subscription Status]],8,FALSE)</f>
        <v>4.0999999999999996</v>
      </c>
    </row>
    <row r="467" spans="1:2" x14ac:dyDescent="0.3">
      <c r="A467" s="6" t="s">
        <v>86</v>
      </c>
      <c r="B467">
        <f>VLOOKUP(A467,Table1[[Item Purchased]:[Subscription Status]],8,FALSE)</f>
        <v>2.8</v>
      </c>
    </row>
    <row r="468" spans="1:2" x14ac:dyDescent="0.3">
      <c r="A468" s="5" t="s">
        <v>33</v>
      </c>
      <c r="B468">
        <f>VLOOKUP(A468,Table1[[Item Purchased]:[Subscription Status]],8,FALSE)</f>
        <v>3.1</v>
      </c>
    </row>
    <row r="469" spans="1:2" x14ac:dyDescent="0.3">
      <c r="A469" s="6" t="s">
        <v>131</v>
      </c>
      <c r="B469">
        <f>VLOOKUP(A469,Table1[[Item Purchased]:[Subscription Status]],8,FALSE)</f>
        <v>4.7</v>
      </c>
    </row>
    <row r="470" spans="1:2" x14ac:dyDescent="0.3">
      <c r="A470" s="5" t="s">
        <v>131</v>
      </c>
      <c r="B470">
        <f>VLOOKUP(A470,Table1[[Item Purchased]:[Subscription Status]],8,FALSE)</f>
        <v>4.7</v>
      </c>
    </row>
    <row r="471" spans="1:2" x14ac:dyDescent="0.3">
      <c r="A471" s="6" t="s">
        <v>58</v>
      </c>
      <c r="B471">
        <f>VLOOKUP(A471,Table1[[Item Purchased]:[Subscription Status]],8,FALSE)</f>
        <v>3.2</v>
      </c>
    </row>
    <row r="472" spans="1:2" x14ac:dyDescent="0.3">
      <c r="A472" s="5" t="s">
        <v>80</v>
      </c>
      <c r="B472">
        <f>VLOOKUP(A472,Table1[[Item Purchased]:[Subscription Status]],8,FALSE)</f>
        <v>4.7</v>
      </c>
    </row>
    <row r="473" spans="1:2" x14ac:dyDescent="0.3">
      <c r="A473" s="6" t="s">
        <v>118</v>
      </c>
      <c r="B473">
        <f>VLOOKUP(A473,Table1[[Item Purchased]:[Subscription Status]],8,FALSE)</f>
        <v>4.5</v>
      </c>
    </row>
    <row r="474" spans="1:2" x14ac:dyDescent="0.3">
      <c r="A474" s="5" t="s">
        <v>33</v>
      </c>
      <c r="B474">
        <f>VLOOKUP(A474,Table1[[Item Purchased]:[Subscription Status]],8,FALSE)</f>
        <v>3.1</v>
      </c>
    </row>
    <row r="475" spans="1:2" x14ac:dyDescent="0.3">
      <c r="A475" s="6" t="s">
        <v>61</v>
      </c>
      <c r="B475">
        <f>VLOOKUP(A475,Table1[[Item Purchased]:[Subscription Status]],8,FALSE)</f>
        <v>2.6</v>
      </c>
    </row>
    <row r="476" spans="1:2" x14ac:dyDescent="0.3">
      <c r="A476" s="5" t="s">
        <v>29</v>
      </c>
      <c r="B476">
        <f>VLOOKUP(A476,Table1[[Item Purchased]:[Subscription Status]],8,FALSE)</f>
        <v>3.1</v>
      </c>
    </row>
    <row r="477" spans="1:2" x14ac:dyDescent="0.3">
      <c r="A477" s="6" t="s">
        <v>49</v>
      </c>
      <c r="B477">
        <f>VLOOKUP(A477,Table1[[Item Purchased]:[Subscription Status]],8,FALSE)</f>
        <v>2.9</v>
      </c>
    </row>
    <row r="478" spans="1:2" x14ac:dyDescent="0.3">
      <c r="A478" s="5" t="s">
        <v>118</v>
      </c>
      <c r="B478">
        <f>VLOOKUP(A478,Table1[[Item Purchased]:[Subscription Status]],8,FALSE)</f>
        <v>4.5</v>
      </c>
    </row>
    <row r="479" spans="1:2" x14ac:dyDescent="0.3">
      <c r="A479" s="6" t="s">
        <v>29</v>
      </c>
      <c r="B479">
        <f>VLOOKUP(A479,Table1[[Item Purchased]:[Subscription Status]],8,FALSE)</f>
        <v>3.1</v>
      </c>
    </row>
    <row r="480" spans="1:2" x14ac:dyDescent="0.3">
      <c r="A480" s="5" t="s">
        <v>105</v>
      </c>
      <c r="B480">
        <f>VLOOKUP(A480,Table1[[Item Purchased]:[Subscription Status]],8,FALSE)</f>
        <v>3.6</v>
      </c>
    </row>
    <row r="481" spans="1:2" x14ac:dyDescent="0.3">
      <c r="A481" s="6" t="s">
        <v>65</v>
      </c>
      <c r="B481">
        <f>VLOOKUP(A481,Table1[[Item Purchased]:[Subscription Status]],8,FALSE)</f>
        <v>4.8</v>
      </c>
    </row>
    <row r="482" spans="1:2" x14ac:dyDescent="0.3">
      <c r="A482" s="5" t="s">
        <v>103</v>
      </c>
      <c r="B482">
        <f>VLOOKUP(A482,Table1[[Item Purchased]:[Subscription Status]],8,FALSE)</f>
        <v>3.6</v>
      </c>
    </row>
    <row r="483" spans="1:2" x14ac:dyDescent="0.3">
      <c r="A483" s="6" t="s">
        <v>123</v>
      </c>
      <c r="B483">
        <f>VLOOKUP(A483,Table1[[Item Purchased]:[Subscription Status]],8,FALSE)</f>
        <v>4.5999999999999996</v>
      </c>
    </row>
    <row r="484" spans="1:2" x14ac:dyDescent="0.3">
      <c r="A484" s="5" t="s">
        <v>132</v>
      </c>
      <c r="B484">
        <f>VLOOKUP(A484,Table1[[Item Purchased]:[Subscription Status]],8,FALSE)</f>
        <v>4.5999999999999996</v>
      </c>
    </row>
    <row r="485" spans="1:2" x14ac:dyDescent="0.3">
      <c r="A485" s="6" t="s">
        <v>103</v>
      </c>
      <c r="B485">
        <f>VLOOKUP(A485,Table1[[Item Purchased]:[Subscription Status]],8,FALSE)</f>
        <v>3.6</v>
      </c>
    </row>
    <row r="486" spans="1:2" x14ac:dyDescent="0.3">
      <c r="A486" s="5" t="s">
        <v>123</v>
      </c>
      <c r="B486">
        <f>VLOOKUP(A486,Table1[[Item Purchased]:[Subscription Status]],8,FALSE)</f>
        <v>4.5999999999999996</v>
      </c>
    </row>
    <row r="487" spans="1:2" x14ac:dyDescent="0.3">
      <c r="A487" s="6" t="s">
        <v>70</v>
      </c>
      <c r="B487">
        <f>VLOOKUP(A487,Table1[[Item Purchased]:[Subscription Status]],8,FALSE)</f>
        <v>4.0999999999999996</v>
      </c>
    </row>
    <row r="488" spans="1:2" x14ac:dyDescent="0.3">
      <c r="A488" s="5" t="s">
        <v>40</v>
      </c>
      <c r="B488">
        <f>VLOOKUP(A488,Table1[[Item Purchased]:[Subscription Status]],8,FALSE)</f>
        <v>3.5</v>
      </c>
    </row>
    <row r="489" spans="1:2" x14ac:dyDescent="0.3">
      <c r="A489" s="6" t="s">
        <v>101</v>
      </c>
      <c r="B489">
        <f>VLOOKUP(A489,Table1[[Item Purchased]:[Subscription Status]],8,FALSE)</f>
        <v>2.9</v>
      </c>
    </row>
    <row r="490" spans="1:2" x14ac:dyDescent="0.3">
      <c r="A490" s="5" t="s">
        <v>29</v>
      </c>
      <c r="B490">
        <f>VLOOKUP(A490,Table1[[Item Purchased]:[Subscription Status]],8,FALSE)</f>
        <v>3.1</v>
      </c>
    </row>
    <row r="491" spans="1:2" x14ac:dyDescent="0.3">
      <c r="A491" s="6" t="s">
        <v>124</v>
      </c>
      <c r="B491">
        <f>VLOOKUP(A491,Table1[[Item Purchased]:[Subscription Status]],8,FALSE)</f>
        <v>2.9</v>
      </c>
    </row>
    <row r="492" spans="1:2" x14ac:dyDescent="0.3">
      <c r="A492" s="5" t="s">
        <v>49</v>
      </c>
      <c r="B492">
        <f>VLOOKUP(A492,Table1[[Item Purchased]:[Subscription Status]],8,FALSE)</f>
        <v>2.9</v>
      </c>
    </row>
    <row r="493" spans="1:2" x14ac:dyDescent="0.3">
      <c r="A493" s="6" t="s">
        <v>61</v>
      </c>
      <c r="B493">
        <f>VLOOKUP(A493,Table1[[Item Purchased]:[Subscription Status]],8,FALSE)</f>
        <v>2.6</v>
      </c>
    </row>
    <row r="494" spans="1:2" x14ac:dyDescent="0.3">
      <c r="A494" s="5" t="s">
        <v>54</v>
      </c>
      <c r="B494">
        <f>VLOOKUP(A494,Table1[[Item Purchased]:[Subscription Status]],8,FALSE)</f>
        <v>3.2</v>
      </c>
    </row>
    <row r="495" spans="1:2" x14ac:dyDescent="0.3">
      <c r="A495" s="6" t="s">
        <v>131</v>
      </c>
      <c r="B495">
        <f>VLOOKUP(A495,Table1[[Item Purchased]:[Subscription Status]],8,FALSE)</f>
        <v>4.7</v>
      </c>
    </row>
    <row r="496" spans="1:2" x14ac:dyDescent="0.3">
      <c r="A496" s="5" t="s">
        <v>136</v>
      </c>
      <c r="B496">
        <f>VLOOKUP(A496,Table1[[Item Purchased]:[Subscription Status]],8,FALSE)</f>
        <v>4.8</v>
      </c>
    </row>
    <row r="497" spans="1:2" x14ac:dyDescent="0.3">
      <c r="A497" s="6" t="s">
        <v>65</v>
      </c>
      <c r="B497">
        <f>VLOOKUP(A497,Table1[[Item Purchased]:[Subscription Status]],8,FALSE)</f>
        <v>4.8</v>
      </c>
    </row>
    <row r="498" spans="1:2" x14ac:dyDescent="0.3">
      <c r="A498" s="5" t="s">
        <v>80</v>
      </c>
      <c r="B498">
        <f>VLOOKUP(A498,Table1[[Item Purchased]:[Subscription Status]],8,FALSE)</f>
        <v>4.7</v>
      </c>
    </row>
    <row r="499" spans="1:2" x14ac:dyDescent="0.3">
      <c r="A499" s="6" t="s">
        <v>49</v>
      </c>
      <c r="B499">
        <f>VLOOKUP(A499,Table1[[Item Purchased]:[Subscription Status]],8,FALSE)</f>
        <v>2.9</v>
      </c>
    </row>
    <row r="500" spans="1:2" x14ac:dyDescent="0.3">
      <c r="A500" s="5" t="s">
        <v>136</v>
      </c>
      <c r="B500">
        <f>VLOOKUP(A500,Table1[[Item Purchased]:[Subscription Status]],8,FALSE)</f>
        <v>4.8</v>
      </c>
    </row>
    <row r="501" spans="1:2" x14ac:dyDescent="0.3">
      <c r="A501" s="6" t="s">
        <v>70</v>
      </c>
      <c r="B501">
        <f>VLOOKUP(A501,Table1[[Item Purchased]:[Subscription Status]],8,FALSE)</f>
        <v>4.0999999999999996</v>
      </c>
    </row>
    <row r="502" spans="1:2" x14ac:dyDescent="0.3">
      <c r="A502" s="5" t="s">
        <v>112</v>
      </c>
      <c r="B502">
        <f>VLOOKUP(A502,Table1[[Item Purchased]:[Subscription Status]],8,FALSE)</f>
        <v>4.5999999999999996</v>
      </c>
    </row>
    <row r="503" spans="1:2" x14ac:dyDescent="0.3">
      <c r="A503" s="6" t="s">
        <v>136</v>
      </c>
      <c r="B503">
        <f>VLOOKUP(A503,Table1[[Item Purchased]:[Subscription Status]],8,FALSE)</f>
        <v>4.8</v>
      </c>
    </row>
    <row r="504" spans="1:2" x14ac:dyDescent="0.3">
      <c r="A504" s="5" t="s">
        <v>94</v>
      </c>
      <c r="B504">
        <f>VLOOKUP(A504,Table1[[Item Purchased]:[Subscription Status]],8,FALSE)</f>
        <v>3.3</v>
      </c>
    </row>
    <row r="505" spans="1:2" x14ac:dyDescent="0.3">
      <c r="A505" s="6" t="s">
        <v>70</v>
      </c>
      <c r="B505">
        <f>VLOOKUP(A505,Table1[[Item Purchased]:[Subscription Status]],8,FALSE)</f>
        <v>4.0999999999999996</v>
      </c>
    </row>
    <row r="506" spans="1:2" x14ac:dyDescent="0.3">
      <c r="A506" s="5" t="s">
        <v>70</v>
      </c>
      <c r="B506">
        <f>VLOOKUP(A506,Table1[[Item Purchased]:[Subscription Status]],8,FALSE)</f>
        <v>4.0999999999999996</v>
      </c>
    </row>
    <row r="507" spans="1:2" x14ac:dyDescent="0.3">
      <c r="A507" s="6" t="s">
        <v>112</v>
      </c>
      <c r="B507">
        <f>VLOOKUP(A507,Table1[[Item Purchased]:[Subscription Status]],8,FALSE)</f>
        <v>4.5999999999999996</v>
      </c>
    </row>
    <row r="508" spans="1:2" x14ac:dyDescent="0.3">
      <c r="A508" s="5" t="s">
        <v>118</v>
      </c>
      <c r="B508">
        <f>VLOOKUP(A508,Table1[[Item Purchased]:[Subscription Status]],8,FALSE)</f>
        <v>4.5</v>
      </c>
    </row>
    <row r="509" spans="1:2" x14ac:dyDescent="0.3">
      <c r="A509" s="6" t="s">
        <v>58</v>
      </c>
      <c r="B509">
        <f>VLOOKUP(A509,Table1[[Item Purchased]:[Subscription Status]],8,FALSE)</f>
        <v>3.2</v>
      </c>
    </row>
    <row r="510" spans="1:2" x14ac:dyDescent="0.3">
      <c r="A510" s="5" t="s">
        <v>105</v>
      </c>
      <c r="B510">
        <f>VLOOKUP(A510,Table1[[Item Purchased]:[Subscription Status]],8,FALSE)</f>
        <v>3.6</v>
      </c>
    </row>
    <row r="511" spans="1:2" x14ac:dyDescent="0.3">
      <c r="A511" s="6" t="s">
        <v>112</v>
      </c>
      <c r="B511">
        <f>VLOOKUP(A511,Table1[[Item Purchased]:[Subscription Status]],8,FALSE)</f>
        <v>4.5999999999999996</v>
      </c>
    </row>
    <row r="512" spans="1:2" x14ac:dyDescent="0.3">
      <c r="A512" s="5" t="s">
        <v>54</v>
      </c>
      <c r="B512">
        <f>VLOOKUP(A512,Table1[[Item Purchased]:[Subscription Status]],8,FALSE)</f>
        <v>3.2</v>
      </c>
    </row>
    <row r="513" spans="1:2" x14ac:dyDescent="0.3">
      <c r="A513" s="6" t="s">
        <v>54</v>
      </c>
      <c r="B513">
        <f>VLOOKUP(A513,Table1[[Item Purchased]:[Subscription Status]],8,FALSE)</f>
        <v>3.2</v>
      </c>
    </row>
    <row r="514" spans="1:2" x14ac:dyDescent="0.3">
      <c r="A514" s="5" t="s">
        <v>142</v>
      </c>
      <c r="B514">
        <f>VLOOKUP(A514,Table1[[Item Purchased]:[Subscription Status]],8,FALSE)</f>
        <v>4.5</v>
      </c>
    </row>
    <row r="515" spans="1:2" x14ac:dyDescent="0.3">
      <c r="A515" s="6" t="s">
        <v>118</v>
      </c>
      <c r="B515">
        <f>VLOOKUP(A515,Table1[[Item Purchased]:[Subscription Status]],8,FALSE)</f>
        <v>4.5</v>
      </c>
    </row>
    <row r="516" spans="1:2" x14ac:dyDescent="0.3">
      <c r="A516" s="5" t="s">
        <v>86</v>
      </c>
      <c r="B516">
        <f>VLOOKUP(A516,Table1[[Item Purchased]:[Subscription Status]],8,FALSE)</f>
        <v>2.8</v>
      </c>
    </row>
    <row r="517" spans="1:2" x14ac:dyDescent="0.3">
      <c r="A517" s="6" t="s">
        <v>123</v>
      </c>
      <c r="B517">
        <f>VLOOKUP(A517,Table1[[Item Purchased]:[Subscription Status]],8,FALSE)</f>
        <v>4.5999999999999996</v>
      </c>
    </row>
    <row r="518" spans="1:2" x14ac:dyDescent="0.3">
      <c r="A518" s="5" t="s">
        <v>103</v>
      </c>
      <c r="B518">
        <f>VLOOKUP(A518,Table1[[Item Purchased]:[Subscription Status]],8,FALSE)</f>
        <v>3.6</v>
      </c>
    </row>
    <row r="519" spans="1:2" x14ac:dyDescent="0.3">
      <c r="A519" s="6" t="s">
        <v>136</v>
      </c>
      <c r="B519">
        <f>VLOOKUP(A519,Table1[[Item Purchased]:[Subscription Status]],8,FALSE)</f>
        <v>4.8</v>
      </c>
    </row>
    <row r="520" spans="1:2" x14ac:dyDescent="0.3">
      <c r="A520" s="5" t="s">
        <v>19</v>
      </c>
      <c r="B520">
        <f>VLOOKUP(A520,Table1[[Item Purchased]:[Subscription Status]],8,FALSE)</f>
        <v>3.1</v>
      </c>
    </row>
    <row r="521" spans="1:2" x14ac:dyDescent="0.3">
      <c r="A521" s="6" t="s">
        <v>132</v>
      </c>
      <c r="B521">
        <f>VLOOKUP(A521,Table1[[Item Purchased]:[Subscription Status]],8,FALSE)</f>
        <v>4.5999999999999996</v>
      </c>
    </row>
    <row r="522" spans="1:2" x14ac:dyDescent="0.3">
      <c r="A522" s="5" t="s">
        <v>88</v>
      </c>
      <c r="B522">
        <f>VLOOKUP(A522,Table1[[Item Purchased]:[Subscription Status]],8,FALSE)</f>
        <v>4.0999999999999996</v>
      </c>
    </row>
    <row r="523" spans="1:2" x14ac:dyDescent="0.3">
      <c r="A523" s="6" t="s">
        <v>58</v>
      </c>
      <c r="B523">
        <f>VLOOKUP(A523,Table1[[Item Purchased]:[Subscription Status]],8,FALSE)</f>
        <v>3.2</v>
      </c>
    </row>
    <row r="524" spans="1:2" x14ac:dyDescent="0.3">
      <c r="A524" s="5" t="s">
        <v>142</v>
      </c>
      <c r="B524">
        <f>VLOOKUP(A524,Table1[[Item Purchased]:[Subscription Status]],8,FALSE)</f>
        <v>4.5</v>
      </c>
    </row>
    <row r="525" spans="1:2" x14ac:dyDescent="0.3">
      <c r="A525" s="6" t="s">
        <v>40</v>
      </c>
      <c r="B525">
        <f>VLOOKUP(A525,Table1[[Item Purchased]:[Subscription Status]],8,FALSE)</f>
        <v>3.5</v>
      </c>
    </row>
    <row r="526" spans="1:2" x14ac:dyDescent="0.3">
      <c r="A526" s="5" t="s">
        <v>54</v>
      </c>
      <c r="B526">
        <f>VLOOKUP(A526,Table1[[Item Purchased]:[Subscription Status]],8,FALSE)</f>
        <v>3.2</v>
      </c>
    </row>
    <row r="527" spans="1:2" x14ac:dyDescent="0.3">
      <c r="A527" s="6" t="s">
        <v>61</v>
      </c>
      <c r="B527">
        <f>VLOOKUP(A527,Table1[[Item Purchased]:[Subscription Status]],8,FALSE)</f>
        <v>2.6</v>
      </c>
    </row>
    <row r="528" spans="1:2" x14ac:dyDescent="0.3">
      <c r="A528" s="5" t="s">
        <v>94</v>
      </c>
      <c r="B528">
        <f>VLOOKUP(A528,Table1[[Item Purchased]:[Subscription Status]],8,FALSE)</f>
        <v>3.3</v>
      </c>
    </row>
    <row r="529" spans="1:2" x14ac:dyDescent="0.3">
      <c r="A529" s="6" t="s">
        <v>112</v>
      </c>
      <c r="B529">
        <f>VLOOKUP(A529,Table1[[Item Purchased]:[Subscription Status]],8,FALSE)</f>
        <v>4.5999999999999996</v>
      </c>
    </row>
    <row r="530" spans="1:2" x14ac:dyDescent="0.3">
      <c r="A530" s="5" t="s">
        <v>49</v>
      </c>
      <c r="B530">
        <f>VLOOKUP(A530,Table1[[Item Purchased]:[Subscription Status]],8,FALSE)</f>
        <v>2.9</v>
      </c>
    </row>
    <row r="531" spans="1:2" x14ac:dyDescent="0.3">
      <c r="A531" s="6" t="s">
        <v>58</v>
      </c>
      <c r="B531">
        <f>VLOOKUP(A531,Table1[[Item Purchased]:[Subscription Status]],8,FALSE)</f>
        <v>3.2</v>
      </c>
    </row>
    <row r="532" spans="1:2" x14ac:dyDescent="0.3">
      <c r="A532" s="5" t="s">
        <v>61</v>
      </c>
      <c r="B532">
        <f>VLOOKUP(A532,Table1[[Item Purchased]:[Subscription Status]],8,FALSE)</f>
        <v>2.6</v>
      </c>
    </row>
    <row r="533" spans="1:2" x14ac:dyDescent="0.3">
      <c r="A533" s="6" t="s">
        <v>40</v>
      </c>
      <c r="B533">
        <f>VLOOKUP(A533,Table1[[Item Purchased]:[Subscription Status]],8,FALSE)</f>
        <v>3.5</v>
      </c>
    </row>
    <row r="534" spans="1:2" x14ac:dyDescent="0.3">
      <c r="A534" s="5" t="s">
        <v>94</v>
      </c>
      <c r="B534">
        <f>VLOOKUP(A534,Table1[[Item Purchased]:[Subscription Status]],8,FALSE)</f>
        <v>3.3</v>
      </c>
    </row>
    <row r="535" spans="1:2" x14ac:dyDescent="0.3">
      <c r="A535" s="6" t="s">
        <v>40</v>
      </c>
      <c r="B535">
        <f>VLOOKUP(A535,Table1[[Item Purchased]:[Subscription Status]],8,FALSE)</f>
        <v>3.5</v>
      </c>
    </row>
    <row r="536" spans="1:2" x14ac:dyDescent="0.3">
      <c r="A536" s="5" t="s">
        <v>142</v>
      </c>
      <c r="B536">
        <f>VLOOKUP(A536,Table1[[Item Purchased]:[Subscription Status]],8,FALSE)</f>
        <v>4.5</v>
      </c>
    </row>
    <row r="537" spans="1:2" x14ac:dyDescent="0.3">
      <c r="A537" s="6" t="s">
        <v>112</v>
      </c>
      <c r="B537">
        <f>VLOOKUP(A537,Table1[[Item Purchased]:[Subscription Status]],8,FALSE)</f>
        <v>4.5999999999999996</v>
      </c>
    </row>
    <row r="538" spans="1:2" x14ac:dyDescent="0.3">
      <c r="A538" s="5" t="s">
        <v>101</v>
      </c>
      <c r="B538">
        <f>VLOOKUP(A538,Table1[[Item Purchased]:[Subscription Status]],8,FALSE)</f>
        <v>2.9</v>
      </c>
    </row>
    <row r="539" spans="1:2" x14ac:dyDescent="0.3">
      <c r="A539" s="6" t="s">
        <v>19</v>
      </c>
      <c r="B539">
        <f>VLOOKUP(A539,Table1[[Item Purchased]:[Subscription Status]],8,FALSE)</f>
        <v>3.1</v>
      </c>
    </row>
    <row r="540" spans="1:2" x14ac:dyDescent="0.3">
      <c r="A540" s="5" t="s">
        <v>124</v>
      </c>
      <c r="B540">
        <f>VLOOKUP(A540,Table1[[Item Purchased]:[Subscription Status]],8,FALSE)</f>
        <v>2.9</v>
      </c>
    </row>
    <row r="541" spans="1:2" x14ac:dyDescent="0.3">
      <c r="A541" s="6" t="s">
        <v>61</v>
      </c>
      <c r="B541">
        <f>VLOOKUP(A541,Table1[[Item Purchased]:[Subscription Status]],8,FALSE)</f>
        <v>2.6</v>
      </c>
    </row>
    <row r="542" spans="1:2" x14ac:dyDescent="0.3">
      <c r="A542" s="5" t="s">
        <v>80</v>
      </c>
      <c r="B542">
        <f>VLOOKUP(A542,Table1[[Item Purchased]:[Subscription Status]],8,FALSE)</f>
        <v>4.7</v>
      </c>
    </row>
    <row r="543" spans="1:2" x14ac:dyDescent="0.3">
      <c r="A543" s="6" t="s">
        <v>101</v>
      </c>
      <c r="B543">
        <f>VLOOKUP(A543,Table1[[Item Purchased]:[Subscription Status]],8,FALSE)</f>
        <v>2.9</v>
      </c>
    </row>
    <row r="544" spans="1:2" x14ac:dyDescent="0.3">
      <c r="A544" s="5" t="s">
        <v>136</v>
      </c>
      <c r="B544">
        <f>VLOOKUP(A544,Table1[[Item Purchased]:[Subscription Status]],8,FALSE)</f>
        <v>4.8</v>
      </c>
    </row>
    <row r="545" spans="1:2" x14ac:dyDescent="0.3">
      <c r="A545" s="6" t="s">
        <v>86</v>
      </c>
      <c r="B545">
        <f>VLOOKUP(A545,Table1[[Item Purchased]:[Subscription Status]],8,FALSE)</f>
        <v>2.8</v>
      </c>
    </row>
    <row r="546" spans="1:2" x14ac:dyDescent="0.3">
      <c r="A546" s="5" t="s">
        <v>40</v>
      </c>
      <c r="B546">
        <f>VLOOKUP(A546,Table1[[Item Purchased]:[Subscription Status]],8,FALSE)</f>
        <v>3.5</v>
      </c>
    </row>
    <row r="547" spans="1:2" x14ac:dyDescent="0.3">
      <c r="A547" s="6" t="s">
        <v>61</v>
      </c>
      <c r="B547">
        <f>VLOOKUP(A547,Table1[[Item Purchased]:[Subscription Status]],8,FALSE)</f>
        <v>2.6</v>
      </c>
    </row>
    <row r="548" spans="1:2" x14ac:dyDescent="0.3">
      <c r="A548" s="5" t="s">
        <v>103</v>
      </c>
      <c r="B548">
        <f>VLOOKUP(A548,Table1[[Item Purchased]:[Subscription Status]],8,FALSE)</f>
        <v>3.6</v>
      </c>
    </row>
    <row r="549" spans="1:2" x14ac:dyDescent="0.3">
      <c r="A549" s="6" t="s">
        <v>101</v>
      </c>
      <c r="B549">
        <f>VLOOKUP(A549,Table1[[Item Purchased]:[Subscription Status]],8,FALSE)</f>
        <v>2.9</v>
      </c>
    </row>
    <row r="550" spans="1:2" x14ac:dyDescent="0.3">
      <c r="A550" s="5" t="s">
        <v>131</v>
      </c>
      <c r="B550">
        <f>VLOOKUP(A550,Table1[[Item Purchased]:[Subscription Status]],8,FALSE)</f>
        <v>4.7</v>
      </c>
    </row>
    <row r="551" spans="1:2" x14ac:dyDescent="0.3">
      <c r="A551" s="6" t="s">
        <v>131</v>
      </c>
      <c r="B551">
        <f>VLOOKUP(A551,Table1[[Item Purchased]:[Subscription Status]],8,FALSE)</f>
        <v>4.7</v>
      </c>
    </row>
    <row r="552" spans="1:2" x14ac:dyDescent="0.3">
      <c r="A552" s="5" t="s">
        <v>132</v>
      </c>
      <c r="B552">
        <f>VLOOKUP(A552,Table1[[Item Purchased]:[Subscription Status]],8,FALSE)</f>
        <v>4.5999999999999996</v>
      </c>
    </row>
    <row r="553" spans="1:2" x14ac:dyDescent="0.3">
      <c r="A553" s="6" t="s">
        <v>61</v>
      </c>
      <c r="B553">
        <f>VLOOKUP(A553,Table1[[Item Purchased]:[Subscription Status]],8,FALSE)</f>
        <v>2.6</v>
      </c>
    </row>
    <row r="554" spans="1:2" x14ac:dyDescent="0.3">
      <c r="A554" s="5" t="s">
        <v>112</v>
      </c>
      <c r="B554">
        <f>VLOOKUP(A554,Table1[[Item Purchased]:[Subscription Status]],8,FALSE)</f>
        <v>4.5999999999999996</v>
      </c>
    </row>
    <row r="555" spans="1:2" x14ac:dyDescent="0.3">
      <c r="A555" s="6" t="s">
        <v>88</v>
      </c>
      <c r="B555">
        <f>VLOOKUP(A555,Table1[[Item Purchased]:[Subscription Status]],8,FALSE)</f>
        <v>4.0999999999999996</v>
      </c>
    </row>
    <row r="556" spans="1:2" x14ac:dyDescent="0.3">
      <c r="A556" s="5" t="s">
        <v>49</v>
      </c>
      <c r="B556">
        <f>VLOOKUP(A556,Table1[[Item Purchased]:[Subscription Status]],8,FALSE)</f>
        <v>2.9</v>
      </c>
    </row>
    <row r="557" spans="1:2" x14ac:dyDescent="0.3">
      <c r="A557" s="6" t="s">
        <v>142</v>
      </c>
      <c r="B557">
        <f>VLOOKUP(A557,Table1[[Item Purchased]:[Subscription Status]],8,FALSE)</f>
        <v>4.5</v>
      </c>
    </row>
    <row r="558" spans="1:2" x14ac:dyDescent="0.3">
      <c r="A558" s="5" t="s">
        <v>61</v>
      </c>
      <c r="B558">
        <f>VLOOKUP(A558,Table1[[Item Purchased]:[Subscription Status]],8,FALSE)</f>
        <v>2.6</v>
      </c>
    </row>
    <row r="559" spans="1:2" x14ac:dyDescent="0.3">
      <c r="A559" s="6" t="s">
        <v>54</v>
      </c>
      <c r="B559">
        <f>VLOOKUP(A559,Table1[[Item Purchased]:[Subscription Status]],8,FALSE)</f>
        <v>3.2</v>
      </c>
    </row>
    <row r="560" spans="1:2" x14ac:dyDescent="0.3">
      <c r="A560" s="5" t="s">
        <v>49</v>
      </c>
      <c r="B560">
        <f>VLOOKUP(A560,Table1[[Item Purchased]:[Subscription Status]],8,FALSE)</f>
        <v>2.9</v>
      </c>
    </row>
    <row r="561" spans="1:2" x14ac:dyDescent="0.3">
      <c r="A561" s="6" t="s">
        <v>118</v>
      </c>
      <c r="B561">
        <f>VLOOKUP(A561,Table1[[Item Purchased]:[Subscription Status]],8,FALSE)</f>
        <v>4.5</v>
      </c>
    </row>
    <row r="562" spans="1:2" x14ac:dyDescent="0.3">
      <c r="A562" s="5" t="s">
        <v>105</v>
      </c>
      <c r="B562">
        <f>VLOOKUP(A562,Table1[[Item Purchased]:[Subscription Status]],8,FALSE)</f>
        <v>3.6</v>
      </c>
    </row>
    <row r="563" spans="1:2" x14ac:dyDescent="0.3">
      <c r="A563" s="6" t="s">
        <v>101</v>
      </c>
      <c r="B563">
        <f>VLOOKUP(A563,Table1[[Item Purchased]:[Subscription Status]],8,FALSE)</f>
        <v>2.9</v>
      </c>
    </row>
    <row r="564" spans="1:2" x14ac:dyDescent="0.3">
      <c r="A564" s="5" t="s">
        <v>33</v>
      </c>
      <c r="B564">
        <f>VLOOKUP(A564,Table1[[Item Purchased]:[Subscription Status]],8,FALSE)</f>
        <v>3.1</v>
      </c>
    </row>
    <row r="565" spans="1:2" x14ac:dyDescent="0.3">
      <c r="A565" s="6" t="s">
        <v>70</v>
      </c>
      <c r="B565">
        <f>VLOOKUP(A565,Table1[[Item Purchased]:[Subscription Status]],8,FALSE)</f>
        <v>4.0999999999999996</v>
      </c>
    </row>
    <row r="566" spans="1:2" x14ac:dyDescent="0.3">
      <c r="A566" s="5" t="s">
        <v>103</v>
      </c>
      <c r="B566">
        <f>VLOOKUP(A566,Table1[[Item Purchased]:[Subscription Status]],8,FALSE)</f>
        <v>3.6</v>
      </c>
    </row>
    <row r="567" spans="1:2" x14ac:dyDescent="0.3">
      <c r="A567" s="6" t="s">
        <v>131</v>
      </c>
      <c r="B567">
        <f>VLOOKUP(A567,Table1[[Item Purchased]:[Subscription Status]],8,FALSE)</f>
        <v>4.7</v>
      </c>
    </row>
    <row r="568" spans="1:2" x14ac:dyDescent="0.3">
      <c r="A568" s="5" t="s">
        <v>49</v>
      </c>
      <c r="B568">
        <f>VLOOKUP(A568,Table1[[Item Purchased]:[Subscription Status]],8,FALSE)</f>
        <v>2.9</v>
      </c>
    </row>
    <row r="569" spans="1:2" x14ac:dyDescent="0.3">
      <c r="A569" s="6" t="s">
        <v>19</v>
      </c>
      <c r="B569">
        <f>VLOOKUP(A569,Table1[[Item Purchased]:[Subscription Status]],8,FALSE)</f>
        <v>3.1</v>
      </c>
    </row>
    <row r="570" spans="1:2" x14ac:dyDescent="0.3">
      <c r="A570" s="5" t="s">
        <v>94</v>
      </c>
      <c r="B570">
        <f>VLOOKUP(A570,Table1[[Item Purchased]:[Subscription Status]],8,FALSE)</f>
        <v>3.3</v>
      </c>
    </row>
    <row r="571" spans="1:2" x14ac:dyDescent="0.3">
      <c r="A571" s="6" t="s">
        <v>86</v>
      </c>
      <c r="B571">
        <f>VLOOKUP(A571,Table1[[Item Purchased]:[Subscription Status]],8,FALSE)</f>
        <v>2.8</v>
      </c>
    </row>
    <row r="572" spans="1:2" x14ac:dyDescent="0.3">
      <c r="A572" s="5" t="s">
        <v>112</v>
      </c>
      <c r="B572">
        <f>VLOOKUP(A572,Table1[[Item Purchased]:[Subscription Status]],8,FALSE)</f>
        <v>4.5999999999999996</v>
      </c>
    </row>
    <row r="573" spans="1:2" x14ac:dyDescent="0.3">
      <c r="A573" s="6" t="s">
        <v>101</v>
      </c>
      <c r="B573">
        <f>VLOOKUP(A573,Table1[[Item Purchased]:[Subscription Status]],8,FALSE)</f>
        <v>2.9</v>
      </c>
    </row>
    <row r="574" spans="1:2" x14ac:dyDescent="0.3">
      <c r="A574" s="5" t="s">
        <v>118</v>
      </c>
      <c r="B574">
        <f>VLOOKUP(A574,Table1[[Item Purchased]:[Subscription Status]],8,FALSE)</f>
        <v>4.5</v>
      </c>
    </row>
    <row r="575" spans="1:2" x14ac:dyDescent="0.3">
      <c r="A575" s="6" t="s">
        <v>94</v>
      </c>
      <c r="B575">
        <f>VLOOKUP(A575,Table1[[Item Purchased]:[Subscription Status]],8,FALSE)</f>
        <v>3.3</v>
      </c>
    </row>
    <row r="576" spans="1:2" x14ac:dyDescent="0.3">
      <c r="A576" s="5" t="s">
        <v>49</v>
      </c>
      <c r="B576">
        <f>VLOOKUP(A576,Table1[[Item Purchased]:[Subscription Status]],8,FALSE)</f>
        <v>2.9</v>
      </c>
    </row>
    <row r="577" spans="1:2" x14ac:dyDescent="0.3">
      <c r="A577" s="6" t="s">
        <v>33</v>
      </c>
      <c r="B577">
        <f>VLOOKUP(A577,Table1[[Item Purchased]:[Subscription Status]],8,FALSE)</f>
        <v>3.1</v>
      </c>
    </row>
    <row r="578" spans="1:2" x14ac:dyDescent="0.3">
      <c r="A578" s="5" t="s">
        <v>123</v>
      </c>
      <c r="B578">
        <f>VLOOKUP(A578,Table1[[Item Purchased]:[Subscription Status]],8,FALSE)</f>
        <v>4.5999999999999996</v>
      </c>
    </row>
    <row r="579" spans="1:2" x14ac:dyDescent="0.3">
      <c r="A579" s="6" t="s">
        <v>86</v>
      </c>
      <c r="B579">
        <f>VLOOKUP(A579,Table1[[Item Purchased]:[Subscription Status]],8,FALSE)</f>
        <v>2.8</v>
      </c>
    </row>
    <row r="580" spans="1:2" x14ac:dyDescent="0.3">
      <c r="A580" s="5" t="s">
        <v>40</v>
      </c>
      <c r="B580">
        <f>VLOOKUP(A580,Table1[[Item Purchased]:[Subscription Status]],8,FALSE)</f>
        <v>3.5</v>
      </c>
    </row>
    <row r="581" spans="1:2" x14ac:dyDescent="0.3">
      <c r="A581" s="6" t="s">
        <v>40</v>
      </c>
      <c r="B581">
        <f>VLOOKUP(A581,Table1[[Item Purchased]:[Subscription Status]],8,FALSE)</f>
        <v>3.5</v>
      </c>
    </row>
    <row r="582" spans="1:2" x14ac:dyDescent="0.3">
      <c r="A582" s="5" t="s">
        <v>29</v>
      </c>
      <c r="B582">
        <f>VLOOKUP(A582,Table1[[Item Purchased]:[Subscription Status]],8,FALSE)</f>
        <v>3.1</v>
      </c>
    </row>
    <row r="583" spans="1:2" x14ac:dyDescent="0.3">
      <c r="A583" s="6" t="s">
        <v>29</v>
      </c>
      <c r="B583">
        <f>VLOOKUP(A583,Table1[[Item Purchased]:[Subscription Status]],8,FALSE)</f>
        <v>3.1</v>
      </c>
    </row>
    <row r="584" spans="1:2" x14ac:dyDescent="0.3">
      <c r="A584" s="5" t="s">
        <v>101</v>
      </c>
      <c r="B584">
        <f>VLOOKUP(A584,Table1[[Item Purchased]:[Subscription Status]],8,FALSE)</f>
        <v>2.9</v>
      </c>
    </row>
    <row r="585" spans="1:2" x14ac:dyDescent="0.3">
      <c r="A585" s="6" t="s">
        <v>58</v>
      </c>
      <c r="B585">
        <f>VLOOKUP(A585,Table1[[Item Purchased]:[Subscription Status]],8,FALSE)</f>
        <v>3.2</v>
      </c>
    </row>
    <row r="586" spans="1:2" x14ac:dyDescent="0.3">
      <c r="A586" s="5" t="s">
        <v>124</v>
      </c>
      <c r="B586">
        <f>VLOOKUP(A586,Table1[[Item Purchased]:[Subscription Status]],8,FALSE)</f>
        <v>2.9</v>
      </c>
    </row>
    <row r="587" spans="1:2" x14ac:dyDescent="0.3">
      <c r="A587" s="6" t="s">
        <v>124</v>
      </c>
      <c r="B587">
        <f>VLOOKUP(A587,Table1[[Item Purchased]:[Subscription Status]],8,FALSE)</f>
        <v>2.9</v>
      </c>
    </row>
    <row r="588" spans="1:2" x14ac:dyDescent="0.3">
      <c r="A588" s="5" t="s">
        <v>103</v>
      </c>
      <c r="B588">
        <f>VLOOKUP(A588,Table1[[Item Purchased]:[Subscription Status]],8,FALSE)</f>
        <v>3.6</v>
      </c>
    </row>
    <row r="589" spans="1:2" x14ac:dyDescent="0.3">
      <c r="A589" s="6" t="s">
        <v>124</v>
      </c>
      <c r="B589">
        <f>VLOOKUP(A589,Table1[[Item Purchased]:[Subscription Status]],8,FALSE)</f>
        <v>2.9</v>
      </c>
    </row>
    <row r="590" spans="1:2" x14ac:dyDescent="0.3">
      <c r="A590" s="5" t="s">
        <v>136</v>
      </c>
      <c r="B590">
        <f>VLOOKUP(A590,Table1[[Item Purchased]:[Subscription Status]],8,FALSE)</f>
        <v>4.8</v>
      </c>
    </row>
    <row r="591" spans="1:2" x14ac:dyDescent="0.3">
      <c r="A591" s="6" t="s">
        <v>54</v>
      </c>
      <c r="B591">
        <f>VLOOKUP(A591,Table1[[Item Purchased]:[Subscription Status]],8,FALSE)</f>
        <v>3.2</v>
      </c>
    </row>
    <row r="592" spans="1:2" x14ac:dyDescent="0.3">
      <c r="A592" s="5" t="s">
        <v>132</v>
      </c>
      <c r="B592">
        <f>VLOOKUP(A592,Table1[[Item Purchased]:[Subscription Status]],8,FALSE)</f>
        <v>4.5999999999999996</v>
      </c>
    </row>
    <row r="593" spans="1:2" x14ac:dyDescent="0.3">
      <c r="A593" s="6" t="s">
        <v>131</v>
      </c>
      <c r="B593">
        <f>VLOOKUP(A593,Table1[[Item Purchased]:[Subscription Status]],8,FALSE)</f>
        <v>4.7</v>
      </c>
    </row>
    <row r="594" spans="1:2" x14ac:dyDescent="0.3">
      <c r="A594" s="5" t="s">
        <v>136</v>
      </c>
      <c r="B594">
        <f>VLOOKUP(A594,Table1[[Item Purchased]:[Subscription Status]],8,FALSE)</f>
        <v>4.8</v>
      </c>
    </row>
    <row r="595" spans="1:2" x14ac:dyDescent="0.3">
      <c r="A595" s="6" t="s">
        <v>61</v>
      </c>
      <c r="B595">
        <f>VLOOKUP(A595,Table1[[Item Purchased]:[Subscription Status]],8,FALSE)</f>
        <v>2.6</v>
      </c>
    </row>
    <row r="596" spans="1:2" x14ac:dyDescent="0.3">
      <c r="A596" s="5" t="s">
        <v>103</v>
      </c>
      <c r="B596">
        <f>VLOOKUP(A596,Table1[[Item Purchased]:[Subscription Status]],8,FALSE)</f>
        <v>3.6</v>
      </c>
    </row>
    <row r="597" spans="1:2" x14ac:dyDescent="0.3">
      <c r="A597" s="6" t="s">
        <v>70</v>
      </c>
      <c r="B597">
        <f>VLOOKUP(A597,Table1[[Item Purchased]:[Subscription Status]],8,FALSE)</f>
        <v>4.0999999999999996</v>
      </c>
    </row>
    <row r="598" spans="1:2" x14ac:dyDescent="0.3">
      <c r="A598" s="5" t="s">
        <v>70</v>
      </c>
      <c r="B598">
        <f>VLOOKUP(A598,Table1[[Item Purchased]:[Subscription Status]],8,FALSE)</f>
        <v>4.0999999999999996</v>
      </c>
    </row>
    <row r="599" spans="1:2" x14ac:dyDescent="0.3">
      <c r="A599" s="6" t="s">
        <v>105</v>
      </c>
      <c r="B599">
        <f>VLOOKUP(A599,Table1[[Item Purchased]:[Subscription Status]],8,FALSE)</f>
        <v>3.6</v>
      </c>
    </row>
    <row r="600" spans="1:2" x14ac:dyDescent="0.3">
      <c r="A600" s="5" t="s">
        <v>80</v>
      </c>
      <c r="B600">
        <f>VLOOKUP(A600,Table1[[Item Purchased]:[Subscription Status]],8,FALSE)</f>
        <v>4.7</v>
      </c>
    </row>
    <row r="601" spans="1:2" x14ac:dyDescent="0.3">
      <c r="A601" s="6" t="s">
        <v>136</v>
      </c>
      <c r="B601">
        <f>VLOOKUP(A601,Table1[[Item Purchased]:[Subscription Status]],8,FALSE)</f>
        <v>4.8</v>
      </c>
    </row>
    <row r="602" spans="1:2" x14ac:dyDescent="0.3">
      <c r="A602" s="5" t="s">
        <v>123</v>
      </c>
      <c r="B602">
        <f>VLOOKUP(A602,Table1[[Item Purchased]:[Subscription Status]],8,FALSE)</f>
        <v>4.5999999999999996</v>
      </c>
    </row>
    <row r="603" spans="1:2" x14ac:dyDescent="0.3">
      <c r="A603" s="6" t="s">
        <v>131</v>
      </c>
      <c r="B603">
        <f>VLOOKUP(A603,Table1[[Item Purchased]:[Subscription Status]],8,FALSE)</f>
        <v>4.7</v>
      </c>
    </row>
    <row r="604" spans="1:2" x14ac:dyDescent="0.3">
      <c r="A604" s="5" t="s">
        <v>70</v>
      </c>
      <c r="B604">
        <f>VLOOKUP(A604,Table1[[Item Purchased]:[Subscription Status]],8,FALSE)</f>
        <v>4.0999999999999996</v>
      </c>
    </row>
    <row r="605" spans="1:2" x14ac:dyDescent="0.3">
      <c r="A605" s="6" t="s">
        <v>65</v>
      </c>
      <c r="B605">
        <f>VLOOKUP(A605,Table1[[Item Purchased]:[Subscription Status]],8,FALSE)</f>
        <v>4.8</v>
      </c>
    </row>
    <row r="606" spans="1:2" x14ac:dyDescent="0.3">
      <c r="A606" s="5" t="s">
        <v>88</v>
      </c>
      <c r="B606">
        <f>VLOOKUP(A606,Table1[[Item Purchased]:[Subscription Status]],8,FALSE)</f>
        <v>4.0999999999999996</v>
      </c>
    </row>
    <row r="607" spans="1:2" x14ac:dyDescent="0.3">
      <c r="A607" s="6" t="s">
        <v>123</v>
      </c>
      <c r="B607">
        <f>VLOOKUP(A607,Table1[[Item Purchased]:[Subscription Status]],8,FALSE)</f>
        <v>4.5999999999999996</v>
      </c>
    </row>
    <row r="608" spans="1:2" x14ac:dyDescent="0.3">
      <c r="A608" s="5" t="s">
        <v>118</v>
      </c>
      <c r="B608">
        <f>VLOOKUP(A608,Table1[[Item Purchased]:[Subscription Status]],8,FALSE)</f>
        <v>4.5</v>
      </c>
    </row>
    <row r="609" spans="1:2" x14ac:dyDescent="0.3">
      <c r="A609" s="6" t="s">
        <v>103</v>
      </c>
      <c r="B609">
        <f>VLOOKUP(A609,Table1[[Item Purchased]:[Subscription Status]],8,FALSE)</f>
        <v>3.6</v>
      </c>
    </row>
    <row r="610" spans="1:2" x14ac:dyDescent="0.3">
      <c r="A610" s="5" t="s">
        <v>131</v>
      </c>
      <c r="B610">
        <f>VLOOKUP(A610,Table1[[Item Purchased]:[Subscription Status]],8,FALSE)</f>
        <v>4.7</v>
      </c>
    </row>
    <row r="611" spans="1:2" x14ac:dyDescent="0.3">
      <c r="A611" s="6" t="s">
        <v>29</v>
      </c>
      <c r="B611">
        <f>VLOOKUP(A611,Table1[[Item Purchased]:[Subscription Status]],8,FALSE)</f>
        <v>3.1</v>
      </c>
    </row>
    <row r="612" spans="1:2" x14ac:dyDescent="0.3">
      <c r="A612" s="5" t="s">
        <v>58</v>
      </c>
      <c r="B612">
        <f>VLOOKUP(A612,Table1[[Item Purchased]:[Subscription Status]],8,FALSE)</f>
        <v>3.2</v>
      </c>
    </row>
    <row r="613" spans="1:2" x14ac:dyDescent="0.3">
      <c r="A613" s="6" t="s">
        <v>118</v>
      </c>
      <c r="B613">
        <f>VLOOKUP(A613,Table1[[Item Purchased]:[Subscription Status]],8,FALSE)</f>
        <v>4.5</v>
      </c>
    </row>
    <row r="614" spans="1:2" x14ac:dyDescent="0.3">
      <c r="A614" s="5" t="s">
        <v>123</v>
      </c>
      <c r="B614">
        <f>VLOOKUP(A614,Table1[[Item Purchased]:[Subscription Status]],8,FALSE)</f>
        <v>4.5999999999999996</v>
      </c>
    </row>
    <row r="615" spans="1:2" x14ac:dyDescent="0.3">
      <c r="A615" s="6" t="s">
        <v>61</v>
      </c>
      <c r="B615">
        <f>VLOOKUP(A615,Table1[[Item Purchased]:[Subscription Status]],8,FALSE)</f>
        <v>2.6</v>
      </c>
    </row>
    <row r="616" spans="1:2" x14ac:dyDescent="0.3">
      <c r="A616" s="5" t="s">
        <v>105</v>
      </c>
      <c r="B616">
        <f>VLOOKUP(A616,Table1[[Item Purchased]:[Subscription Status]],8,FALSE)</f>
        <v>3.6</v>
      </c>
    </row>
    <row r="617" spans="1:2" x14ac:dyDescent="0.3">
      <c r="A617" s="6" t="s">
        <v>40</v>
      </c>
      <c r="B617">
        <f>VLOOKUP(A617,Table1[[Item Purchased]:[Subscription Status]],8,FALSE)</f>
        <v>3.5</v>
      </c>
    </row>
    <row r="618" spans="1:2" x14ac:dyDescent="0.3">
      <c r="A618" s="5" t="s">
        <v>142</v>
      </c>
      <c r="B618">
        <f>VLOOKUP(A618,Table1[[Item Purchased]:[Subscription Status]],8,FALSE)</f>
        <v>4.5</v>
      </c>
    </row>
    <row r="619" spans="1:2" x14ac:dyDescent="0.3">
      <c r="A619" s="6" t="s">
        <v>131</v>
      </c>
      <c r="B619">
        <f>VLOOKUP(A619,Table1[[Item Purchased]:[Subscription Status]],8,FALSE)</f>
        <v>4.7</v>
      </c>
    </row>
    <row r="620" spans="1:2" x14ac:dyDescent="0.3">
      <c r="A620" s="5" t="s">
        <v>101</v>
      </c>
      <c r="B620">
        <f>VLOOKUP(A620,Table1[[Item Purchased]:[Subscription Status]],8,FALSE)</f>
        <v>2.9</v>
      </c>
    </row>
    <row r="621" spans="1:2" x14ac:dyDescent="0.3">
      <c r="A621" s="6" t="s">
        <v>131</v>
      </c>
      <c r="B621">
        <f>VLOOKUP(A621,Table1[[Item Purchased]:[Subscription Status]],8,FALSE)</f>
        <v>4.7</v>
      </c>
    </row>
    <row r="622" spans="1:2" x14ac:dyDescent="0.3">
      <c r="A622" s="5" t="s">
        <v>131</v>
      </c>
      <c r="B622">
        <f>VLOOKUP(A622,Table1[[Item Purchased]:[Subscription Status]],8,FALSE)</f>
        <v>4.7</v>
      </c>
    </row>
    <row r="623" spans="1:2" x14ac:dyDescent="0.3">
      <c r="A623" s="6" t="s">
        <v>88</v>
      </c>
      <c r="B623">
        <f>VLOOKUP(A623,Table1[[Item Purchased]:[Subscription Status]],8,FALSE)</f>
        <v>4.0999999999999996</v>
      </c>
    </row>
    <row r="624" spans="1:2" x14ac:dyDescent="0.3">
      <c r="A624" s="5" t="s">
        <v>124</v>
      </c>
      <c r="B624">
        <f>VLOOKUP(A624,Table1[[Item Purchased]:[Subscription Status]],8,FALSE)</f>
        <v>2.9</v>
      </c>
    </row>
    <row r="625" spans="1:2" x14ac:dyDescent="0.3">
      <c r="A625" s="6" t="s">
        <v>70</v>
      </c>
      <c r="B625">
        <f>VLOOKUP(A625,Table1[[Item Purchased]:[Subscription Status]],8,FALSE)</f>
        <v>4.0999999999999996</v>
      </c>
    </row>
    <row r="626" spans="1:2" x14ac:dyDescent="0.3">
      <c r="A626" s="5" t="s">
        <v>94</v>
      </c>
      <c r="B626">
        <f>VLOOKUP(A626,Table1[[Item Purchased]:[Subscription Status]],8,FALSE)</f>
        <v>3.3</v>
      </c>
    </row>
    <row r="627" spans="1:2" x14ac:dyDescent="0.3">
      <c r="A627" s="6" t="s">
        <v>105</v>
      </c>
      <c r="B627">
        <f>VLOOKUP(A627,Table1[[Item Purchased]:[Subscription Status]],8,FALSE)</f>
        <v>3.6</v>
      </c>
    </row>
    <row r="628" spans="1:2" x14ac:dyDescent="0.3">
      <c r="A628" s="5" t="s">
        <v>88</v>
      </c>
      <c r="B628">
        <f>VLOOKUP(A628,Table1[[Item Purchased]:[Subscription Status]],8,FALSE)</f>
        <v>4.0999999999999996</v>
      </c>
    </row>
    <row r="629" spans="1:2" x14ac:dyDescent="0.3">
      <c r="A629" s="6" t="s">
        <v>40</v>
      </c>
      <c r="B629">
        <f>VLOOKUP(A629,Table1[[Item Purchased]:[Subscription Status]],8,FALSE)</f>
        <v>3.5</v>
      </c>
    </row>
    <row r="630" spans="1:2" x14ac:dyDescent="0.3">
      <c r="A630" s="5" t="s">
        <v>29</v>
      </c>
      <c r="B630">
        <f>VLOOKUP(A630,Table1[[Item Purchased]:[Subscription Status]],8,FALSE)</f>
        <v>3.1</v>
      </c>
    </row>
    <row r="631" spans="1:2" x14ac:dyDescent="0.3">
      <c r="A631" s="6" t="s">
        <v>70</v>
      </c>
      <c r="B631">
        <f>VLOOKUP(A631,Table1[[Item Purchased]:[Subscription Status]],8,FALSE)</f>
        <v>4.0999999999999996</v>
      </c>
    </row>
    <row r="632" spans="1:2" x14ac:dyDescent="0.3">
      <c r="A632" s="5" t="s">
        <v>105</v>
      </c>
      <c r="B632">
        <f>VLOOKUP(A632,Table1[[Item Purchased]:[Subscription Status]],8,FALSE)</f>
        <v>3.6</v>
      </c>
    </row>
    <row r="633" spans="1:2" x14ac:dyDescent="0.3">
      <c r="A633" s="6" t="s">
        <v>136</v>
      </c>
      <c r="B633">
        <f>VLOOKUP(A633,Table1[[Item Purchased]:[Subscription Status]],8,FALSE)</f>
        <v>4.8</v>
      </c>
    </row>
    <row r="634" spans="1:2" x14ac:dyDescent="0.3">
      <c r="A634" s="5" t="s">
        <v>131</v>
      </c>
      <c r="B634">
        <f>VLOOKUP(A634,Table1[[Item Purchased]:[Subscription Status]],8,FALSE)</f>
        <v>4.7</v>
      </c>
    </row>
    <row r="635" spans="1:2" x14ac:dyDescent="0.3">
      <c r="A635" s="6" t="s">
        <v>40</v>
      </c>
      <c r="B635">
        <f>VLOOKUP(A635,Table1[[Item Purchased]:[Subscription Status]],8,FALSE)</f>
        <v>3.5</v>
      </c>
    </row>
    <row r="636" spans="1:2" x14ac:dyDescent="0.3">
      <c r="A636" s="5" t="s">
        <v>49</v>
      </c>
      <c r="B636">
        <f>VLOOKUP(A636,Table1[[Item Purchased]:[Subscription Status]],8,FALSE)</f>
        <v>2.9</v>
      </c>
    </row>
    <row r="637" spans="1:2" x14ac:dyDescent="0.3">
      <c r="A637" s="6" t="s">
        <v>103</v>
      </c>
      <c r="B637">
        <f>VLOOKUP(A637,Table1[[Item Purchased]:[Subscription Status]],8,FALSE)</f>
        <v>3.6</v>
      </c>
    </row>
    <row r="638" spans="1:2" x14ac:dyDescent="0.3">
      <c r="A638" s="5" t="s">
        <v>65</v>
      </c>
      <c r="B638">
        <f>VLOOKUP(A638,Table1[[Item Purchased]:[Subscription Status]],8,FALSE)</f>
        <v>4.8</v>
      </c>
    </row>
    <row r="639" spans="1:2" x14ac:dyDescent="0.3">
      <c r="A639" s="6" t="s">
        <v>29</v>
      </c>
      <c r="B639">
        <f>VLOOKUP(A639,Table1[[Item Purchased]:[Subscription Status]],8,FALSE)</f>
        <v>3.1</v>
      </c>
    </row>
    <row r="640" spans="1:2" x14ac:dyDescent="0.3">
      <c r="A640" s="5" t="s">
        <v>40</v>
      </c>
      <c r="B640">
        <f>VLOOKUP(A640,Table1[[Item Purchased]:[Subscription Status]],8,FALSE)</f>
        <v>3.5</v>
      </c>
    </row>
    <row r="641" spans="1:2" x14ac:dyDescent="0.3">
      <c r="A641" s="6" t="s">
        <v>80</v>
      </c>
      <c r="B641">
        <f>VLOOKUP(A641,Table1[[Item Purchased]:[Subscription Status]],8,FALSE)</f>
        <v>4.7</v>
      </c>
    </row>
    <row r="642" spans="1:2" x14ac:dyDescent="0.3">
      <c r="A642" s="5" t="s">
        <v>86</v>
      </c>
      <c r="B642">
        <f>VLOOKUP(A642,Table1[[Item Purchased]:[Subscription Status]],8,FALSE)</f>
        <v>2.8</v>
      </c>
    </row>
    <row r="643" spans="1:2" x14ac:dyDescent="0.3">
      <c r="A643" s="6" t="s">
        <v>19</v>
      </c>
      <c r="B643">
        <f>VLOOKUP(A643,Table1[[Item Purchased]:[Subscription Status]],8,FALSE)</f>
        <v>3.1</v>
      </c>
    </row>
    <row r="644" spans="1:2" x14ac:dyDescent="0.3">
      <c r="A644" s="5" t="s">
        <v>86</v>
      </c>
      <c r="B644">
        <f>VLOOKUP(A644,Table1[[Item Purchased]:[Subscription Status]],8,FALSE)</f>
        <v>2.8</v>
      </c>
    </row>
    <row r="645" spans="1:2" x14ac:dyDescent="0.3">
      <c r="A645" s="6" t="s">
        <v>29</v>
      </c>
      <c r="B645">
        <f>VLOOKUP(A645,Table1[[Item Purchased]:[Subscription Status]],8,FALSE)</f>
        <v>3.1</v>
      </c>
    </row>
    <row r="646" spans="1:2" x14ac:dyDescent="0.3">
      <c r="A646" s="5" t="s">
        <v>131</v>
      </c>
      <c r="B646">
        <f>VLOOKUP(A646,Table1[[Item Purchased]:[Subscription Status]],8,FALSE)</f>
        <v>4.7</v>
      </c>
    </row>
    <row r="647" spans="1:2" x14ac:dyDescent="0.3">
      <c r="A647" s="6" t="s">
        <v>103</v>
      </c>
      <c r="B647">
        <f>VLOOKUP(A647,Table1[[Item Purchased]:[Subscription Status]],8,FALSE)</f>
        <v>3.6</v>
      </c>
    </row>
    <row r="648" spans="1:2" x14ac:dyDescent="0.3">
      <c r="A648" s="5" t="s">
        <v>136</v>
      </c>
      <c r="B648">
        <f>VLOOKUP(A648,Table1[[Item Purchased]:[Subscription Status]],8,FALSE)</f>
        <v>4.8</v>
      </c>
    </row>
    <row r="649" spans="1:2" x14ac:dyDescent="0.3">
      <c r="A649" s="6" t="s">
        <v>19</v>
      </c>
      <c r="B649">
        <f>VLOOKUP(A649,Table1[[Item Purchased]:[Subscription Status]],8,FALSE)</f>
        <v>3.1</v>
      </c>
    </row>
    <row r="650" spans="1:2" x14ac:dyDescent="0.3">
      <c r="A650" s="5" t="s">
        <v>103</v>
      </c>
      <c r="B650">
        <f>VLOOKUP(A650,Table1[[Item Purchased]:[Subscription Status]],8,FALSE)</f>
        <v>3.6</v>
      </c>
    </row>
    <row r="651" spans="1:2" x14ac:dyDescent="0.3">
      <c r="A651" s="6" t="s">
        <v>94</v>
      </c>
      <c r="B651">
        <f>VLOOKUP(A651,Table1[[Item Purchased]:[Subscription Status]],8,FALSE)</f>
        <v>3.3</v>
      </c>
    </row>
    <row r="652" spans="1:2" x14ac:dyDescent="0.3">
      <c r="A652" s="5" t="s">
        <v>142</v>
      </c>
      <c r="B652">
        <f>VLOOKUP(A652,Table1[[Item Purchased]:[Subscription Status]],8,FALSE)</f>
        <v>4.5</v>
      </c>
    </row>
    <row r="653" spans="1:2" x14ac:dyDescent="0.3">
      <c r="A653" s="6" t="s">
        <v>123</v>
      </c>
      <c r="B653">
        <f>VLOOKUP(A653,Table1[[Item Purchased]:[Subscription Status]],8,FALSE)</f>
        <v>4.5999999999999996</v>
      </c>
    </row>
    <row r="654" spans="1:2" x14ac:dyDescent="0.3">
      <c r="A654" s="5" t="s">
        <v>88</v>
      </c>
      <c r="B654">
        <f>VLOOKUP(A654,Table1[[Item Purchased]:[Subscription Status]],8,FALSE)</f>
        <v>4.0999999999999996</v>
      </c>
    </row>
    <row r="655" spans="1:2" x14ac:dyDescent="0.3">
      <c r="A655" s="6" t="s">
        <v>118</v>
      </c>
      <c r="B655">
        <f>VLOOKUP(A655,Table1[[Item Purchased]:[Subscription Status]],8,FALSE)</f>
        <v>4.5</v>
      </c>
    </row>
    <row r="656" spans="1:2" x14ac:dyDescent="0.3">
      <c r="A656" s="5" t="s">
        <v>65</v>
      </c>
      <c r="B656">
        <f>VLOOKUP(A656,Table1[[Item Purchased]:[Subscription Status]],8,FALSE)</f>
        <v>4.8</v>
      </c>
    </row>
    <row r="657" spans="1:2" x14ac:dyDescent="0.3">
      <c r="A657" s="6" t="s">
        <v>65</v>
      </c>
      <c r="B657">
        <f>VLOOKUP(A657,Table1[[Item Purchased]:[Subscription Status]],8,FALSE)</f>
        <v>4.8</v>
      </c>
    </row>
    <row r="658" spans="1:2" x14ac:dyDescent="0.3">
      <c r="A658" s="5" t="s">
        <v>33</v>
      </c>
      <c r="B658">
        <f>VLOOKUP(A658,Table1[[Item Purchased]:[Subscription Status]],8,FALSE)</f>
        <v>3.1</v>
      </c>
    </row>
    <row r="659" spans="1:2" x14ac:dyDescent="0.3">
      <c r="A659" s="6" t="s">
        <v>101</v>
      </c>
      <c r="B659">
        <f>VLOOKUP(A659,Table1[[Item Purchased]:[Subscription Status]],8,FALSE)</f>
        <v>2.9</v>
      </c>
    </row>
    <row r="660" spans="1:2" x14ac:dyDescent="0.3">
      <c r="A660" s="5" t="s">
        <v>131</v>
      </c>
      <c r="B660">
        <f>VLOOKUP(A660,Table1[[Item Purchased]:[Subscription Status]],8,FALSE)</f>
        <v>4.7</v>
      </c>
    </row>
    <row r="661" spans="1:2" x14ac:dyDescent="0.3">
      <c r="A661" s="6" t="s">
        <v>58</v>
      </c>
      <c r="B661">
        <f>VLOOKUP(A661,Table1[[Item Purchased]:[Subscription Status]],8,FALSE)</f>
        <v>3.2</v>
      </c>
    </row>
    <row r="662" spans="1:2" x14ac:dyDescent="0.3">
      <c r="A662" s="5" t="s">
        <v>61</v>
      </c>
      <c r="B662">
        <f>VLOOKUP(A662,Table1[[Item Purchased]:[Subscription Status]],8,FALSE)</f>
        <v>2.6</v>
      </c>
    </row>
    <row r="663" spans="1:2" x14ac:dyDescent="0.3">
      <c r="A663" s="6" t="s">
        <v>54</v>
      </c>
      <c r="B663">
        <f>VLOOKUP(A663,Table1[[Item Purchased]:[Subscription Status]],8,FALSE)</f>
        <v>3.2</v>
      </c>
    </row>
    <row r="664" spans="1:2" x14ac:dyDescent="0.3">
      <c r="A664" s="5" t="s">
        <v>142</v>
      </c>
      <c r="B664">
        <f>VLOOKUP(A664,Table1[[Item Purchased]:[Subscription Status]],8,FALSE)</f>
        <v>4.5</v>
      </c>
    </row>
    <row r="665" spans="1:2" x14ac:dyDescent="0.3">
      <c r="A665" s="6" t="s">
        <v>80</v>
      </c>
      <c r="B665">
        <f>VLOOKUP(A665,Table1[[Item Purchased]:[Subscription Status]],8,FALSE)</f>
        <v>4.7</v>
      </c>
    </row>
    <row r="666" spans="1:2" x14ac:dyDescent="0.3">
      <c r="A666" s="5" t="s">
        <v>94</v>
      </c>
      <c r="B666">
        <f>VLOOKUP(A666,Table1[[Item Purchased]:[Subscription Status]],8,FALSE)</f>
        <v>3.3</v>
      </c>
    </row>
    <row r="667" spans="1:2" x14ac:dyDescent="0.3">
      <c r="A667" s="6" t="s">
        <v>94</v>
      </c>
      <c r="B667">
        <f>VLOOKUP(A667,Table1[[Item Purchased]:[Subscription Status]],8,FALSE)</f>
        <v>3.3</v>
      </c>
    </row>
    <row r="668" spans="1:2" x14ac:dyDescent="0.3">
      <c r="A668" s="5" t="s">
        <v>103</v>
      </c>
      <c r="B668">
        <f>VLOOKUP(A668,Table1[[Item Purchased]:[Subscription Status]],8,FALSE)</f>
        <v>3.6</v>
      </c>
    </row>
    <row r="669" spans="1:2" x14ac:dyDescent="0.3">
      <c r="A669" s="6" t="s">
        <v>88</v>
      </c>
      <c r="B669">
        <f>VLOOKUP(A669,Table1[[Item Purchased]:[Subscription Status]],8,FALSE)</f>
        <v>4.0999999999999996</v>
      </c>
    </row>
    <row r="670" spans="1:2" x14ac:dyDescent="0.3">
      <c r="A670" s="5" t="s">
        <v>112</v>
      </c>
      <c r="B670">
        <f>VLOOKUP(A670,Table1[[Item Purchased]:[Subscription Status]],8,FALSE)</f>
        <v>4.5999999999999996</v>
      </c>
    </row>
    <row r="671" spans="1:2" x14ac:dyDescent="0.3">
      <c r="A671" s="6" t="s">
        <v>101</v>
      </c>
      <c r="B671">
        <f>VLOOKUP(A671,Table1[[Item Purchased]:[Subscription Status]],8,FALSE)</f>
        <v>2.9</v>
      </c>
    </row>
    <row r="672" spans="1:2" x14ac:dyDescent="0.3">
      <c r="A672" s="5" t="s">
        <v>29</v>
      </c>
      <c r="B672">
        <f>VLOOKUP(A672,Table1[[Item Purchased]:[Subscription Status]],8,FALSE)</f>
        <v>3.1</v>
      </c>
    </row>
    <row r="673" spans="1:2" x14ac:dyDescent="0.3">
      <c r="A673" s="6" t="s">
        <v>101</v>
      </c>
      <c r="B673">
        <f>VLOOKUP(A673,Table1[[Item Purchased]:[Subscription Status]],8,FALSE)</f>
        <v>2.9</v>
      </c>
    </row>
    <row r="674" spans="1:2" x14ac:dyDescent="0.3">
      <c r="A674" s="5" t="s">
        <v>124</v>
      </c>
      <c r="B674">
        <f>VLOOKUP(A674,Table1[[Item Purchased]:[Subscription Status]],8,FALSE)</f>
        <v>2.9</v>
      </c>
    </row>
    <row r="675" spans="1:2" x14ac:dyDescent="0.3">
      <c r="A675" s="6" t="s">
        <v>54</v>
      </c>
      <c r="B675">
        <f>VLOOKUP(A675,Table1[[Item Purchased]:[Subscription Status]],8,FALSE)</f>
        <v>3.2</v>
      </c>
    </row>
    <row r="676" spans="1:2" x14ac:dyDescent="0.3">
      <c r="A676" s="5" t="s">
        <v>105</v>
      </c>
      <c r="B676">
        <f>VLOOKUP(A676,Table1[[Item Purchased]:[Subscription Status]],8,FALSE)</f>
        <v>3.6</v>
      </c>
    </row>
    <row r="677" spans="1:2" x14ac:dyDescent="0.3">
      <c r="A677" s="6" t="s">
        <v>88</v>
      </c>
      <c r="B677">
        <f>VLOOKUP(A677,Table1[[Item Purchased]:[Subscription Status]],8,FALSE)</f>
        <v>4.0999999999999996</v>
      </c>
    </row>
    <row r="678" spans="1:2" x14ac:dyDescent="0.3">
      <c r="A678" s="5" t="s">
        <v>94</v>
      </c>
      <c r="B678">
        <f>VLOOKUP(A678,Table1[[Item Purchased]:[Subscription Status]],8,FALSE)</f>
        <v>3.3</v>
      </c>
    </row>
    <row r="679" spans="1:2" x14ac:dyDescent="0.3">
      <c r="A679" s="6" t="s">
        <v>124</v>
      </c>
      <c r="B679">
        <f>VLOOKUP(A679,Table1[[Item Purchased]:[Subscription Status]],8,FALSE)</f>
        <v>2.9</v>
      </c>
    </row>
    <row r="680" spans="1:2" x14ac:dyDescent="0.3">
      <c r="A680" s="5" t="s">
        <v>19</v>
      </c>
      <c r="B680">
        <f>VLOOKUP(A680,Table1[[Item Purchased]:[Subscription Status]],8,FALSE)</f>
        <v>3.1</v>
      </c>
    </row>
    <row r="681" spans="1:2" x14ac:dyDescent="0.3">
      <c r="A681" s="6" t="s">
        <v>40</v>
      </c>
      <c r="B681">
        <f>VLOOKUP(A681,Table1[[Item Purchased]:[Subscription Status]],8,FALSE)</f>
        <v>3.5</v>
      </c>
    </row>
    <row r="682" spans="1:2" x14ac:dyDescent="0.3">
      <c r="A682" s="5" t="s">
        <v>49</v>
      </c>
      <c r="B682">
        <f>VLOOKUP(A682,Table1[[Item Purchased]:[Subscription Status]],8,FALSE)</f>
        <v>2.9</v>
      </c>
    </row>
    <row r="683" spans="1:2" x14ac:dyDescent="0.3">
      <c r="A683" s="6" t="s">
        <v>54</v>
      </c>
      <c r="B683">
        <f>VLOOKUP(A683,Table1[[Item Purchased]:[Subscription Status]],8,FALSE)</f>
        <v>3.2</v>
      </c>
    </row>
    <row r="684" spans="1:2" x14ac:dyDescent="0.3">
      <c r="A684" s="5" t="s">
        <v>101</v>
      </c>
      <c r="B684">
        <f>VLOOKUP(A684,Table1[[Item Purchased]:[Subscription Status]],8,FALSE)</f>
        <v>2.9</v>
      </c>
    </row>
    <row r="685" spans="1:2" x14ac:dyDescent="0.3">
      <c r="A685" s="6" t="s">
        <v>40</v>
      </c>
      <c r="B685">
        <f>VLOOKUP(A685,Table1[[Item Purchased]:[Subscription Status]],8,FALSE)</f>
        <v>3.5</v>
      </c>
    </row>
    <row r="686" spans="1:2" x14ac:dyDescent="0.3">
      <c r="A686" s="5" t="s">
        <v>123</v>
      </c>
      <c r="B686">
        <f>VLOOKUP(A686,Table1[[Item Purchased]:[Subscription Status]],8,FALSE)</f>
        <v>4.5999999999999996</v>
      </c>
    </row>
    <row r="687" spans="1:2" x14ac:dyDescent="0.3">
      <c r="A687" s="6" t="s">
        <v>19</v>
      </c>
      <c r="B687">
        <f>VLOOKUP(A687,Table1[[Item Purchased]:[Subscription Status]],8,FALSE)</f>
        <v>3.1</v>
      </c>
    </row>
    <row r="688" spans="1:2" x14ac:dyDescent="0.3">
      <c r="A688" s="5" t="s">
        <v>29</v>
      </c>
      <c r="B688">
        <f>VLOOKUP(A688,Table1[[Item Purchased]:[Subscription Status]],8,FALSE)</f>
        <v>3.1</v>
      </c>
    </row>
    <row r="689" spans="1:2" x14ac:dyDescent="0.3">
      <c r="A689" s="6" t="s">
        <v>142</v>
      </c>
      <c r="B689">
        <f>VLOOKUP(A689,Table1[[Item Purchased]:[Subscription Status]],8,FALSE)</f>
        <v>4.5</v>
      </c>
    </row>
    <row r="690" spans="1:2" x14ac:dyDescent="0.3">
      <c r="A690" s="5" t="s">
        <v>118</v>
      </c>
      <c r="B690">
        <f>VLOOKUP(A690,Table1[[Item Purchased]:[Subscription Status]],8,FALSE)</f>
        <v>4.5</v>
      </c>
    </row>
    <row r="691" spans="1:2" x14ac:dyDescent="0.3">
      <c r="A691" s="6" t="s">
        <v>103</v>
      </c>
      <c r="B691">
        <f>VLOOKUP(A691,Table1[[Item Purchased]:[Subscription Status]],8,FALSE)</f>
        <v>3.6</v>
      </c>
    </row>
    <row r="692" spans="1:2" x14ac:dyDescent="0.3">
      <c r="A692" s="5" t="s">
        <v>58</v>
      </c>
      <c r="B692">
        <f>VLOOKUP(A692,Table1[[Item Purchased]:[Subscription Status]],8,FALSE)</f>
        <v>3.2</v>
      </c>
    </row>
    <row r="693" spans="1:2" x14ac:dyDescent="0.3">
      <c r="A693" s="6" t="s">
        <v>131</v>
      </c>
      <c r="B693">
        <f>VLOOKUP(A693,Table1[[Item Purchased]:[Subscription Status]],8,FALSE)</f>
        <v>4.7</v>
      </c>
    </row>
    <row r="694" spans="1:2" x14ac:dyDescent="0.3">
      <c r="A694" s="5" t="s">
        <v>88</v>
      </c>
      <c r="B694">
        <f>VLOOKUP(A694,Table1[[Item Purchased]:[Subscription Status]],8,FALSE)</f>
        <v>4.0999999999999996</v>
      </c>
    </row>
    <row r="695" spans="1:2" x14ac:dyDescent="0.3">
      <c r="A695" s="6" t="s">
        <v>58</v>
      </c>
      <c r="B695">
        <f>VLOOKUP(A695,Table1[[Item Purchased]:[Subscription Status]],8,FALSE)</f>
        <v>3.2</v>
      </c>
    </row>
    <row r="696" spans="1:2" x14ac:dyDescent="0.3">
      <c r="A696" s="5" t="s">
        <v>80</v>
      </c>
      <c r="B696">
        <f>VLOOKUP(A696,Table1[[Item Purchased]:[Subscription Status]],8,FALSE)</f>
        <v>4.7</v>
      </c>
    </row>
    <row r="697" spans="1:2" x14ac:dyDescent="0.3">
      <c r="A697" s="6" t="s">
        <v>58</v>
      </c>
      <c r="B697">
        <f>VLOOKUP(A697,Table1[[Item Purchased]:[Subscription Status]],8,FALSE)</f>
        <v>3.2</v>
      </c>
    </row>
    <row r="698" spans="1:2" x14ac:dyDescent="0.3">
      <c r="A698" s="5" t="s">
        <v>132</v>
      </c>
      <c r="B698">
        <f>VLOOKUP(A698,Table1[[Item Purchased]:[Subscription Status]],8,FALSE)</f>
        <v>4.5999999999999996</v>
      </c>
    </row>
    <row r="699" spans="1:2" x14ac:dyDescent="0.3">
      <c r="A699" s="6" t="s">
        <v>118</v>
      </c>
      <c r="B699">
        <f>VLOOKUP(A699,Table1[[Item Purchased]:[Subscription Status]],8,FALSE)</f>
        <v>4.5</v>
      </c>
    </row>
    <row r="700" spans="1:2" x14ac:dyDescent="0.3">
      <c r="A700" s="5" t="s">
        <v>136</v>
      </c>
      <c r="B700">
        <f>VLOOKUP(A700,Table1[[Item Purchased]:[Subscription Status]],8,FALSE)</f>
        <v>4.8</v>
      </c>
    </row>
    <row r="701" spans="1:2" x14ac:dyDescent="0.3">
      <c r="A701" s="6" t="s">
        <v>65</v>
      </c>
      <c r="B701">
        <f>VLOOKUP(A701,Table1[[Item Purchased]:[Subscription Status]],8,FALSE)</f>
        <v>4.8</v>
      </c>
    </row>
    <row r="702" spans="1:2" x14ac:dyDescent="0.3">
      <c r="A702" s="5" t="s">
        <v>94</v>
      </c>
      <c r="B702">
        <f>VLOOKUP(A702,Table1[[Item Purchased]:[Subscription Status]],8,FALSE)</f>
        <v>3.3</v>
      </c>
    </row>
    <row r="703" spans="1:2" x14ac:dyDescent="0.3">
      <c r="A703" s="6" t="s">
        <v>136</v>
      </c>
      <c r="B703">
        <f>VLOOKUP(A703,Table1[[Item Purchased]:[Subscription Status]],8,FALSE)</f>
        <v>4.8</v>
      </c>
    </row>
    <row r="704" spans="1:2" x14ac:dyDescent="0.3">
      <c r="A704" s="5" t="s">
        <v>54</v>
      </c>
      <c r="B704">
        <f>VLOOKUP(A704,Table1[[Item Purchased]:[Subscription Status]],8,FALSE)</f>
        <v>3.2</v>
      </c>
    </row>
    <row r="705" spans="1:2" x14ac:dyDescent="0.3">
      <c r="A705" s="6" t="s">
        <v>80</v>
      </c>
      <c r="B705">
        <f>VLOOKUP(A705,Table1[[Item Purchased]:[Subscription Status]],8,FALSE)</f>
        <v>4.7</v>
      </c>
    </row>
    <row r="706" spans="1:2" x14ac:dyDescent="0.3">
      <c r="A706" s="5" t="s">
        <v>103</v>
      </c>
      <c r="B706">
        <f>VLOOKUP(A706,Table1[[Item Purchased]:[Subscription Status]],8,FALSE)</f>
        <v>3.6</v>
      </c>
    </row>
    <row r="707" spans="1:2" x14ac:dyDescent="0.3">
      <c r="A707" s="6" t="s">
        <v>94</v>
      </c>
      <c r="B707">
        <f>VLOOKUP(A707,Table1[[Item Purchased]:[Subscription Status]],8,FALSE)</f>
        <v>3.3</v>
      </c>
    </row>
    <row r="708" spans="1:2" x14ac:dyDescent="0.3">
      <c r="A708" s="5" t="s">
        <v>33</v>
      </c>
      <c r="B708">
        <f>VLOOKUP(A708,Table1[[Item Purchased]:[Subscription Status]],8,FALSE)</f>
        <v>3.1</v>
      </c>
    </row>
    <row r="709" spans="1:2" x14ac:dyDescent="0.3">
      <c r="A709" s="6" t="s">
        <v>54</v>
      </c>
      <c r="B709">
        <f>VLOOKUP(A709,Table1[[Item Purchased]:[Subscription Status]],8,FALSE)</f>
        <v>3.2</v>
      </c>
    </row>
    <row r="710" spans="1:2" x14ac:dyDescent="0.3">
      <c r="A710" s="5" t="s">
        <v>131</v>
      </c>
      <c r="B710">
        <f>VLOOKUP(A710,Table1[[Item Purchased]:[Subscription Status]],8,FALSE)</f>
        <v>4.7</v>
      </c>
    </row>
    <row r="711" spans="1:2" x14ac:dyDescent="0.3">
      <c r="A711" s="6" t="s">
        <v>101</v>
      </c>
      <c r="B711">
        <f>VLOOKUP(A711,Table1[[Item Purchased]:[Subscription Status]],8,FALSE)</f>
        <v>2.9</v>
      </c>
    </row>
    <row r="712" spans="1:2" x14ac:dyDescent="0.3">
      <c r="A712" s="5" t="s">
        <v>118</v>
      </c>
      <c r="B712">
        <f>VLOOKUP(A712,Table1[[Item Purchased]:[Subscription Status]],8,FALSE)</f>
        <v>4.5</v>
      </c>
    </row>
    <row r="713" spans="1:2" x14ac:dyDescent="0.3">
      <c r="A713" s="6" t="s">
        <v>136</v>
      </c>
      <c r="B713">
        <f>VLOOKUP(A713,Table1[[Item Purchased]:[Subscription Status]],8,FALSE)</f>
        <v>4.8</v>
      </c>
    </row>
    <row r="714" spans="1:2" x14ac:dyDescent="0.3">
      <c r="A714" s="5" t="s">
        <v>19</v>
      </c>
      <c r="B714">
        <f>VLOOKUP(A714,Table1[[Item Purchased]:[Subscription Status]],8,FALSE)</f>
        <v>3.1</v>
      </c>
    </row>
    <row r="715" spans="1:2" x14ac:dyDescent="0.3">
      <c r="A715" s="6" t="s">
        <v>103</v>
      </c>
      <c r="B715">
        <f>VLOOKUP(A715,Table1[[Item Purchased]:[Subscription Status]],8,FALSE)</f>
        <v>3.6</v>
      </c>
    </row>
    <row r="716" spans="1:2" x14ac:dyDescent="0.3">
      <c r="A716" s="5" t="s">
        <v>101</v>
      </c>
      <c r="B716">
        <f>VLOOKUP(A716,Table1[[Item Purchased]:[Subscription Status]],8,FALSE)</f>
        <v>2.9</v>
      </c>
    </row>
    <row r="717" spans="1:2" x14ac:dyDescent="0.3">
      <c r="A717" s="6" t="s">
        <v>33</v>
      </c>
      <c r="B717">
        <f>VLOOKUP(A717,Table1[[Item Purchased]:[Subscription Status]],8,FALSE)</f>
        <v>3.1</v>
      </c>
    </row>
    <row r="718" spans="1:2" x14ac:dyDescent="0.3">
      <c r="A718" s="5" t="s">
        <v>105</v>
      </c>
      <c r="B718">
        <f>VLOOKUP(A718,Table1[[Item Purchased]:[Subscription Status]],8,FALSE)</f>
        <v>3.6</v>
      </c>
    </row>
    <row r="719" spans="1:2" x14ac:dyDescent="0.3">
      <c r="A719" s="6" t="s">
        <v>124</v>
      </c>
      <c r="B719">
        <f>VLOOKUP(A719,Table1[[Item Purchased]:[Subscription Status]],8,FALSE)</f>
        <v>2.9</v>
      </c>
    </row>
    <row r="720" spans="1:2" x14ac:dyDescent="0.3">
      <c r="A720" s="5" t="s">
        <v>54</v>
      </c>
      <c r="B720">
        <f>VLOOKUP(A720,Table1[[Item Purchased]:[Subscription Status]],8,FALSE)</f>
        <v>3.2</v>
      </c>
    </row>
    <row r="721" spans="1:2" x14ac:dyDescent="0.3">
      <c r="A721" s="6" t="s">
        <v>58</v>
      </c>
      <c r="B721">
        <f>VLOOKUP(A721,Table1[[Item Purchased]:[Subscription Status]],8,FALSE)</f>
        <v>3.2</v>
      </c>
    </row>
    <row r="722" spans="1:2" x14ac:dyDescent="0.3">
      <c r="A722" s="5" t="s">
        <v>105</v>
      </c>
      <c r="B722">
        <f>VLOOKUP(A722,Table1[[Item Purchased]:[Subscription Status]],8,FALSE)</f>
        <v>3.6</v>
      </c>
    </row>
    <row r="723" spans="1:2" x14ac:dyDescent="0.3">
      <c r="A723" s="6" t="s">
        <v>19</v>
      </c>
      <c r="B723">
        <f>VLOOKUP(A723,Table1[[Item Purchased]:[Subscription Status]],8,FALSE)</f>
        <v>3.1</v>
      </c>
    </row>
    <row r="724" spans="1:2" x14ac:dyDescent="0.3">
      <c r="A724" s="5" t="s">
        <v>29</v>
      </c>
      <c r="B724">
        <f>VLOOKUP(A724,Table1[[Item Purchased]:[Subscription Status]],8,FALSE)</f>
        <v>3.1</v>
      </c>
    </row>
    <row r="725" spans="1:2" x14ac:dyDescent="0.3">
      <c r="A725" s="6" t="s">
        <v>105</v>
      </c>
      <c r="B725">
        <f>VLOOKUP(A725,Table1[[Item Purchased]:[Subscription Status]],8,FALSE)</f>
        <v>3.6</v>
      </c>
    </row>
    <row r="726" spans="1:2" x14ac:dyDescent="0.3">
      <c r="A726" s="5" t="s">
        <v>112</v>
      </c>
      <c r="B726">
        <f>VLOOKUP(A726,Table1[[Item Purchased]:[Subscription Status]],8,FALSE)</f>
        <v>4.5999999999999996</v>
      </c>
    </row>
    <row r="727" spans="1:2" x14ac:dyDescent="0.3">
      <c r="A727" s="6" t="s">
        <v>123</v>
      </c>
      <c r="B727">
        <f>VLOOKUP(A727,Table1[[Item Purchased]:[Subscription Status]],8,FALSE)</f>
        <v>4.5999999999999996</v>
      </c>
    </row>
    <row r="728" spans="1:2" x14ac:dyDescent="0.3">
      <c r="A728" s="5" t="s">
        <v>58</v>
      </c>
      <c r="B728">
        <f>VLOOKUP(A728,Table1[[Item Purchased]:[Subscription Status]],8,FALSE)</f>
        <v>3.2</v>
      </c>
    </row>
    <row r="729" spans="1:2" x14ac:dyDescent="0.3">
      <c r="A729" s="6" t="s">
        <v>29</v>
      </c>
      <c r="B729">
        <f>VLOOKUP(A729,Table1[[Item Purchased]:[Subscription Status]],8,FALSE)</f>
        <v>3.1</v>
      </c>
    </row>
    <row r="730" spans="1:2" x14ac:dyDescent="0.3">
      <c r="A730" s="5" t="s">
        <v>33</v>
      </c>
      <c r="B730">
        <f>VLOOKUP(A730,Table1[[Item Purchased]:[Subscription Status]],8,FALSE)</f>
        <v>3.1</v>
      </c>
    </row>
    <row r="731" spans="1:2" x14ac:dyDescent="0.3">
      <c r="A731" s="6" t="s">
        <v>88</v>
      </c>
      <c r="B731">
        <f>VLOOKUP(A731,Table1[[Item Purchased]:[Subscription Status]],8,FALSE)</f>
        <v>4.0999999999999996</v>
      </c>
    </row>
    <row r="732" spans="1:2" x14ac:dyDescent="0.3">
      <c r="A732" s="5" t="s">
        <v>136</v>
      </c>
      <c r="B732">
        <f>VLOOKUP(A732,Table1[[Item Purchased]:[Subscription Status]],8,FALSE)</f>
        <v>4.8</v>
      </c>
    </row>
    <row r="733" spans="1:2" x14ac:dyDescent="0.3">
      <c r="A733" s="6" t="s">
        <v>61</v>
      </c>
      <c r="B733">
        <f>VLOOKUP(A733,Table1[[Item Purchased]:[Subscription Status]],8,FALSE)</f>
        <v>2.6</v>
      </c>
    </row>
    <row r="734" spans="1:2" x14ac:dyDescent="0.3">
      <c r="A734" s="5" t="s">
        <v>54</v>
      </c>
      <c r="B734">
        <f>VLOOKUP(A734,Table1[[Item Purchased]:[Subscription Status]],8,FALSE)</f>
        <v>3.2</v>
      </c>
    </row>
    <row r="735" spans="1:2" x14ac:dyDescent="0.3">
      <c r="A735" s="6" t="s">
        <v>80</v>
      </c>
      <c r="B735">
        <f>VLOOKUP(A735,Table1[[Item Purchased]:[Subscription Status]],8,FALSE)</f>
        <v>4.7</v>
      </c>
    </row>
    <row r="736" spans="1:2" x14ac:dyDescent="0.3">
      <c r="A736" s="5" t="s">
        <v>54</v>
      </c>
      <c r="B736">
        <f>VLOOKUP(A736,Table1[[Item Purchased]:[Subscription Status]],8,FALSE)</f>
        <v>3.2</v>
      </c>
    </row>
    <row r="737" spans="1:2" x14ac:dyDescent="0.3">
      <c r="A737" s="6" t="s">
        <v>88</v>
      </c>
      <c r="B737">
        <f>VLOOKUP(A737,Table1[[Item Purchased]:[Subscription Status]],8,FALSE)</f>
        <v>4.0999999999999996</v>
      </c>
    </row>
    <row r="738" spans="1:2" x14ac:dyDescent="0.3">
      <c r="A738" s="5" t="s">
        <v>80</v>
      </c>
      <c r="B738">
        <f>VLOOKUP(A738,Table1[[Item Purchased]:[Subscription Status]],8,FALSE)</f>
        <v>4.7</v>
      </c>
    </row>
    <row r="739" spans="1:2" x14ac:dyDescent="0.3">
      <c r="A739" s="6" t="s">
        <v>88</v>
      </c>
      <c r="B739">
        <f>VLOOKUP(A739,Table1[[Item Purchased]:[Subscription Status]],8,FALSE)</f>
        <v>4.0999999999999996</v>
      </c>
    </row>
    <row r="740" spans="1:2" x14ac:dyDescent="0.3">
      <c r="A740" s="5" t="s">
        <v>88</v>
      </c>
      <c r="B740">
        <f>VLOOKUP(A740,Table1[[Item Purchased]:[Subscription Status]],8,FALSE)</f>
        <v>4.0999999999999996</v>
      </c>
    </row>
    <row r="741" spans="1:2" x14ac:dyDescent="0.3">
      <c r="A741" s="6" t="s">
        <v>58</v>
      </c>
      <c r="B741">
        <f>VLOOKUP(A741,Table1[[Item Purchased]:[Subscription Status]],8,FALSE)</f>
        <v>3.2</v>
      </c>
    </row>
    <row r="742" spans="1:2" x14ac:dyDescent="0.3">
      <c r="A742" s="5" t="s">
        <v>33</v>
      </c>
      <c r="B742">
        <f>VLOOKUP(A742,Table1[[Item Purchased]:[Subscription Status]],8,FALSE)</f>
        <v>3.1</v>
      </c>
    </row>
    <row r="743" spans="1:2" x14ac:dyDescent="0.3">
      <c r="A743" s="6" t="s">
        <v>112</v>
      </c>
      <c r="B743">
        <f>VLOOKUP(A743,Table1[[Item Purchased]:[Subscription Status]],8,FALSE)</f>
        <v>4.5999999999999996</v>
      </c>
    </row>
    <row r="744" spans="1:2" x14ac:dyDescent="0.3">
      <c r="A744" s="5" t="s">
        <v>94</v>
      </c>
      <c r="B744">
        <f>VLOOKUP(A744,Table1[[Item Purchased]:[Subscription Status]],8,FALSE)</f>
        <v>3.3</v>
      </c>
    </row>
    <row r="745" spans="1:2" x14ac:dyDescent="0.3">
      <c r="A745" s="6" t="s">
        <v>88</v>
      </c>
      <c r="B745">
        <f>VLOOKUP(A745,Table1[[Item Purchased]:[Subscription Status]],8,FALSE)</f>
        <v>4.0999999999999996</v>
      </c>
    </row>
    <row r="746" spans="1:2" x14ac:dyDescent="0.3">
      <c r="A746" s="5" t="s">
        <v>136</v>
      </c>
      <c r="B746">
        <f>VLOOKUP(A746,Table1[[Item Purchased]:[Subscription Status]],8,FALSE)</f>
        <v>4.8</v>
      </c>
    </row>
    <row r="747" spans="1:2" x14ac:dyDescent="0.3">
      <c r="A747" s="6" t="s">
        <v>112</v>
      </c>
      <c r="B747">
        <f>VLOOKUP(A747,Table1[[Item Purchased]:[Subscription Status]],8,FALSE)</f>
        <v>4.5999999999999996</v>
      </c>
    </row>
    <row r="748" spans="1:2" x14ac:dyDescent="0.3">
      <c r="A748" s="5" t="s">
        <v>40</v>
      </c>
      <c r="B748">
        <f>VLOOKUP(A748,Table1[[Item Purchased]:[Subscription Status]],8,FALSE)</f>
        <v>3.5</v>
      </c>
    </row>
    <row r="749" spans="1:2" x14ac:dyDescent="0.3">
      <c r="A749" s="6" t="s">
        <v>58</v>
      </c>
      <c r="B749">
        <f>VLOOKUP(A749,Table1[[Item Purchased]:[Subscription Status]],8,FALSE)</f>
        <v>3.2</v>
      </c>
    </row>
    <row r="750" spans="1:2" x14ac:dyDescent="0.3">
      <c r="A750" s="5" t="s">
        <v>123</v>
      </c>
      <c r="B750">
        <f>VLOOKUP(A750,Table1[[Item Purchased]:[Subscription Status]],8,FALSE)</f>
        <v>4.5999999999999996</v>
      </c>
    </row>
    <row r="751" spans="1:2" x14ac:dyDescent="0.3">
      <c r="A751" s="6" t="s">
        <v>118</v>
      </c>
      <c r="B751">
        <f>VLOOKUP(A751,Table1[[Item Purchased]:[Subscription Status]],8,FALSE)</f>
        <v>4.5</v>
      </c>
    </row>
    <row r="752" spans="1:2" x14ac:dyDescent="0.3">
      <c r="A752" s="5" t="s">
        <v>112</v>
      </c>
      <c r="B752">
        <f>VLOOKUP(A752,Table1[[Item Purchased]:[Subscription Status]],8,FALSE)</f>
        <v>4.5999999999999996</v>
      </c>
    </row>
    <row r="753" spans="1:2" x14ac:dyDescent="0.3">
      <c r="A753" s="6" t="s">
        <v>142</v>
      </c>
      <c r="B753">
        <f>VLOOKUP(A753,Table1[[Item Purchased]:[Subscription Status]],8,FALSE)</f>
        <v>4.5</v>
      </c>
    </row>
    <row r="754" spans="1:2" x14ac:dyDescent="0.3">
      <c r="A754" s="5" t="s">
        <v>118</v>
      </c>
      <c r="B754">
        <f>VLOOKUP(A754,Table1[[Item Purchased]:[Subscription Status]],8,FALSE)</f>
        <v>4.5</v>
      </c>
    </row>
    <row r="755" spans="1:2" x14ac:dyDescent="0.3">
      <c r="A755" s="6" t="s">
        <v>136</v>
      </c>
      <c r="B755">
        <f>VLOOKUP(A755,Table1[[Item Purchased]:[Subscription Status]],8,FALSE)</f>
        <v>4.8</v>
      </c>
    </row>
    <row r="756" spans="1:2" x14ac:dyDescent="0.3">
      <c r="A756" s="5" t="s">
        <v>142</v>
      </c>
      <c r="B756">
        <f>VLOOKUP(A756,Table1[[Item Purchased]:[Subscription Status]],8,FALSE)</f>
        <v>4.5</v>
      </c>
    </row>
    <row r="757" spans="1:2" x14ac:dyDescent="0.3">
      <c r="A757" s="6" t="s">
        <v>61</v>
      </c>
      <c r="B757">
        <f>VLOOKUP(A757,Table1[[Item Purchased]:[Subscription Status]],8,FALSE)</f>
        <v>2.6</v>
      </c>
    </row>
    <row r="758" spans="1:2" x14ac:dyDescent="0.3">
      <c r="A758" s="5" t="s">
        <v>132</v>
      </c>
      <c r="B758">
        <f>VLOOKUP(A758,Table1[[Item Purchased]:[Subscription Status]],8,FALSE)</f>
        <v>4.5999999999999996</v>
      </c>
    </row>
    <row r="759" spans="1:2" x14ac:dyDescent="0.3">
      <c r="A759" s="6" t="s">
        <v>103</v>
      </c>
      <c r="B759">
        <f>VLOOKUP(A759,Table1[[Item Purchased]:[Subscription Status]],8,FALSE)</f>
        <v>3.6</v>
      </c>
    </row>
    <row r="760" spans="1:2" x14ac:dyDescent="0.3">
      <c r="A760" s="5" t="s">
        <v>70</v>
      </c>
      <c r="B760">
        <f>VLOOKUP(A760,Table1[[Item Purchased]:[Subscription Status]],8,FALSE)</f>
        <v>4.0999999999999996</v>
      </c>
    </row>
    <row r="761" spans="1:2" x14ac:dyDescent="0.3">
      <c r="A761" s="6" t="s">
        <v>80</v>
      </c>
      <c r="B761">
        <f>VLOOKUP(A761,Table1[[Item Purchased]:[Subscription Status]],8,FALSE)</f>
        <v>4.7</v>
      </c>
    </row>
    <row r="762" spans="1:2" x14ac:dyDescent="0.3">
      <c r="A762" s="5" t="s">
        <v>142</v>
      </c>
      <c r="B762">
        <f>VLOOKUP(A762,Table1[[Item Purchased]:[Subscription Status]],8,FALSE)</f>
        <v>4.5</v>
      </c>
    </row>
    <row r="763" spans="1:2" x14ac:dyDescent="0.3">
      <c r="A763" s="6" t="s">
        <v>105</v>
      </c>
      <c r="B763">
        <f>VLOOKUP(A763,Table1[[Item Purchased]:[Subscription Status]],8,FALSE)</f>
        <v>3.6</v>
      </c>
    </row>
    <row r="764" spans="1:2" x14ac:dyDescent="0.3">
      <c r="A764" s="5" t="s">
        <v>132</v>
      </c>
      <c r="B764">
        <f>VLOOKUP(A764,Table1[[Item Purchased]:[Subscription Status]],8,FALSE)</f>
        <v>4.5999999999999996</v>
      </c>
    </row>
    <row r="765" spans="1:2" x14ac:dyDescent="0.3">
      <c r="A765" s="6" t="s">
        <v>29</v>
      </c>
      <c r="B765">
        <f>VLOOKUP(A765,Table1[[Item Purchased]:[Subscription Status]],8,FALSE)</f>
        <v>3.1</v>
      </c>
    </row>
    <row r="766" spans="1:2" x14ac:dyDescent="0.3">
      <c r="A766" s="5" t="s">
        <v>86</v>
      </c>
      <c r="B766">
        <f>VLOOKUP(A766,Table1[[Item Purchased]:[Subscription Status]],8,FALSE)</f>
        <v>2.8</v>
      </c>
    </row>
    <row r="767" spans="1:2" x14ac:dyDescent="0.3">
      <c r="A767" s="6" t="s">
        <v>49</v>
      </c>
      <c r="B767">
        <f>VLOOKUP(A767,Table1[[Item Purchased]:[Subscription Status]],8,FALSE)</f>
        <v>2.9</v>
      </c>
    </row>
    <row r="768" spans="1:2" x14ac:dyDescent="0.3">
      <c r="A768" s="5" t="s">
        <v>142</v>
      </c>
      <c r="B768">
        <f>VLOOKUP(A768,Table1[[Item Purchased]:[Subscription Status]],8,FALSE)</f>
        <v>4.5</v>
      </c>
    </row>
    <row r="769" spans="1:2" x14ac:dyDescent="0.3">
      <c r="A769" s="6" t="s">
        <v>61</v>
      </c>
      <c r="B769">
        <f>VLOOKUP(A769,Table1[[Item Purchased]:[Subscription Status]],8,FALSE)</f>
        <v>2.6</v>
      </c>
    </row>
    <row r="770" spans="1:2" x14ac:dyDescent="0.3">
      <c r="A770" s="5" t="s">
        <v>131</v>
      </c>
      <c r="B770">
        <f>VLOOKUP(A770,Table1[[Item Purchased]:[Subscription Status]],8,FALSE)</f>
        <v>4.7</v>
      </c>
    </row>
    <row r="771" spans="1:2" x14ac:dyDescent="0.3">
      <c r="A771" s="6" t="s">
        <v>124</v>
      </c>
      <c r="B771">
        <f>VLOOKUP(A771,Table1[[Item Purchased]:[Subscription Status]],8,FALSE)</f>
        <v>2.9</v>
      </c>
    </row>
    <row r="772" spans="1:2" x14ac:dyDescent="0.3">
      <c r="A772" s="5" t="s">
        <v>49</v>
      </c>
      <c r="B772">
        <f>VLOOKUP(A772,Table1[[Item Purchased]:[Subscription Status]],8,FALSE)</f>
        <v>2.9</v>
      </c>
    </row>
    <row r="773" spans="1:2" x14ac:dyDescent="0.3">
      <c r="A773" s="6" t="s">
        <v>29</v>
      </c>
      <c r="B773">
        <f>VLOOKUP(A773,Table1[[Item Purchased]:[Subscription Status]],8,FALSE)</f>
        <v>3.1</v>
      </c>
    </row>
    <row r="774" spans="1:2" x14ac:dyDescent="0.3">
      <c r="A774" s="5" t="s">
        <v>33</v>
      </c>
      <c r="B774">
        <f>VLOOKUP(A774,Table1[[Item Purchased]:[Subscription Status]],8,FALSE)</f>
        <v>3.1</v>
      </c>
    </row>
    <row r="775" spans="1:2" x14ac:dyDescent="0.3">
      <c r="A775" s="6" t="s">
        <v>123</v>
      </c>
      <c r="B775">
        <f>VLOOKUP(A775,Table1[[Item Purchased]:[Subscription Status]],8,FALSE)</f>
        <v>4.5999999999999996</v>
      </c>
    </row>
    <row r="776" spans="1:2" x14ac:dyDescent="0.3">
      <c r="A776" s="5" t="s">
        <v>123</v>
      </c>
      <c r="B776">
        <f>VLOOKUP(A776,Table1[[Item Purchased]:[Subscription Status]],8,FALSE)</f>
        <v>4.5999999999999996</v>
      </c>
    </row>
    <row r="777" spans="1:2" x14ac:dyDescent="0.3">
      <c r="A777" s="6" t="s">
        <v>65</v>
      </c>
      <c r="B777">
        <f>VLOOKUP(A777,Table1[[Item Purchased]:[Subscription Status]],8,FALSE)</f>
        <v>4.8</v>
      </c>
    </row>
    <row r="778" spans="1:2" x14ac:dyDescent="0.3">
      <c r="A778" s="5" t="s">
        <v>54</v>
      </c>
      <c r="B778">
        <f>VLOOKUP(A778,Table1[[Item Purchased]:[Subscription Status]],8,FALSE)</f>
        <v>3.2</v>
      </c>
    </row>
    <row r="779" spans="1:2" x14ac:dyDescent="0.3">
      <c r="A779" s="6" t="s">
        <v>124</v>
      </c>
      <c r="B779">
        <f>VLOOKUP(A779,Table1[[Item Purchased]:[Subscription Status]],8,FALSE)</f>
        <v>2.9</v>
      </c>
    </row>
    <row r="780" spans="1:2" x14ac:dyDescent="0.3">
      <c r="A780" s="5" t="s">
        <v>124</v>
      </c>
      <c r="B780">
        <f>VLOOKUP(A780,Table1[[Item Purchased]:[Subscription Status]],8,FALSE)</f>
        <v>2.9</v>
      </c>
    </row>
    <row r="781" spans="1:2" x14ac:dyDescent="0.3">
      <c r="A781" s="6" t="s">
        <v>80</v>
      </c>
      <c r="B781">
        <f>VLOOKUP(A781,Table1[[Item Purchased]:[Subscription Status]],8,FALSE)</f>
        <v>4.7</v>
      </c>
    </row>
    <row r="782" spans="1:2" x14ac:dyDescent="0.3">
      <c r="A782" s="5" t="s">
        <v>70</v>
      </c>
      <c r="B782">
        <f>VLOOKUP(A782,Table1[[Item Purchased]:[Subscription Status]],8,FALSE)</f>
        <v>4.0999999999999996</v>
      </c>
    </row>
    <row r="783" spans="1:2" x14ac:dyDescent="0.3">
      <c r="A783" s="6" t="s">
        <v>118</v>
      </c>
      <c r="B783">
        <f>VLOOKUP(A783,Table1[[Item Purchased]:[Subscription Status]],8,FALSE)</f>
        <v>4.5</v>
      </c>
    </row>
    <row r="784" spans="1:2" x14ac:dyDescent="0.3">
      <c r="A784" s="5" t="s">
        <v>103</v>
      </c>
      <c r="B784">
        <f>VLOOKUP(A784,Table1[[Item Purchased]:[Subscription Status]],8,FALSE)</f>
        <v>3.6</v>
      </c>
    </row>
    <row r="785" spans="1:2" x14ac:dyDescent="0.3">
      <c r="A785" s="6" t="s">
        <v>112</v>
      </c>
      <c r="B785">
        <f>VLOOKUP(A785,Table1[[Item Purchased]:[Subscription Status]],8,FALSE)</f>
        <v>4.5999999999999996</v>
      </c>
    </row>
    <row r="786" spans="1:2" x14ac:dyDescent="0.3">
      <c r="A786" s="5" t="s">
        <v>33</v>
      </c>
      <c r="B786">
        <f>VLOOKUP(A786,Table1[[Item Purchased]:[Subscription Status]],8,FALSE)</f>
        <v>3.1</v>
      </c>
    </row>
    <row r="787" spans="1:2" x14ac:dyDescent="0.3">
      <c r="A787" s="6" t="s">
        <v>58</v>
      </c>
      <c r="B787">
        <f>VLOOKUP(A787,Table1[[Item Purchased]:[Subscription Status]],8,FALSE)</f>
        <v>3.2</v>
      </c>
    </row>
    <row r="788" spans="1:2" x14ac:dyDescent="0.3">
      <c r="A788" s="5" t="s">
        <v>123</v>
      </c>
      <c r="B788">
        <f>VLOOKUP(A788,Table1[[Item Purchased]:[Subscription Status]],8,FALSE)</f>
        <v>4.5999999999999996</v>
      </c>
    </row>
    <row r="789" spans="1:2" x14ac:dyDescent="0.3">
      <c r="A789" s="6" t="s">
        <v>65</v>
      </c>
      <c r="B789">
        <f>VLOOKUP(A789,Table1[[Item Purchased]:[Subscription Status]],8,FALSE)</f>
        <v>4.8</v>
      </c>
    </row>
    <row r="790" spans="1:2" x14ac:dyDescent="0.3">
      <c r="A790" s="5" t="s">
        <v>94</v>
      </c>
      <c r="B790">
        <f>VLOOKUP(A790,Table1[[Item Purchased]:[Subscription Status]],8,FALSE)</f>
        <v>3.3</v>
      </c>
    </row>
    <row r="791" spans="1:2" x14ac:dyDescent="0.3">
      <c r="A791" s="6" t="s">
        <v>65</v>
      </c>
      <c r="B791">
        <f>VLOOKUP(A791,Table1[[Item Purchased]:[Subscription Status]],8,FALSE)</f>
        <v>4.8</v>
      </c>
    </row>
    <row r="792" spans="1:2" x14ac:dyDescent="0.3">
      <c r="A792" s="5" t="s">
        <v>29</v>
      </c>
      <c r="B792">
        <f>VLOOKUP(A792,Table1[[Item Purchased]:[Subscription Status]],8,FALSE)</f>
        <v>3.1</v>
      </c>
    </row>
    <row r="793" spans="1:2" x14ac:dyDescent="0.3">
      <c r="A793" s="6" t="s">
        <v>118</v>
      </c>
      <c r="B793">
        <f>VLOOKUP(A793,Table1[[Item Purchased]:[Subscription Status]],8,FALSE)</f>
        <v>4.5</v>
      </c>
    </row>
    <row r="794" spans="1:2" x14ac:dyDescent="0.3">
      <c r="A794" s="5" t="s">
        <v>49</v>
      </c>
      <c r="B794">
        <f>VLOOKUP(A794,Table1[[Item Purchased]:[Subscription Status]],8,FALSE)</f>
        <v>2.9</v>
      </c>
    </row>
    <row r="795" spans="1:2" x14ac:dyDescent="0.3">
      <c r="A795" s="6" t="s">
        <v>94</v>
      </c>
      <c r="B795">
        <f>VLOOKUP(A795,Table1[[Item Purchased]:[Subscription Status]],8,FALSE)</f>
        <v>3.3</v>
      </c>
    </row>
    <row r="796" spans="1:2" x14ac:dyDescent="0.3">
      <c r="A796" s="5" t="s">
        <v>131</v>
      </c>
      <c r="B796">
        <f>VLOOKUP(A796,Table1[[Item Purchased]:[Subscription Status]],8,FALSE)</f>
        <v>4.7</v>
      </c>
    </row>
    <row r="797" spans="1:2" x14ac:dyDescent="0.3">
      <c r="A797" s="6" t="s">
        <v>40</v>
      </c>
      <c r="B797">
        <f>VLOOKUP(A797,Table1[[Item Purchased]:[Subscription Status]],8,FALSE)</f>
        <v>3.5</v>
      </c>
    </row>
    <row r="798" spans="1:2" x14ac:dyDescent="0.3">
      <c r="A798" s="5" t="s">
        <v>124</v>
      </c>
      <c r="B798">
        <f>VLOOKUP(A798,Table1[[Item Purchased]:[Subscription Status]],8,FALSE)</f>
        <v>2.9</v>
      </c>
    </row>
    <row r="799" spans="1:2" x14ac:dyDescent="0.3">
      <c r="A799" s="6" t="s">
        <v>61</v>
      </c>
      <c r="B799">
        <f>VLOOKUP(A799,Table1[[Item Purchased]:[Subscription Status]],8,FALSE)</f>
        <v>2.6</v>
      </c>
    </row>
    <row r="800" spans="1:2" x14ac:dyDescent="0.3">
      <c r="A800" s="5" t="s">
        <v>124</v>
      </c>
      <c r="B800">
        <f>VLOOKUP(A800,Table1[[Item Purchased]:[Subscription Status]],8,FALSE)</f>
        <v>2.9</v>
      </c>
    </row>
    <row r="801" spans="1:2" x14ac:dyDescent="0.3">
      <c r="A801" s="6" t="s">
        <v>132</v>
      </c>
      <c r="B801">
        <f>VLOOKUP(A801,Table1[[Item Purchased]:[Subscription Status]],8,FALSE)</f>
        <v>4.5999999999999996</v>
      </c>
    </row>
    <row r="802" spans="1:2" x14ac:dyDescent="0.3">
      <c r="A802" s="5" t="s">
        <v>124</v>
      </c>
      <c r="B802">
        <f>VLOOKUP(A802,Table1[[Item Purchased]:[Subscription Status]],8,FALSE)</f>
        <v>2.9</v>
      </c>
    </row>
    <row r="803" spans="1:2" x14ac:dyDescent="0.3">
      <c r="A803" s="6" t="s">
        <v>132</v>
      </c>
      <c r="B803">
        <f>VLOOKUP(A803,Table1[[Item Purchased]:[Subscription Status]],8,FALSE)</f>
        <v>4.5999999999999996</v>
      </c>
    </row>
    <row r="804" spans="1:2" x14ac:dyDescent="0.3">
      <c r="A804" s="5" t="s">
        <v>94</v>
      </c>
      <c r="B804">
        <f>VLOOKUP(A804,Table1[[Item Purchased]:[Subscription Status]],8,FALSE)</f>
        <v>3.3</v>
      </c>
    </row>
    <row r="805" spans="1:2" x14ac:dyDescent="0.3">
      <c r="A805" s="6" t="s">
        <v>58</v>
      </c>
      <c r="B805">
        <f>VLOOKUP(A805,Table1[[Item Purchased]:[Subscription Status]],8,FALSE)</f>
        <v>3.2</v>
      </c>
    </row>
    <row r="806" spans="1:2" x14ac:dyDescent="0.3">
      <c r="A806" s="5" t="s">
        <v>136</v>
      </c>
      <c r="B806">
        <f>VLOOKUP(A806,Table1[[Item Purchased]:[Subscription Status]],8,FALSE)</f>
        <v>4.8</v>
      </c>
    </row>
    <row r="807" spans="1:2" x14ac:dyDescent="0.3">
      <c r="A807" s="6" t="s">
        <v>80</v>
      </c>
      <c r="B807">
        <f>VLOOKUP(A807,Table1[[Item Purchased]:[Subscription Status]],8,FALSE)</f>
        <v>4.7</v>
      </c>
    </row>
    <row r="808" spans="1:2" x14ac:dyDescent="0.3">
      <c r="A808" s="5" t="s">
        <v>33</v>
      </c>
      <c r="B808">
        <f>VLOOKUP(A808,Table1[[Item Purchased]:[Subscription Status]],8,FALSE)</f>
        <v>3.1</v>
      </c>
    </row>
    <row r="809" spans="1:2" x14ac:dyDescent="0.3">
      <c r="A809" s="6" t="s">
        <v>112</v>
      </c>
      <c r="B809">
        <f>VLOOKUP(A809,Table1[[Item Purchased]:[Subscription Status]],8,FALSE)</f>
        <v>4.5999999999999996</v>
      </c>
    </row>
    <row r="810" spans="1:2" x14ac:dyDescent="0.3">
      <c r="A810" s="5" t="s">
        <v>70</v>
      </c>
      <c r="B810">
        <f>VLOOKUP(A810,Table1[[Item Purchased]:[Subscription Status]],8,FALSE)</f>
        <v>4.0999999999999996</v>
      </c>
    </row>
    <row r="811" spans="1:2" x14ac:dyDescent="0.3">
      <c r="A811" s="6" t="s">
        <v>136</v>
      </c>
      <c r="B811">
        <f>VLOOKUP(A811,Table1[[Item Purchased]:[Subscription Status]],8,FALSE)</f>
        <v>4.8</v>
      </c>
    </row>
    <row r="812" spans="1:2" x14ac:dyDescent="0.3">
      <c r="A812" s="5" t="s">
        <v>118</v>
      </c>
      <c r="B812">
        <f>VLOOKUP(A812,Table1[[Item Purchased]:[Subscription Status]],8,FALSE)</f>
        <v>4.5</v>
      </c>
    </row>
    <row r="813" spans="1:2" x14ac:dyDescent="0.3">
      <c r="A813" s="6" t="s">
        <v>49</v>
      </c>
      <c r="B813">
        <f>VLOOKUP(A813,Table1[[Item Purchased]:[Subscription Status]],8,FALSE)</f>
        <v>2.9</v>
      </c>
    </row>
    <row r="814" spans="1:2" x14ac:dyDescent="0.3">
      <c r="A814" s="5" t="s">
        <v>136</v>
      </c>
      <c r="B814">
        <f>VLOOKUP(A814,Table1[[Item Purchased]:[Subscription Status]],8,FALSE)</f>
        <v>4.8</v>
      </c>
    </row>
    <row r="815" spans="1:2" x14ac:dyDescent="0.3">
      <c r="A815" s="6" t="s">
        <v>65</v>
      </c>
      <c r="B815">
        <f>VLOOKUP(A815,Table1[[Item Purchased]:[Subscription Status]],8,FALSE)</f>
        <v>4.8</v>
      </c>
    </row>
    <row r="816" spans="1:2" x14ac:dyDescent="0.3">
      <c r="A816" s="5" t="s">
        <v>54</v>
      </c>
      <c r="B816">
        <f>VLOOKUP(A816,Table1[[Item Purchased]:[Subscription Status]],8,FALSE)</f>
        <v>3.2</v>
      </c>
    </row>
    <row r="817" spans="1:2" x14ac:dyDescent="0.3">
      <c r="A817" s="6" t="s">
        <v>123</v>
      </c>
      <c r="B817">
        <f>VLOOKUP(A817,Table1[[Item Purchased]:[Subscription Status]],8,FALSE)</f>
        <v>4.5999999999999996</v>
      </c>
    </row>
    <row r="818" spans="1:2" x14ac:dyDescent="0.3">
      <c r="A818" s="5" t="s">
        <v>29</v>
      </c>
      <c r="B818">
        <f>VLOOKUP(A818,Table1[[Item Purchased]:[Subscription Status]],8,FALSE)</f>
        <v>3.1</v>
      </c>
    </row>
    <row r="819" spans="1:2" x14ac:dyDescent="0.3">
      <c r="A819" s="6" t="s">
        <v>65</v>
      </c>
      <c r="B819">
        <f>VLOOKUP(A819,Table1[[Item Purchased]:[Subscription Status]],8,FALSE)</f>
        <v>4.8</v>
      </c>
    </row>
    <row r="820" spans="1:2" x14ac:dyDescent="0.3">
      <c r="A820" s="5" t="s">
        <v>54</v>
      </c>
      <c r="B820">
        <f>VLOOKUP(A820,Table1[[Item Purchased]:[Subscription Status]],8,FALSE)</f>
        <v>3.2</v>
      </c>
    </row>
    <row r="821" spans="1:2" x14ac:dyDescent="0.3">
      <c r="A821" s="6" t="s">
        <v>88</v>
      </c>
      <c r="B821">
        <f>VLOOKUP(A821,Table1[[Item Purchased]:[Subscription Status]],8,FALSE)</f>
        <v>4.0999999999999996</v>
      </c>
    </row>
    <row r="822" spans="1:2" x14ac:dyDescent="0.3">
      <c r="A822" s="5" t="s">
        <v>49</v>
      </c>
      <c r="B822">
        <f>VLOOKUP(A822,Table1[[Item Purchased]:[Subscription Status]],8,FALSE)</f>
        <v>2.9</v>
      </c>
    </row>
    <row r="823" spans="1:2" x14ac:dyDescent="0.3">
      <c r="A823" s="6" t="s">
        <v>103</v>
      </c>
      <c r="B823">
        <f>VLOOKUP(A823,Table1[[Item Purchased]:[Subscription Status]],8,FALSE)</f>
        <v>3.6</v>
      </c>
    </row>
    <row r="824" spans="1:2" x14ac:dyDescent="0.3">
      <c r="A824" s="5" t="s">
        <v>54</v>
      </c>
      <c r="B824">
        <f>VLOOKUP(A824,Table1[[Item Purchased]:[Subscription Status]],8,FALSE)</f>
        <v>3.2</v>
      </c>
    </row>
    <row r="825" spans="1:2" x14ac:dyDescent="0.3">
      <c r="A825" s="6" t="s">
        <v>88</v>
      </c>
      <c r="B825">
        <f>VLOOKUP(A825,Table1[[Item Purchased]:[Subscription Status]],8,FALSE)</f>
        <v>4.0999999999999996</v>
      </c>
    </row>
    <row r="826" spans="1:2" x14ac:dyDescent="0.3">
      <c r="A826" s="5" t="s">
        <v>19</v>
      </c>
      <c r="B826">
        <f>VLOOKUP(A826,Table1[[Item Purchased]:[Subscription Status]],8,FALSE)</f>
        <v>3.1</v>
      </c>
    </row>
    <row r="827" spans="1:2" x14ac:dyDescent="0.3">
      <c r="A827" s="6" t="s">
        <v>132</v>
      </c>
      <c r="B827">
        <f>VLOOKUP(A827,Table1[[Item Purchased]:[Subscription Status]],8,FALSE)</f>
        <v>4.5999999999999996</v>
      </c>
    </row>
    <row r="828" spans="1:2" x14ac:dyDescent="0.3">
      <c r="A828" s="5" t="s">
        <v>80</v>
      </c>
      <c r="B828">
        <f>VLOOKUP(A828,Table1[[Item Purchased]:[Subscription Status]],8,FALSE)</f>
        <v>4.7</v>
      </c>
    </row>
    <row r="829" spans="1:2" x14ac:dyDescent="0.3">
      <c r="A829" s="6" t="s">
        <v>70</v>
      </c>
      <c r="B829">
        <f>VLOOKUP(A829,Table1[[Item Purchased]:[Subscription Status]],8,FALSE)</f>
        <v>4.0999999999999996</v>
      </c>
    </row>
    <row r="830" spans="1:2" x14ac:dyDescent="0.3">
      <c r="A830" s="5" t="s">
        <v>124</v>
      </c>
      <c r="B830">
        <f>VLOOKUP(A830,Table1[[Item Purchased]:[Subscription Status]],8,FALSE)</f>
        <v>2.9</v>
      </c>
    </row>
    <row r="831" spans="1:2" x14ac:dyDescent="0.3">
      <c r="A831" s="6" t="s">
        <v>124</v>
      </c>
      <c r="B831">
        <f>VLOOKUP(A831,Table1[[Item Purchased]:[Subscription Status]],8,FALSE)</f>
        <v>2.9</v>
      </c>
    </row>
    <row r="832" spans="1:2" x14ac:dyDescent="0.3">
      <c r="A832" s="5" t="s">
        <v>58</v>
      </c>
      <c r="B832">
        <f>VLOOKUP(A832,Table1[[Item Purchased]:[Subscription Status]],8,FALSE)</f>
        <v>3.2</v>
      </c>
    </row>
    <row r="833" spans="1:2" x14ac:dyDescent="0.3">
      <c r="A833" s="6" t="s">
        <v>142</v>
      </c>
      <c r="B833">
        <f>VLOOKUP(A833,Table1[[Item Purchased]:[Subscription Status]],8,FALSE)</f>
        <v>4.5</v>
      </c>
    </row>
    <row r="834" spans="1:2" x14ac:dyDescent="0.3">
      <c r="A834" s="5" t="s">
        <v>101</v>
      </c>
      <c r="B834">
        <f>VLOOKUP(A834,Table1[[Item Purchased]:[Subscription Status]],8,FALSE)</f>
        <v>2.9</v>
      </c>
    </row>
    <row r="835" spans="1:2" x14ac:dyDescent="0.3">
      <c r="A835" s="6" t="s">
        <v>65</v>
      </c>
      <c r="B835">
        <f>VLOOKUP(A835,Table1[[Item Purchased]:[Subscription Status]],8,FALSE)</f>
        <v>4.8</v>
      </c>
    </row>
    <row r="836" spans="1:2" x14ac:dyDescent="0.3">
      <c r="A836" s="5" t="s">
        <v>131</v>
      </c>
      <c r="B836">
        <f>VLOOKUP(A836,Table1[[Item Purchased]:[Subscription Status]],8,FALSE)</f>
        <v>4.7</v>
      </c>
    </row>
    <row r="837" spans="1:2" x14ac:dyDescent="0.3">
      <c r="A837" s="6" t="s">
        <v>136</v>
      </c>
      <c r="B837">
        <f>VLOOKUP(A837,Table1[[Item Purchased]:[Subscription Status]],8,FALSE)</f>
        <v>4.8</v>
      </c>
    </row>
    <row r="838" spans="1:2" x14ac:dyDescent="0.3">
      <c r="A838" s="5" t="s">
        <v>142</v>
      </c>
      <c r="B838">
        <f>VLOOKUP(A838,Table1[[Item Purchased]:[Subscription Status]],8,FALSE)</f>
        <v>4.5</v>
      </c>
    </row>
    <row r="839" spans="1:2" x14ac:dyDescent="0.3">
      <c r="A839" s="6" t="s">
        <v>103</v>
      </c>
      <c r="B839">
        <f>VLOOKUP(A839,Table1[[Item Purchased]:[Subscription Status]],8,FALSE)</f>
        <v>3.6</v>
      </c>
    </row>
    <row r="840" spans="1:2" x14ac:dyDescent="0.3">
      <c r="A840" s="5" t="s">
        <v>61</v>
      </c>
      <c r="B840">
        <f>VLOOKUP(A840,Table1[[Item Purchased]:[Subscription Status]],8,FALSE)</f>
        <v>2.6</v>
      </c>
    </row>
    <row r="841" spans="1:2" x14ac:dyDescent="0.3">
      <c r="A841" s="6" t="s">
        <v>54</v>
      </c>
      <c r="B841">
        <f>VLOOKUP(A841,Table1[[Item Purchased]:[Subscription Status]],8,FALSE)</f>
        <v>3.2</v>
      </c>
    </row>
    <row r="842" spans="1:2" x14ac:dyDescent="0.3">
      <c r="A842" s="5" t="s">
        <v>54</v>
      </c>
      <c r="B842">
        <f>VLOOKUP(A842,Table1[[Item Purchased]:[Subscription Status]],8,FALSE)</f>
        <v>3.2</v>
      </c>
    </row>
    <row r="843" spans="1:2" x14ac:dyDescent="0.3">
      <c r="A843" s="6" t="s">
        <v>29</v>
      </c>
      <c r="B843">
        <f>VLOOKUP(A843,Table1[[Item Purchased]:[Subscription Status]],8,FALSE)</f>
        <v>3.1</v>
      </c>
    </row>
    <row r="844" spans="1:2" x14ac:dyDescent="0.3">
      <c r="A844" s="5" t="s">
        <v>54</v>
      </c>
      <c r="B844">
        <f>VLOOKUP(A844,Table1[[Item Purchased]:[Subscription Status]],8,FALSE)</f>
        <v>3.2</v>
      </c>
    </row>
    <row r="845" spans="1:2" x14ac:dyDescent="0.3">
      <c r="A845" s="6" t="s">
        <v>103</v>
      </c>
      <c r="B845">
        <f>VLOOKUP(A845,Table1[[Item Purchased]:[Subscription Status]],8,FALSE)</f>
        <v>3.6</v>
      </c>
    </row>
    <row r="846" spans="1:2" x14ac:dyDescent="0.3">
      <c r="A846" s="5" t="s">
        <v>40</v>
      </c>
      <c r="B846">
        <f>VLOOKUP(A846,Table1[[Item Purchased]:[Subscription Status]],8,FALSE)</f>
        <v>3.5</v>
      </c>
    </row>
    <row r="847" spans="1:2" x14ac:dyDescent="0.3">
      <c r="A847" s="6" t="s">
        <v>132</v>
      </c>
      <c r="B847">
        <f>VLOOKUP(A847,Table1[[Item Purchased]:[Subscription Status]],8,FALSE)</f>
        <v>4.5999999999999996</v>
      </c>
    </row>
    <row r="848" spans="1:2" x14ac:dyDescent="0.3">
      <c r="A848" s="5" t="s">
        <v>136</v>
      </c>
      <c r="B848">
        <f>VLOOKUP(A848,Table1[[Item Purchased]:[Subscription Status]],8,FALSE)</f>
        <v>4.8</v>
      </c>
    </row>
    <row r="849" spans="1:2" x14ac:dyDescent="0.3">
      <c r="A849" s="6" t="s">
        <v>103</v>
      </c>
      <c r="B849">
        <f>VLOOKUP(A849,Table1[[Item Purchased]:[Subscription Status]],8,FALSE)</f>
        <v>3.6</v>
      </c>
    </row>
    <row r="850" spans="1:2" x14ac:dyDescent="0.3">
      <c r="A850" s="5" t="s">
        <v>40</v>
      </c>
      <c r="B850">
        <f>VLOOKUP(A850,Table1[[Item Purchased]:[Subscription Status]],8,FALSE)</f>
        <v>3.5</v>
      </c>
    </row>
    <row r="851" spans="1:2" x14ac:dyDescent="0.3">
      <c r="A851" s="6" t="s">
        <v>33</v>
      </c>
      <c r="B851">
        <f>VLOOKUP(A851,Table1[[Item Purchased]:[Subscription Status]],8,FALSE)</f>
        <v>3.1</v>
      </c>
    </row>
    <row r="852" spans="1:2" x14ac:dyDescent="0.3">
      <c r="A852" s="5" t="s">
        <v>70</v>
      </c>
      <c r="B852">
        <f>VLOOKUP(A852,Table1[[Item Purchased]:[Subscription Status]],8,FALSE)</f>
        <v>4.0999999999999996</v>
      </c>
    </row>
    <row r="853" spans="1:2" x14ac:dyDescent="0.3">
      <c r="A853" s="6" t="s">
        <v>40</v>
      </c>
      <c r="B853">
        <f>VLOOKUP(A853,Table1[[Item Purchased]:[Subscription Status]],8,FALSE)</f>
        <v>3.5</v>
      </c>
    </row>
    <row r="854" spans="1:2" x14ac:dyDescent="0.3">
      <c r="A854" s="5" t="s">
        <v>80</v>
      </c>
      <c r="B854">
        <f>VLOOKUP(A854,Table1[[Item Purchased]:[Subscription Status]],8,FALSE)</f>
        <v>4.7</v>
      </c>
    </row>
    <row r="855" spans="1:2" x14ac:dyDescent="0.3">
      <c r="A855" s="6" t="s">
        <v>123</v>
      </c>
      <c r="B855">
        <f>VLOOKUP(A855,Table1[[Item Purchased]:[Subscription Status]],8,FALSE)</f>
        <v>4.5999999999999996</v>
      </c>
    </row>
    <row r="856" spans="1:2" x14ac:dyDescent="0.3">
      <c r="A856" s="5" t="s">
        <v>94</v>
      </c>
      <c r="B856">
        <f>VLOOKUP(A856,Table1[[Item Purchased]:[Subscription Status]],8,FALSE)</f>
        <v>3.3</v>
      </c>
    </row>
    <row r="857" spans="1:2" x14ac:dyDescent="0.3">
      <c r="A857" s="6" t="s">
        <v>124</v>
      </c>
      <c r="B857">
        <f>VLOOKUP(A857,Table1[[Item Purchased]:[Subscription Status]],8,FALSE)</f>
        <v>2.9</v>
      </c>
    </row>
    <row r="858" spans="1:2" x14ac:dyDescent="0.3">
      <c r="A858" s="5" t="s">
        <v>54</v>
      </c>
      <c r="B858">
        <f>VLOOKUP(A858,Table1[[Item Purchased]:[Subscription Status]],8,FALSE)</f>
        <v>3.2</v>
      </c>
    </row>
    <row r="859" spans="1:2" x14ac:dyDescent="0.3">
      <c r="A859" s="6" t="s">
        <v>58</v>
      </c>
      <c r="B859">
        <f>VLOOKUP(A859,Table1[[Item Purchased]:[Subscription Status]],8,FALSE)</f>
        <v>3.2</v>
      </c>
    </row>
    <row r="860" spans="1:2" x14ac:dyDescent="0.3">
      <c r="A860" s="5" t="s">
        <v>101</v>
      </c>
      <c r="B860">
        <f>VLOOKUP(A860,Table1[[Item Purchased]:[Subscription Status]],8,FALSE)</f>
        <v>2.9</v>
      </c>
    </row>
    <row r="861" spans="1:2" x14ac:dyDescent="0.3">
      <c r="A861" s="6" t="s">
        <v>103</v>
      </c>
      <c r="B861">
        <f>VLOOKUP(A861,Table1[[Item Purchased]:[Subscription Status]],8,FALSE)</f>
        <v>3.6</v>
      </c>
    </row>
    <row r="862" spans="1:2" x14ac:dyDescent="0.3">
      <c r="A862" s="5" t="s">
        <v>70</v>
      </c>
      <c r="B862">
        <f>VLOOKUP(A862,Table1[[Item Purchased]:[Subscription Status]],8,FALSE)</f>
        <v>4.0999999999999996</v>
      </c>
    </row>
    <row r="863" spans="1:2" x14ac:dyDescent="0.3">
      <c r="A863" s="6" t="s">
        <v>86</v>
      </c>
      <c r="B863">
        <f>VLOOKUP(A863,Table1[[Item Purchased]:[Subscription Status]],8,FALSE)</f>
        <v>2.8</v>
      </c>
    </row>
    <row r="864" spans="1:2" x14ac:dyDescent="0.3">
      <c r="A864" s="5" t="s">
        <v>61</v>
      </c>
      <c r="B864">
        <f>VLOOKUP(A864,Table1[[Item Purchased]:[Subscription Status]],8,FALSE)</f>
        <v>2.6</v>
      </c>
    </row>
    <row r="865" spans="1:2" x14ac:dyDescent="0.3">
      <c r="A865" s="6" t="s">
        <v>49</v>
      </c>
      <c r="B865">
        <f>VLOOKUP(A865,Table1[[Item Purchased]:[Subscription Status]],8,FALSE)</f>
        <v>2.9</v>
      </c>
    </row>
    <row r="866" spans="1:2" x14ac:dyDescent="0.3">
      <c r="A866" s="5" t="s">
        <v>33</v>
      </c>
      <c r="B866">
        <f>VLOOKUP(A866,Table1[[Item Purchased]:[Subscription Status]],8,FALSE)</f>
        <v>3.1</v>
      </c>
    </row>
    <row r="867" spans="1:2" x14ac:dyDescent="0.3">
      <c r="A867" s="6" t="s">
        <v>19</v>
      </c>
      <c r="B867">
        <f>VLOOKUP(A867,Table1[[Item Purchased]:[Subscription Status]],8,FALSE)</f>
        <v>3.1</v>
      </c>
    </row>
    <row r="868" spans="1:2" x14ac:dyDescent="0.3">
      <c r="A868" s="5" t="s">
        <v>88</v>
      </c>
      <c r="B868">
        <f>VLOOKUP(A868,Table1[[Item Purchased]:[Subscription Status]],8,FALSE)</f>
        <v>4.0999999999999996</v>
      </c>
    </row>
    <row r="869" spans="1:2" x14ac:dyDescent="0.3">
      <c r="A869" s="6" t="s">
        <v>101</v>
      </c>
      <c r="B869">
        <f>VLOOKUP(A869,Table1[[Item Purchased]:[Subscription Status]],8,FALSE)</f>
        <v>2.9</v>
      </c>
    </row>
    <row r="870" spans="1:2" x14ac:dyDescent="0.3">
      <c r="A870" s="5" t="s">
        <v>80</v>
      </c>
      <c r="B870">
        <f>VLOOKUP(A870,Table1[[Item Purchased]:[Subscription Status]],8,FALSE)</f>
        <v>4.7</v>
      </c>
    </row>
    <row r="871" spans="1:2" x14ac:dyDescent="0.3">
      <c r="A871" s="6" t="s">
        <v>123</v>
      </c>
      <c r="B871">
        <f>VLOOKUP(A871,Table1[[Item Purchased]:[Subscription Status]],8,FALSE)</f>
        <v>4.5999999999999996</v>
      </c>
    </row>
    <row r="872" spans="1:2" x14ac:dyDescent="0.3">
      <c r="A872" s="5" t="s">
        <v>103</v>
      </c>
      <c r="B872">
        <f>VLOOKUP(A872,Table1[[Item Purchased]:[Subscription Status]],8,FALSE)</f>
        <v>3.6</v>
      </c>
    </row>
    <row r="873" spans="1:2" x14ac:dyDescent="0.3">
      <c r="A873" s="6" t="s">
        <v>65</v>
      </c>
      <c r="B873">
        <f>VLOOKUP(A873,Table1[[Item Purchased]:[Subscription Status]],8,FALSE)</f>
        <v>4.8</v>
      </c>
    </row>
    <row r="874" spans="1:2" x14ac:dyDescent="0.3">
      <c r="A874" s="5" t="s">
        <v>33</v>
      </c>
      <c r="B874">
        <f>VLOOKUP(A874,Table1[[Item Purchased]:[Subscription Status]],8,FALSE)</f>
        <v>3.1</v>
      </c>
    </row>
    <row r="875" spans="1:2" x14ac:dyDescent="0.3">
      <c r="A875" s="6" t="s">
        <v>136</v>
      </c>
      <c r="B875">
        <f>VLOOKUP(A875,Table1[[Item Purchased]:[Subscription Status]],8,FALSE)</f>
        <v>4.8</v>
      </c>
    </row>
    <row r="876" spans="1:2" x14ac:dyDescent="0.3">
      <c r="A876" s="5" t="s">
        <v>101</v>
      </c>
      <c r="B876">
        <f>VLOOKUP(A876,Table1[[Item Purchased]:[Subscription Status]],8,FALSE)</f>
        <v>2.9</v>
      </c>
    </row>
    <row r="877" spans="1:2" x14ac:dyDescent="0.3">
      <c r="A877" s="6" t="s">
        <v>40</v>
      </c>
      <c r="B877">
        <f>VLOOKUP(A877,Table1[[Item Purchased]:[Subscription Status]],8,FALSE)</f>
        <v>3.5</v>
      </c>
    </row>
    <row r="878" spans="1:2" x14ac:dyDescent="0.3">
      <c r="A878" s="5" t="s">
        <v>132</v>
      </c>
      <c r="B878">
        <f>VLOOKUP(A878,Table1[[Item Purchased]:[Subscription Status]],8,FALSE)</f>
        <v>4.5999999999999996</v>
      </c>
    </row>
    <row r="879" spans="1:2" x14ac:dyDescent="0.3">
      <c r="A879" s="6" t="s">
        <v>65</v>
      </c>
      <c r="B879">
        <f>VLOOKUP(A879,Table1[[Item Purchased]:[Subscription Status]],8,FALSE)</f>
        <v>4.8</v>
      </c>
    </row>
    <row r="880" spans="1:2" x14ac:dyDescent="0.3">
      <c r="A880" s="5" t="s">
        <v>88</v>
      </c>
      <c r="B880">
        <f>VLOOKUP(A880,Table1[[Item Purchased]:[Subscription Status]],8,FALSE)</f>
        <v>4.0999999999999996</v>
      </c>
    </row>
    <row r="881" spans="1:2" x14ac:dyDescent="0.3">
      <c r="A881" s="6" t="s">
        <v>86</v>
      </c>
      <c r="B881">
        <f>VLOOKUP(A881,Table1[[Item Purchased]:[Subscription Status]],8,FALSE)</f>
        <v>2.8</v>
      </c>
    </row>
    <row r="882" spans="1:2" x14ac:dyDescent="0.3">
      <c r="A882" s="5" t="s">
        <v>131</v>
      </c>
      <c r="B882">
        <f>VLOOKUP(A882,Table1[[Item Purchased]:[Subscription Status]],8,FALSE)</f>
        <v>4.7</v>
      </c>
    </row>
    <row r="883" spans="1:2" x14ac:dyDescent="0.3">
      <c r="A883" s="6" t="s">
        <v>40</v>
      </c>
      <c r="B883">
        <f>VLOOKUP(A883,Table1[[Item Purchased]:[Subscription Status]],8,FALSE)</f>
        <v>3.5</v>
      </c>
    </row>
    <row r="884" spans="1:2" x14ac:dyDescent="0.3">
      <c r="A884" s="5" t="s">
        <v>136</v>
      </c>
      <c r="B884">
        <f>VLOOKUP(A884,Table1[[Item Purchased]:[Subscription Status]],8,FALSE)</f>
        <v>4.8</v>
      </c>
    </row>
    <row r="885" spans="1:2" x14ac:dyDescent="0.3">
      <c r="A885" s="6" t="s">
        <v>49</v>
      </c>
      <c r="B885">
        <f>VLOOKUP(A885,Table1[[Item Purchased]:[Subscription Status]],8,FALSE)</f>
        <v>2.9</v>
      </c>
    </row>
    <row r="886" spans="1:2" x14ac:dyDescent="0.3">
      <c r="A886" s="5" t="s">
        <v>86</v>
      </c>
      <c r="B886">
        <f>VLOOKUP(A886,Table1[[Item Purchased]:[Subscription Status]],8,FALSE)</f>
        <v>2.8</v>
      </c>
    </row>
    <row r="887" spans="1:2" x14ac:dyDescent="0.3">
      <c r="A887" s="6" t="s">
        <v>80</v>
      </c>
      <c r="B887">
        <f>VLOOKUP(A887,Table1[[Item Purchased]:[Subscription Status]],8,FALSE)</f>
        <v>4.7</v>
      </c>
    </row>
    <row r="888" spans="1:2" x14ac:dyDescent="0.3">
      <c r="A888" s="5" t="s">
        <v>58</v>
      </c>
      <c r="B888">
        <f>VLOOKUP(A888,Table1[[Item Purchased]:[Subscription Status]],8,FALSE)</f>
        <v>3.2</v>
      </c>
    </row>
    <row r="889" spans="1:2" x14ac:dyDescent="0.3">
      <c r="A889" s="6" t="s">
        <v>65</v>
      </c>
      <c r="B889">
        <f>VLOOKUP(A889,Table1[[Item Purchased]:[Subscription Status]],8,FALSE)</f>
        <v>4.8</v>
      </c>
    </row>
    <row r="890" spans="1:2" x14ac:dyDescent="0.3">
      <c r="A890" s="5" t="s">
        <v>118</v>
      </c>
      <c r="B890">
        <f>VLOOKUP(A890,Table1[[Item Purchased]:[Subscription Status]],8,FALSE)</f>
        <v>4.5</v>
      </c>
    </row>
    <row r="891" spans="1:2" x14ac:dyDescent="0.3">
      <c r="A891" s="6" t="s">
        <v>132</v>
      </c>
      <c r="B891">
        <f>VLOOKUP(A891,Table1[[Item Purchased]:[Subscription Status]],8,FALSE)</f>
        <v>4.5999999999999996</v>
      </c>
    </row>
    <row r="892" spans="1:2" x14ac:dyDescent="0.3">
      <c r="A892" s="5" t="s">
        <v>142</v>
      </c>
      <c r="B892">
        <f>VLOOKUP(A892,Table1[[Item Purchased]:[Subscription Status]],8,FALSE)</f>
        <v>4.5</v>
      </c>
    </row>
    <row r="893" spans="1:2" x14ac:dyDescent="0.3">
      <c r="A893" s="6" t="s">
        <v>86</v>
      </c>
      <c r="B893">
        <f>VLOOKUP(A893,Table1[[Item Purchased]:[Subscription Status]],8,FALSE)</f>
        <v>2.8</v>
      </c>
    </row>
    <row r="894" spans="1:2" x14ac:dyDescent="0.3">
      <c r="A894" s="5" t="s">
        <v>58</v>
      </c>
      <c r="B894">
        <f>VLOOKUP(A894,Table1[[Item Purchased]:[Subscription Status]],8,FALSE)</f>
        <v>3.2</v>
      </c>
    </row>
    <row r="895" spans="1:2" x14ac:dyDescent="0.3">
      <c r="A895" s="6" t="s">
        <v>131</v>
      </c>
      <c r="B895">
        <f>VLOOKUP(A895,Table1[[Item Purchased]:[Subscription Status]],8,FALSE)</f>
        <v>4.7</v>
      </c>
    </row>
    <row r="896" spans="1:2" x14ac:dyDescent="0.3">
      <c r="A896" s="5" t="s">
        <v>103</v>
      </c>
      <c r="B896">
        <f>VLOOKUP(A896,Table1[[Item Purchased]:[Subscription Status]],8,FALSE)</f>
        <v>3.6</v>
      </c>
    </row>
    <row r="897" spans="1:2" x14ac:dyDescent="0.3">
      <c r="A897" s="6" t="s">
        <v>123</v>
      </c>
      <c r="B897">
        <f>VLOOKUP(A897,Table1[[Item Purchased]:[Subscription Status]],8,FALSE)</f>
        <v>4.5999999999999996</v>
      </c>
    </row>
    <row r="898" spans="1:2" x14ac:dyDescent="0.3">
      <c r="A898" s="5" t="s">
        <v>105</v>
      </c>
      <c r="B898">
        <f>VLOOKUP(A898,Table1[[Item Purchased]:[Subscription Status]],8,FALSE)</f>
        <v>3.6</v>
      </c>
    </row>
    <row r="899" spans="1:2" x14ac:dyDescent="0.3">
      <c r="A899" s="6" t="s">
        <v>54</v>
      </c>
      <c r="B899">
        <f>VLOOKUP(A899,Table1[[Item Purchased]:[Subscription Status]],8,FALSE)</f>
        <v>3.2</v>
      </c>
    </row>
    <row r="900" spans="1:2" x14ac:dyDescent="0.3">
      <c r="A900" s="5" t="s">
        <v>132</v>
      </c>
      <c r="B900">
        <f>VLOOKUP(A900,Table1[[Item Purchased]:[Subscription Status]],8,FALSE)</f>
        <v>4.5999999999999996</v>
      </c>
    </row>
    <row r="901" spans="1:2" x14ac:dyDescent="0.3">
      <c r="A901" s="6" t="s">
        <v>29</v>
      </c>
      <c r="B901">
        <f>VLOOKUP(A901,Table1[[Item Purchased]:[Subscription Status]],8,FALSE)</f>
        <v>3.1</v>
      </c>
    </row>
    <row r="902" spans="1:2" x14ac:dyDescent="0.3">
      <c r="A902" s="5" t="s">
        <v>123</v>
      </c>
      <c r="B902">
        <f>VLOOKUP(A902,Table1[[Item Purchased]:[Subscription Status]],8,FALSE)</f>
        <v>4.5999999999999996</v>
      </c>
    </row>
    <row r="903" spans="1:2" x14ac:dyDescent="0.3">
      <c r="A903" s="6" t="s">
        <v>118</v>
      </c>
      <c r="B903">
        <f>VLOOKUP(A903,Table1[[Item Purchased]:[Subscription Status]],8,FALSE)</f>
        <v>4.5</v>
      </c>
    </row>
    <row r="904" spans="1:2" x14ac:dyDescent="0.3">
      <c r="A904" s="5" t="s">
        <v>123</v>
      </c>
      <c r="B904">
        <f>VLOOKUP(A904,Table1[[Item Purchased]:[Subscription Status]],8,FALSE)</f>
        <v>4.5999999999999996</v>
      </c>
    </row>
    <row r="905" spans="1:2" x14ac:dyDescent="0.3">
      <c r="A905" s="6" t="s">
        <v>101</v>
      </c>
      <c r="B905">
        <f>VLOOKUP(A905,Table1[[Item Purchased]:[Subscription Status]],8,FALSE)</f>
        <v>2.9</v>
      </c>
    </row>
    <row r="906" spans="1:2" x14ac:dyDescent="0.3">
      <c r="A906" s="5" t="s">
        <v>112</v>
      </c>
      <c r="B906">
        <f>VLOOKUP(A906,Table1[[Item Purchased]:[Subscription Status]],8,FALSE)</f>
        <v>4.5999999999999996</v>
      </c>
    </row>
    <row r="907" spans="1:2" x14ac:dyDescent="0.3">
      <c r="A907" s="6" t="s">
        <v>80</v>
      </c>
      <c r="B907">
        <f>VLOOKUP(A907,Table1[[Item Purchased]:[Subscription Status]],8,FALSE)</f>
        <v>4.7</v>
      </c>
    </row>
    <row r="908" spans="1:2" x14ac:dyDescent="0.3">
      <c r="A908" s="5" t="s">
        <v>94</v>
      </c>
      <c r="B908">
        <f>VLOOKUP(A908,Table1[[Item Purchased]:[Subscription Status]],8,FALSE)</f>
        <v>3.3</v>
      </c>
    </row>
    <row r="909" spans="1:2" x14ac:dyDescent="0.3">
      <c r="A909" s="6" t="s">
        <v>29</v>
      </c>
      <c r="B909">
        <f>VLOOKUP(A909,Table1[[Item Purchased]:[Subscription Status]],8,FALSE)</f>
        <v>3.1</v>
      </c>
    </row>
    <row r="910" spans="1:2" x14ac:dyDescent="0.3">
      <c r="A910" s="5" t="s">
        <v>88</v>
      </c>
      <c r="B910">
        <f>VLOOKUP(A910,Table1[[Item Purchased]:[Subscription Status]],8,FALSE)</f>
        <v>4.0999999999999996</v>
      </c>
    </row>
    <row r="911" spans="1:2" x14ac:dyDescent="0.3">
      <c r="A911" s="6" t="s">
        <v>132</v>
      </c>
      <c r="B911">
        <f>VLOOKUP(A911,Table1[[Item Purchased]:[Subscription Status]],8,FALSE)</f>
        <v>4.5999999999999996</v>
      </c>
    </row>
    <row r="912" spans="1:2" x14ac:dyDescent="0.3">
      <c r="A912" s="5" t="s">
        <v>103</v>
      </c>
      <c r="B912">
        <f>VLOOKUP(A912,Table1[[Item Purchased]:[Subscription Status]],8,FALSE)</f>
        <v>3.6</v>
      </c>
    </row>
    <row r="913" spans="1:2" x14ac:dyDescent="0.3">
      <c r="A913" s="6" t="s">
        <v>94</v>
      </c>
      <c r="B913">
        <f>VLOOKUP(A913,Table1[[Item Purchased]:[Subscription Status]],8,FALSE)</f>
        <v>3.3</v>
      </c>
    </row>
    <row r="914" spans="1:2" x14ac:dyDescent="0.3">
      <c r="A914" s="5" t="s">
        <v>103</v>
      </c>
      <c r="B914">
        <f>VLOOKUP(A914,Table1[[Item Purchased]:[Subscription Status]],8,FALSE)</f>
        <v>3.6</v>
      </c>
    </row>
    <row r="915" spans="1:2" x14ac:dyDescent="0.3">
      <c r="A915" s="6" t="s">
        <v>49</v>
      </c>
      <c r="B915">
        <f>VLOOKUP(A915,Table1[[Item Purchased]:[Subscription Status]],8,FALSE)</f>
        <v>2.9</v>
      </c>
    </row>
    <row r="916" spans="1:2" x14ac:dyDescent="0.3">
      <c r="A916" s="5" t="s">
        <v>80</v>
      </c>
      <c r="B916">
        <f>VLOOKUP(A916,Table1[[Item Purchased]:[Subscription Status]],8,FALSE)</f>
        <v>4.7</v>
      </c>
    </row>
    <row r="917" spans="1:2" x14ac:dyDescent="0.3">
      <c r="A917" s="6" t="s">
        <v>80</v>
      </c>
      <c r="B917">
        <f>VLOOKUP(A917,Table1[[Item Purchased]:[Subscription Status]],8,FALSE)</f>
        <v>4.7</v>
      </c>
    </row>
    <row r="918" spans="1:2" x14ac:dyDescent="0.3">
      <c r="A918" s="5" t="s">
        <v>33</v>
      </c>
      <c r="B918">
        <f>VLOOKUP(A918,Table1[[Item Purchased]:[Subscription Status]],8,FALSE)</f>
        <v>3.1</v>
      </c>
    </row>
    <row r="919" spans="1:2" x14ac:dyDescent="0.3">
      <c r="A919" s="6" t="s">
        <v>29</v>
      </c>
      <c r="B919">
        <f>VLOOKUP(A919,Table1[[Item Purchased]:[Subscription Status]],8,FALSE)</f>
        <v>3.1</v>
      </c>
    </row>
    <row r="920" spans="1:2" x14ac:dyDescent="0.3">
      <c r="A920" s="5" t="s">
        <v>58</v>
      </c>
      <c r="B920">
        <f>VLOOKUP(A920,Table1[[Item Purchased]:[Subscription Status]],8,FALSE)</f>
        <v>3.2</v>
      </c>
    </row>
    <row r="921" spans="1:2" x14ac:dyDescent="0.3">
      <c r="A921" s="6" t="s">
        <v>54</v>
      </c>
      <c r="B921">
        <f>VLOOKUP(A921,Table1[[Item Purchased]:[Subscription Status]],8,FALSE)</f>
        <v>3.2</v>
      </c>
    </row>
    <row r="922" spans="1:2" x14ac:dyDescent="0.3">
      <c r="A922" s="5" t="s">
        <v>132</v>
      </c>
      <c r="B922">
        <f>VLOOKUP(A922,Table1[[Item Purchased]:[Subscription Status]],8,FALSE)</f>
        <v>4.5999999999999996</v>
      </c>
    </row>
    <row r="923" spans="1:2" x14ac:dyDescent="0.3">
      <c r="A923" s="6" t="s">
        <v>61</v>
      </c>
      <c r="B923">
        <f>VLOOKUP(A923,Table1[[Item Purchased]:[Subscription Status]],8,FALSE)</f>
        <v>2.6</v>
      </c>
    </row>
    <row r="924" spans="1:2" x14ac:dyDescent="0.3">
      <c r="A924" s="5" t="s">
        <v>49</v>
      </c>
      <c r="B924">
        <f>VLOOKUP(A924,Table1[[Item Purchased]:[Subscription Status]],8,FALSE)</f>
        <v>2.9</v>
      </c>
    </row>
    <row r="925" spans="1:2" x14ac:dyDescent="0.3">
      <c r="A925" s="6" t="s">
        <v>54</v>
      </c>
      <c r="B925">
        <f>VLOOKUP(A925,Table1[[Item Purchased]:[Subscription Status]],8,FALSE)</f>
        <v>3.2</v>
      </c>
    </row>
    <row r="926" spans="1:2" x14ac:dyDescent="0.3">
      <c r="A926" s="5" t="s">
        <v>124</v>
      </c>
      <c r="B926">
        <f>VLOOKUP(A926,Table1[[Item Purchased]:[Subscription Status]],8,FALSE)</f>
        <v>2.9</v>
      </c>
    </row>
    <row r="927" spans="1:2" x14ac:dyDescent="0.3">
      <c r="A927" s="6" t="s">
        <v>33</v>
      </c>
      <c r="B927">
        <f>VLOOKUP(A927,Table1[[Item Purchased]:[Subscription Status]],8,FALSE)</f>
        <v>3.1</v>
      </c>
    </row>
    <row r="928" spans="1:2" x14ac:dyDescent="0.3">
      <c r="A928" s="5" t="s">
        <v>33</v>
      </c>
      <c r="B928">
        <f>VLOOKUP(A928,Table1[[Item Purchased]:[Subscription Status]],8,FALSE)</f>
        <v>3.1</v>
      </c>
    </row>
    <row r="929" spans="1:2" x14ac:dyDescent="0.3">
      <c r="A929" s="6" t="s">
        <v>49</v>
      </c>
      <c r="B929">
        <f>VLOOKUP(A929,Table1[[Item Purchased]:[Subscription Status]],8,FALSE)</f>
        <v>2.9</v>
      </c>
    </row>
    <row r="930" spans="1:2" x14ac:dyDescent="0.3">
      <c r="A930" s="5" t="s">
        <v>80</v>
      </c>
      <c r="B930">
        <f>VLOOKUP(A930,Table1[[Item Purchased]:[Subscription Status]],8,FALSE)</f>
        <v>4.7</v>
      </c>
    </row>
    <row r="931" spans="1:2" x14ac:dyDescent="0.3">
      <c r="A931" s="6" t="s">
        <v>136</v>
      </c>
      <c r="B931">
        <f>VLOOKUP(A931,Table1[[Item Purchased]:[Subscription Status]],8,FALSE)</f>
        <v>4.8</v>
      </c>
    </row>
    <row r="932" spans="1:2" x14ac:dyDescent="0.3">
      <c r="A932" s="5" t="s">
        <v>112</v>
      </c>
      <c r="B932">
        <f>VLOOKUP(A932,Table1[[Item Purchased]:[Subscription Status]],8,FALSE)</f>
        <v>4.5999999999999996</v>
      </c>
    </row>
    <row r="933" spans="1:2" x14ac:dyDescent="0.3">
      <c r="A933" s="6" t="s">
        <v>61</v>
      </c>
      <c r="B933">
        <f>VLOOKUP(A933,Table1[[Item Purchased]:[Subscription Status]],8,FALSE)</f>
        <v>2.6</v>
      </c>
    </row>
    <row r="934" spans="1:2" x14ac:dyDescent="0.3">
      <c r="A934" s="5" t="s">
        <v>86</v>
      </c>
      <c r="B934">
        <f>VLOOKUP(A934,Table1[[Item Purchased]:[Subscription Status]],8,FALSE)</f>
        <v>2.8</v>
      </c>
    </row>
    <row r="935" spans="1:2" x14ac:dyDescent="0.3">
      <c r="A935" s="6" t="s">
        <v>49</v>
      </c>
      <c r="B935">
        <f>VLOOKUP(A935,Table1[[Item Purchased]:[Subscription Status]],8,FALSE)</f>
        <v>2.9</v>
      </c>
    </row>
    <row r="936" spans="1:2" x14ac:dyDescent="0.3">
      <c r="A936" s="5" t="s">
        <v>33</v>
      </c>
      <c r="B936">
        <f>VLOOKUP(A936,Table1[[Item Purchased]:[Subscription Status]],8,FALSE)</f>
        <v>3.1</v>
      </c>
    </row>
    <row r="937" spans="1:2" x14ac:dyDescent="0.3">
      <c r="A937" s="6" t="s">
        <v>103</v>
      </c>
      <c r="B937">
        <f>VLOOKUP(A937,Table1[[Item Purchased]:[Subscription Status]],8,FALSE)</f>
        <v>3.6</v>
      </c>
    </row>
    <row r="938" spans="1:2" x14ac:dyDescent="0.3">
      <c r="A938" s="5" t="s">
        <v>70</v>
      </c>
      <c r="B938">
        <f>VLOOKUP(A938,Table1[[Item Purchased]:[Subscription Status]],8,FALSE)</f>
        <v>4.0999999999999996</v>
      </c>
    </row>
    <row r="939" spans="1:2" x14ac:dyDescent="0.3">
      <c r="A939" s="6" t="s">
        <v>58</v>
      </c>
      <c r="B939">
        <f>VLOOKUP(A939,Table1[[Item Purchased]:[Subscription Status]],8,FALSE)</f>
        <v>3.2</v>
      </c>
    </row>
    <row r="940" spans="1:2" x14ac:dyDescent="0.3">
      <c r="A940" s="5" t="s">
        <v>19</v>
      </c>
      <c r="B940">
        <f>VLOOKUP(A940,Table1[[Item Purchased]:[Subscription Status]],8,FALSE)</f>
        <v>3.1</v>
      </c>
    </row>
    <row r="941" spans="1:2" x14ac:dyDescent="0.3">
      <c r="A941" s="6" t="s">
        <v>112</v>
      </c>
      <c r="B941">
        <f>VLOOKUP(A941,Table1[[Item Purchased]:[Subscription Status]],8,FALSE)</f>
        <v>4.5999999999999996</v>
      </c>
    </row>
    <row r="942" spans="1:2" x14ac:dyDescent="0.3">
      <c r="A942" s="5" t="s">
        <v>132</v>
      </c>
      <c r="B942">
        <f>VLOOKUP(A942,Table1[[Item Purchased]:[Subscription Status]],8,FALSE)</f>
        <v>4.5999999999999996</v>
      </c>
    </row>
    <row r="943" spans="1:2" x14ac:dyDescent="0.3">
      <c r="A943" s="6" t="s">
        <v>65</v>
      </c>
      <c r="B943">
        <f>VLOOKUP(A943,Table1[[Item Purchased]:[Subscription Status]],8,FALSE)</f>
        <v>4.8</v>
      </c>
    </row>
    <row r="944" spans="1:2" x14ac:dyDescent="0.3">
      <c r="A944" s="5" t="s">
        <v>80</v>
      </c>
      <c r="B944">
        <f>VLOOKUP(A944,Table1[[Item Purchased]:[Subscription Status]],8,FALSE)</f>
        <v>4.7</v>
      </c>
    </row>
    <row r="945" spans="1:2" x14ac:dyDescent="0.3">
      <c r="A945" s="6" t="s">
        <v>123</v>
      </c>
      <c r="B945">
        <f>VLOOKUP(A945,Table1[[Item Purchased]:[Subscription Status]],8,FALSE)</f>
        <v>4.5999999999999996</v>
      </c>
    </row>
    <row r="946" spans="1:2" x14ac:dyDescent="0.3">
      <c r="A946" s="5" t="s">
        <v>132</v>
      </c>
      <c r="B946">
        <f>VLOOKUP(A946,Table1[[Item Purchased]:[Subscription Status]],8,FALSE)</f>
        <v>4.5999999999999996</v>
      </c>
    </row>
    <row r="947" spans="1:2" x14ac:dyDescent="0.3">
      <c r="A947" s="6" t="s">
        <v>136</v>
      </c>
      <c r="B947">
        <f>VLOOKUP(A947,Table1[[Item Purchased]:[Subscription Status]],8,FALSE)</f>
        <v>4.8</v>
      </c>
    </row>
    <row r="948" spans="1:2" x14ac:dyDescent="0.3">
      <c r="A948" s="5" t="s">
        <v>61</v>
      </c>
      <c r="B948">
        <f>VLOOKUP(A948,Table1[[Item Purchased]:[Subscription Status]],8,FALSE)</f>
        <v>2.6</v>
      </c>
    </row>
    <row r="949" spans="1:2" x14ac:dyDescent="0.3">
      <c r="A949" s="6" t="s">
        <v>19</v>
      </c>
      <c r="B949">
        <f>VLOOKUP(A949,Table1[[Item Purchased]:[Subscription Status]],8,FALSE)</f>
        <v>3.1</v>
      </c>
    </row>
    <row r="950" spans="1:2" x14ac:dyDescent="0.3">
      <c r="A950" s="5" t="s">
        <v>123</v>
      </c>
      <c r="B950">
        <f>VLOOKUP(A950,Table1[[Item Purchased]:[Subscription Status]],8,FALSE)</f>
        <v>4.5999999999999996</v>
      </c>
    </row>
    <row r="951" spans="1:2" x14ac:dyDescent="0.3">
      <c r="A951" s="6" t="s">
        <v>33</v>
      </c>
      <c r="B951">
        <f>VLOOKUP(A951,Table1[[Item Purchased]:[Subscription Status]],8,FALSE)</f>
        <v>3.1</v>
      </c>
    </row>
    <row r="952" spans="1:2" x14ac:dyDescent="0.3">
      <c r="A952" s="5" t="s">
        <v>131</v>
      </c>
      <c r="B952">
        <f>VLOOKUP(A952,Table1[[Item Purchased]:[Subscription Status]],8,FALSE)</f>
        <v>4.7</v>
      </c>
    </row>
    <row r="953" spans="1:2" x14ac:dyDescent="0.3">
      <c r="A953" s="6" t="s">
        <v>80</v>
      </c>
      <c r="B953">
        <f>VLOOKUP(A953,Table1[[Item Purchased]:[Subscription Status]],8,FALSE)</f>
        <v>4.7</v>
      </c>
    </row>
    <row r="954" spans="1:2" x14ac:dyDescent="0.3">
      <c r="A954" s="5" t="s">
        <v>123</v>
      </c>
      <c r="B954">
        <f>VLOOKUP(A954,Table1[[Item Purchased]:[Subscription Status]],8,FALSE)</f>
        <v>4.5999999999999996</v>
      </c>
    </row>
    <row r="955" spans="1:2" x14ac:dyDescent="0.3">
      <c r="A955" s="6" t="s">
        <v>88</v>
      </c>
      <c r="B955">
        <f>VLOOKUP(A955,Table1[[Item Purchased]:[Subscription Status]],8,FALSE)</f>
        <v>4.0999999999999996</v>
      </c>
    </row>
    <row r="956" spans="1:2" x14ac:dyDescent="0.3">
      <c r="A956" s="5" t="s">
        <v>123</v>
      </c>
      <c r="B956">
        <f>VLOOKUP(A956,Table1[[Item Purchased]:[Subscription Status]],8,FALSE)</f>
        <v>4.5999999999999996</v>
      </c>
    </row>
    <row r="957" spans="1:2" x14ac:dyDescent="0.3">
      <c r="A957" s="6" t="s">
        <v>80</v>
      </c>
      <c r="B957">
        <f>VLOOKUP(A957,Table1[[Item Purchased]:[Subscription Status]],8,FALSE)</f>
        <v>4.7</v>
      </c>
    </row>
    <row r="958" spans="1:2" x14ac:dyDescent="0.3">
      <c r="A958" s="5" t="s">
        <v>54</v>
      </c>
      <c r="B958">
        <f>VLOOKUP(A958,Table1[[Item Purchased]:[Subscription Status]],8,FALSE)</f>
        <v>3.2</v>
      </c>
    </row>
    <row r="959" spans="1:2" x14ac:dyDescent="0.3">
      <c r="A959" s="6" t="s">
        <v>118</v>
      </c>
      <c r="B959">
        <f>VLOOKUP(A959,Table1[[Item Purchased]:[Subscription Status]],8,FALSE)</f>
        <v>4.5</v>
      </c>
    </row>
    <row r="960" spans="1:2" x14ac:dyDescent="0.3">
      <c r="A960" s="5" t="s">
        <v>49</v>
      </c>
      <c r="B960">
        <f>VLOOKUP(A960,Table1[[Item Purchased]:[Subscription Status]],8,FALSE)</f>
        <v>2.9</v>
      </c>
    </row>
    <row r="961" spans="1:2" x14ac:dyDescent="0.3">
      <c r="A961" s="6" t="s">
        <v>86</v>
      </c>
      <c r="B961">
        <f>VLOOKUP(A961,Table1[[Item Purchased]:[Subscription Status]],8,FALSE)</f>
        <v>2.8</v>
      </c>
    </row>
    <row r="962" spans="1:2" x14ac:dyDescent="0.3">
      <c r="A962" s="5" t="s">
        <v>105</v>
      </c>
      <c r="B962">
        <f>VLOOKUP(A962,Table1[[Item Purchased]:[Subscription Status]],8,FALSE)</f>
        <v>3.6</v>
      </c>
    </row>
    <row r="963" spans="1:2" x14ac:dyDescent="0.3">
      <c r="A963" s="6" t="s">
        <v>136</v>
      </c>
      <c r="B963">
        <f>VLOOKUP(A963,Table1[[Item Purchased]:[Subscription Status]],8,FALSE)</f>
        <v>4.8</v>
      </c>
    </row>
    <row r="964" spans="1:2" x14ac:dyDescent="0.3">
      <c r="A964" s="5" t="s">
        <v>88</v>
      </c>
      <c r="B964">
        <f>VLOOKUP(A964,Table1[[Item Purchased]:[Subscription Status]],8,FALSE)</f>
        <v>4.0999999999999996</v>
      </c>
    </row>
    <row r="965" spans="1:2" x14ac:dyDescent="0.3">
      <c r="A965" s="6" t="s">
        <v>136</v>
      </c>
      <c r="B965">
        <f>VLOOKUP(A965,Table1[[Item Purchased]:[Subscription Status]],8,FALSE)</f>
        <v>4.8</v>
      </c>
    </row>
    <row r="966" spans="1:2" x14ac:dyDescent="0.3">
      <c r="A966" s="5" t="s">
        <v>40</v>
      </c>
      <c r="B966">
        <f>VLOOKUP(A966,Table1[[Item Purchased]:[Subscription Status]],8,FALSE)</f>
        <v>3.5</v>
      </c>
    </row>
    <row r="967" spans="1:2" x14ac:dyDescent="0.3">
      <c r="A967" s="6" t="s">
        <v>136</v>
      </c>
      <c r="B967">
        <f>VLOOKUP(A967,Table1[[Item Purchased]:[Subscription Status]],8,FALSE)</f>
        <v>4.8</v>
      </c>
    </row>
    <row r="968" spans="1:2" x14ac:dyDescent="0.3">
      <c r="A968" s="5" t="s">
        <v>80</v>
      </c>
      <c r="B968">
        <f>VLOOKUP(A968,Table1[[Item Purchased]:[Subscription Status]],8,FALSE)</f>
        <v>4.7</v>
      </c>
    </row>
    <row r="969" spans="1:2" x14ac:dyDescent="0.3">
      <c r="A969" s="6" t="s">
        <v>103</v>
      </c>
      <c r="B969">
        <f>VLOOKUP(A969,Table1[[Item Purchased]:[Subscription Status]],8,FALSE)</f>
        <v>3.6</v>
      </c>
    </row>
    <row r="970" spans="1:2" x14ac:dyDescent="0.3">
      <c r="A970" s="5" t="s">
        <v>58</v>
      </c>
      <c r="B970">
        <f>VLOOKUP(A970,Table1[[Item Purchased]:[Subscription Status]],8,FALSE)</f>
        <v>3.2</v>
      </c>
    </row>
    <row r="971" spans="1:2" x14ac:dyDescent="0.3">
      <c r="A971" s="6" t="s">
        <v>61</v>
      </c>
      <c r="B971">
        <f>VLOOKUP(A971,Table1[[Item Purchased]:[Subscription Status]],8,FALSE)</f>
        <v>2.6</v>
      </c>
    </row>
    <row r="972" spans="1:2" x14ac:dyDescent="0.3">
      <c r="A972" s="5" t="s">
        <v>33</v>
      </c>
      <c r="B972">
        <f>VLOOKUP(A972,Table1[[Item Purchased]:[Subscription Status]],8,FALSE)</f>
        <v>3.1</v>
      </c>
    </row>
    <row r="973" spans="1:2" x14ac:dyDescent="0.3">
      <c r="A973" s="6" t="s">
        <v>88</v>
      </c>
      <c r="B973">
        <f>VLOOKUP(A973,Table1[[Item Purchased]:[Subscription Status]],8,FALSE)</f>
        <v>4.0999999999999996</v>
      </c>
    </row>
    <row r="974" spans="1:2" x14ac:dyDescent="0.3">
      <c r="A974" s="5" t="s">
        <v>49</v>
      </c>
      <c r="B974">
        <f>VLOOKUP(A974,Table1[[Item Purchased]:[Subscription Status]],8,FALSE)</f>
        <v>2.9</v>
      </c>
    </row>
    <row r="975" spans="1:2" x14ac:dyDescent="0.3">
      <c r="A975" s="6" t="s">
        <v>101</v>
      </c>
      <c r="B975">
        <f>VLOOKUP(A975,Table1[[Item Purchased]:[Subscription Status]],8,FALSE)</f>
        <v>2.9</v>
      </c>
    </row>
    <row r="976" spans="1:2" x14ac:dyDescent="0.3">
      <c r="A976" s="5" t="s">
        <v>86</v>
      </c>
      <c r="B976">
        <f>VLOOKUP(A976,Table1[[Item Purchased]:[Subscription Status]],8,FALSE)</f>
        <v>2.8</v>
      </c>
    </row>
    <row r="977" spans="1:2" x14ac:dyDescent="0.3">
      <c r="A977" s="6" t="s">
        <v>29</v>
      </c>
      <c r="B977">
        <f>VLOOKUP(A977,Table1[[Item Purchased]:[Subscription Status]],8,FALSE)</f>
        <v>3.1</v>
      </c>
    </row>
    <row r="978" spans="1:2" x14ac:dyDescent="0.3">
      <c r="A978" s="5" t="s">
        <v>112</v>
      </c>
      <c r="B978">
        <f>VLOOKUP(A978,Table1[[Item Purchased]:[Subscription Status]],8,FALSE)</f>
        <v>4.5999999999999996</v>
      </c>
    </row>
    <row r="979" spans="1:2" x14ac:dyDescent="0.3">
      <c r="A979" s="6" t="s">
        <v>132</v>
      </c>
      <c r="B979">
        <f>VLOOKUP(A979,Table1[[Item Purchased]:[Subscription Status]],8,FALSE)</f>
        <v>4.5999999999999996</v>
      </c>
    </row>
    <row r="980" spans="1:2" x14ac:dyDescent="0.3">
      <c r="A980" s="5" t="s">
        <v>142</v>
      </c>
      <c r="B980">
        <f>VLOOKUP(A980,Table1[[Item Purchased]:[Subscription Status]],8,FALSE)</f>
        <v>4.5</v>
      </c>
    </row>
    <row r="981" spans="1:2" x14ac:dyDescent="0.3">
      <c r="A981" s="6" t="s">
        <v>123</v>
      </c>
      <c r="B981">
        <f>VLOOKUP(A981,Table1[[Item Purchased]:[Subscription Status]],8,FALSE)</f>
        <v>4.5999999999999996</v>
      </c>
    </row>
    <row r="982" spans="1:2" x14ac:dyDescent="0.3">
      <c r="A982" s="5" t="s">
        <v>136</v>
      </c>
      <c r="B982">
        <f>VLOOKUP(A982,Table1[[Item Purchased]:[Subscription Status]],8,FALSE)</f>
        <v>4.8</v>
      </c>
    </row>
    <row r="983" spans="1:2" x14ac:dyDescent="0.3">
      <c r="A983" s="6" t="s">
        <v>132</v>
      </c>
      <c r="B983">
        <f>VLOOKUP(A983,Table1[[Item Purchased]:[Subscription Status]],8,FALSE)</f>
        <v>4.5999999999999996</v>
      </c>
    </row>
    <row r="984" spans="1:2" x14ac:dyDescent="0.3">
      <c r="A984" s="5" t="s">
        <v>61</v>
      </c>
      <c r="B984">
        <f>VLOOKUP(A984,Table1[[Item Purchased]:[Subscription Status]],8,FALSE)</f>
        <v>2.6</v>
      </c>
    </row>
    <row r="985" spans="1:2" x14ac:dyDescent="0.3">
      <c r="A985" s="6" t="s">
        <v>123</v>
      </c>
      <c r="B985">
        <f>VLOOKUP(A985,Table1[[Item Purchased]:[Subscription Status]],8,FALSE)</f>
        <v>4.5999999999999996</v>
      </c>
    </row>
    <row r="986" spans="1:2" x14ac:dyDescent="0.3">
      <c r="A986" s="5" t="s">
        <v>70</v>
      </c>
      <c r="B986">
        <f>VLOOKUP(A986,Table1[[Item Purchased]:[Subscription Status]],8,FALSE)</f>
        <v>4.0999999999999996</v>
      </c>
    </row>
    <row r="987" spans="1:2" x14ac:dyDescent="0.3">
      <c r="A987" s="6" t="s">
        <v>65</v>
      </c>
      <c r="B987">
        <f>VLOOKUP(A987,Table1[[Item Purchased]:[Subscription Status]],8,FALSE)</f>
        <v>4.8</v>
      </c>
    </row>
    <row r="988" spans="1:2" x14ac:dyDescent="0.3">
      <c r="A988" s="5" t="s">
        <v>118</v>
      </c>
      <c r="B988">
        <f>VLOOKUP(A988,Table1[[Item Purchased]:[Subscription Status]],8,FALSE)</f>
        <v>4.5</v>
      </c>
    </row>
    <row r="989" spans="1:2" x14ac:dyDescent="0.3">
      <c r="A989" s="6" t="s">
        <v>65</v>
      </c>
      <c r="B989">
        <f>VLOOKUP(A989,Table1[[Item Purchased]:[Subscription Status]],8,FALSE)</f>
        <v>4.8</v>
      </c>
    </row>
    <row r="990" spans="1:2" x14ac:dyDescent="0.3">
      <c r="A990" s="5" t="s">
        <v>94</v>
      </c>
      <c r="B990">
        <f>VLOOKUP(A990,Table1[[Item Purchased]:[Subscription Status]],8,FALSE)</f>
        <v>3.3</v>
      </c>
    </row>
    <row r="991" spans="1:2" x14ac:dyDescent="0.3">
      <c r="A991" s="6" t="s">
        <v>70</v>
      </c>
      <c r="B991">
        <f>VLOOKUP(A991,Table1[[Item Purchased]:[Subscription Status]],8,FALSE)</f>
        <v>4.0999999999999996</v>
      </c>
    </row>
    <row r="992" spans="1:2" x14ac:dyDescent="0.3">
      <c r="A992" s="5" t="s">
        <v>88</v>
      </c>
      <c r="B992">
        <f>VLOOKUP(A992,Table1[[Item Purchased]:[Subscription Status]],8,FALSE)</f>
        <v>4.0999999999999996</v>
      </c>
    </row>
    <row r="993" spans="1:2" x14ac:dyDescent="0.3">
      <c r="A993" s="6" t="s">
        <v>58</v>
      </c>
      <c r="B993">
        <f>VLOOKUP(A993,Table1[[Item Purchased]:[Subscription Status]],8,FALSE)</f>
        <v>3.2</v>
      </c>
    </row>
    <row r="994" spans="1:2" x14ac:dyDescent="0.3">
      <c r="A994" s="5" t="s">
        <v>101</v>
      </c>
      <c r="B994">
        <f>VLOOKUP(A994,Table1[[Item Purchased]:[Subscription Status]],8,FALSE)</f>
        <v>2.9</v>
      </c>
    </row>
    <row r="995" spans="1:2" x14ac:dyDescent="0.3">
      <c r="A995" s="6" t="s">
        <v>40</v>
      </c>
      <c r="B995">
        <f>VLOOKUP(A995,Table1[[Item Purchased]:[Subscription Status]],8,FALSE)</f>
        <v>3.5</v>
      </c>
    </row>
    <row r="996" spans="1:2" x14ac:dyDescent="0.3">
      <c r="A996" s="5" t="s">
        <v>70</v>
      </c>
      <c r="B996">
        <f>VLOOKUP(A996,Table1[[Item Purchased]:[Subscription Status]],8,FALSE)</f>
        <v>4.0999999999999996</v>
      </c>
    </row>
    <row r="997" spans="1:2" x14ac:dyDescent="0.3">
      <c r="A997" s="6" t="s">
        <v>105</v>
      </c>
      <c r="B997">
        <f>VLOOKUP(A997,Table1[[Item Purchased]:[Subscription Status]],8,FALSE)</f>
        <v>3.6</v>
      </c>
    </row>
    <row r="998" spans="1:2" x14ac:dyDescent="0.3">
      <c r="A998" s="5" t="s">
        <v>40</v>
      </c>
      <c r="B998">
        <f>VLOOKUP(A998,Table1[[Item Purchased]:[Subscription Status]],8,FALSE)</f>
        <v>3.5</v>
      </c>
    </row>
    <row r="999" spans="1:2" x14ac:dyDescent="0.3">
      <c r="A999" s="6" t="s">
        <v>94</v>
      </c>
      <c r="B999">
        <f>VLOOKUP(A999,Table1[[Item Purchased]:[Subscription Status]],8,FALSE)</f>
        <v>3.3</v>
      </c>
    </row>
    <row r="1000" spans="1:2" x14ac:dyDescent="0.3">
      <c r="A1000" s="5" t="s">
        <v>70</v>
      </c>
      <c r="B1000">
        <f>VLOOKUP(A1000,Table1[[Item Purchased]:[Subscription Status]],8,FALSE)</f>
        <v>4.0999999999999996</v>
      </c>
    </row>
    <row r="1001" spans="1:2" x14ac:dyDescent="0.3">
      <c r="A1001" s="6" t="s">
        <v>124</v>
      </c>
      <c r="B1001">
        <f>VLOOKUP(A1001,Table1[[Item Purchased]:[Subscription Status]],8,FALSE)</f>
        <v>2.9</v>
      </c>
    </row>
    <row r="1002" spans="1:2" x14ac:dyDescent="0.3">
      <c r="A1002" s="5" t="s">
        <v>124</v>
      </c>
      <c r="B1002">
        <f>VLOOKUP(A1002,Table1[[Item Purchased]:[Subscription Status]],8,FALSE)</f>
        <v>2.9</v>
      </c>
    </row>
    <row r="1003" spans="1:2" x14ac:dyDescent="0.3">
      <c r="A1003" s="6" t="s">
        <v>80</v>
      </c>
      <c r="B1003">
        <f>VLOOKUP(A1003,Table1[[Item Purchased]:[Subscription Status]],8,FALSE)</f>
        <v>4.7</v>
      </c>
    </row>
    <row r="1004" spans="1:2" x14ac:dyDescent="0.3">
      <c r="A1004" s="5" t="s">
        <v>70</v>
      </c>
      <c r="B1004">
        <f>VLOOKUP(A1004,Table1[[Item Purchased]:[Subscription Status]],8,FALSE)</f>
        <v>4.0999999999999996</v>
      </c>
    </row>
    <row r="1005" spans="1:2" x14ac:dyDescent="0.3">
      <c r="A1005" s="6" t="s">
        <v>123</v>
      </c>
      <c r="B1005">
        <f>VLOOKUP(A1005,Table1[[Item Purchased]:[Subscription Status]],8,FALSE)</f>
        <v>4.5999999999999996</v>
      </c>
    </row>
    <row r="1006" spans="1:2" x14ac:dyDescent="0.3">
      <c r="A1006" s="5" t="s">
        <v>131</v>
      </c>
      <c r="B1006">
        <f>VLOOKUP(A1006,Table1[[Item Purchased]:[Subscription Status]],8,FALSE)</f>
        <v>4.7</v>
      </c>
    </row>
    <row r="1007" spans="1:2" x14ac:dyDescent="0.3">
      <c r="A1007" s="6" t="s">
        <v>131</v>
      </c>
      <c r="B1007">
        <f>VLOOKUP(A1007,Table1[[Item Purchased]:[Subscription Status]],8,FALSE)</f>
        <v>4.7</v>
      </c>
    </row>
    <row r="1008" spans="1:2" x14ac:dyDescent="0.3">
      <c r="A1008" s="5" t="s">
        <v>94</v>
      </c>
      <c r="B1008">
        <f>VLOOKUP(A1008,Table1[[Item Purchased]:[Subscription Status]],8,FALSE)</f>
        <v>3.3</v>
      </c>
    </row>
    <row r="1009" spans="1:2" x14ac:dyDescent="0.3">
      <c r="A1009" s="6" t="s">
        <v>142</v>
      </c>
      <c r="B1009">
        <f>VLOOKUP(A1009,Table1[[Item Purchased]:[Subscription Status]],8,FALSE)</f>
        <v>4.5</v>
      </c>
    </row>
    <row r="1010" spans="1:2" x14ac:dyDescent="0.3">
      <c r="A1010" s="5" t="s">
        <v>118</v>
      </c>
      <c r="B1010">
        <f>VLOOKUP(A1010,Table1[[Item Purchased]:[Subscription Status]],8,FALSE)</f>
        <v>4.5</v>
      </c>
    </row>
    <row r="1011" spans="1:2" x14ac:dyDescent="0.3">
      <c r="A1011" s="6" t="s">
        <v>103</v>
      </c>
      <c r="B1011">
        <f>VLOOKUP(A1011,Table1[[Item Purchased]:[Subscription Status]],8,FALSE)</f>
        <v>3.6</v>
      </c>
    </row>
    <row r="1012" spans="1:2" x14ac:dyDescent="0.3">
      <c r="A1012" s="5" t="s">
        <v>33</v>
      </c>
      <c r="B1012">
        <f>VLOOKUP(A1012,Table1[[Item Purchased]:[Subscription Status]],8,FALSE)</f>
        <v>3.1</v>
      </c>
    </row>
    <row r="1013" spans="1:2" x14ac:dyDescent="0.3">
      <c r="A1013" s="6" t="s">
        <v>131</v>
      </c>
      <c r="B1013">
        <f>VLOOKUP(A1013,Table1[[Item Purchased]:[Subscription Status]],8,FALSE)</f>
        <v>4.7</v>
      </c>
    </row>
    <row r="1014" spans="1:2" x14ac:dyDescent="0.3">
      <c r="A1014" s="5" t="s">
        <v>40</v>
      </c>
      <c r="B1014">
        <f>VLOOKUP(A1014,Table1[[Item Purchased]:[Subscription Status]],8,FALSE)</f>
        <v>3.5</v>
      </c>
    </row>
    <row r="1015" spans="1:2" x14ac:dyDescent="0.3">
      <c r="A1015" s="6" t="s">
        <v>132</v>
      </c>
      <c r="B1015">
        <f>VLOOKUP(A1015,Table1[[Item Purchased]:[Subscription Status]],8,FALSE)</f>
        <v>4.5999999999999996</v>
      </c>
    </row>
    <row r="1016" spans="1:2" x14ac:dyDescent="0.3">
      <c r="A1016" s="5" t="s">
        <v>70</v>
      </c>
      <c r="B1016">
        <f>VLOOKUP(A1016,Table1[[Item Purchased]:[Subscription Status]],8,FALSE)</f>
        <v>4.0999999999999996</v>
      </c>
    </row>
    <row r="1017" spans="1:2" x14ac:dyDescent="0.3">
      <c r="A1017" s="6" t="s">
        <v>142</v>
      </c>
      <c r="B1017">
        <f>VLOOKUP(A1017,Table1[[Item Purchased]:[Subscription Status]],8,FALSE)</f>
        <v>4.5</v>
      </c>
    </row>
    <row r="1018" spans="1:2" x14ac:dyDescent="0.3">
      <c r="A1018" s="5" t="s">
        <v>132</v>
      </c>
      <c r="B1018">
        <f>VLOOKUP(A1018,Table1[[Item Purchased]:[Subscription Status]],8,FALSE)</f>
        <v>4.5999999999999996</v>
      </c>
    </row>
    <row r="1019" spans="1:2" x14ac:dyDescent="0.3">
      <c r="A1019" s="6" t="s">
        <v>101</v>
      </c>
      <c r="B1019">
        <f>VLOOKUP(A1019,Table1[[Item Purchased]:[Subscription Status]],8,FALSE)</f>
        <v>2.9</v>
      </c>
    </row>
    <row r="1020" spans="1:2" x14ac:dyDescent="0.3">
      <c r="A1020" s="5" t="s">
        <v>80</v>
      </c>
      <c r="B1020">
        <f>VLOOKUP(A1020,Table1[[Item Purchased]:[Subscription Status]],8,FALSE)</f>
        <v>4.7</v>
      </c>
    </row>
    <row r="1021" spans="1:2" x14ac:dyDescent="0.3">
      <c r="A1021" s="6" t="s">
        <v>54</v>
      </c>
      <c r="B1021">
        <f>VLOOKUP(A1021,Table1[[Item Purchased]:[Subscription Status]],8,FALSE)</f>
        <v>3.2</v>
      </c>
    </row>
    <row r="1022" spans="1:2" x14ac:dyDescent="0.3">
      <c r="A1022" s="5" t="s">
        <v>118</v>
      </c>
      <c r="B1022">
        <f>VLOOKUP(A1022,Table1[[Item Purchased]:[Subscription Status]],8,FALSE)</f>
        <v>4.5</v>
      </c>
    </row>
    <row r="1023" spans="1:2" x14ac:dyDescent="0.3">
      <c r="A1023" s="6" t="s">
        <v>61</v>
      </c>
      <c r="B1023">
        <f>VLOOKUP(A1023,Table1[[Item Purchased]:[Subscription Status]],8,FALSE)</f>
        <v>2.6</v>
      </c>
    </row>
    <row r="1024" spans="1:2" x14ac:dyDescent="0.3">
      <c r="A1024" s="5" t="s">
        <v>65</v>
      </c>
      <c r="B1024">
        <f>VLOOKUP(A1024,Table1[[Item Purchased]:[Subscription Status]],8,FALSE)</f>
        <v>4.8</v>
      </c>
    </row>
    <row r="1025" spans="1:2" x14ac:dyDescent="0.3">
      <c r="A1025" s="6" t="s">
        <v>88</v>
      </c>
      <c r="B1025">
        <f>VLOOKUP(A1025,Table1[[Item Purchased]:[Subscription Status]],8,FALSE)</f>
        <v>4.0999999999999996</v>
      </c>
    </row>
    <row r="1026" spans="1:2" x14ac:dyDescent="0.3">
      <c r="A1026" s="5" t="s">
        <v>112</v>
      </c>
      <c r="B1026">
        <f>VLOOKUP(A1026,Table1[[Item Purchased]:[Subscription Status]],8,FALSE)</f>
        <v>4.5999999999999996</v>
      </c>
    </row>
    <row r="1027" spans="1:2" x14ac:dyDescent="0.3">
      <c r="A1027" s="6" t="s">
        <v>54</v>
      </c>
      <c r="B1027">
        <f>VLOOKUP(A1027,Table1[[Item Purchased]:[Subscription Status]],8,FALSE)</f>
        <v>3.2</v>
      </c>
    </row>
    <row r="1028" spans="1:2" x14ac:dyDescent="0.3">
      <c r="A1028" s="5" t="s">
        <v>65</v>
      </c>
      <c r="B1028">
        <f>VLOOKUP(A1028,Table1[[Item Purchased]:[Subscription Status]],8,FALSE)</f>
        <v>4.8</v>
      </c>
    </row>
    <row r="1029" spans="1:2" x14ac:dyDescent="0.3">
      <c r="A1029" s="6" t="s">
        <v>105</v>
      </c>
      <c r="B1029">
        <f>VLOOKUP(A1029,Table1[[Item Purchased]:[Subscription Status]],8,FALSE)</f>
        <v>3.6</v>
      </c>
    </row>
    <row r="1030" spans="1:2" x14ac:dyDescent="0.3">
      <c r="A1030" s="5" t="s">
        <v>103</v>
      </c>
      <c r="B1030">
        <f>VLOOKUP(A1030,Table1[[Item Purchased]:[Subscription Status]],8,FALSE)</f>
        <v>3.6</v>
      </c>
    </row>
    <row r="1031" spans="1:2" x14ac:dyDescent="0.3">
      <c r="A1031" s="6" t="s">
        <v>142</v>
      </c>
      <c r="B1031">
        <f>VLOOKUP(A1031,Table1[[Item Purchased]:[Subscription Status]],8,FALSE)</f>
        <v>4.5</v>
      </c>
    </row>
    <row r="1032" spans="1:2" x14ac:dyDescent="0.3">
      <c r="A1032" s="5" t="s">
        <v>61</v>
      </c>
      <c r="B1032">
        <f>VLOOKUP(A1032,Table1[[Item Purchased]:[Subscription Status]],8,FALSE)</f>
        <v>2.6</v>
      </c>
    </row>
    <row r="1033" spans="1:2" x14ac:dyDescent="0.3">
      <c r="A1033" s="6" t="s">
        <v>40</v>
      </c>
      <c r="B1033">
        <f>VLOOKUP(A1033,Table1[[Item Purchased]:[Subscription Status]],8,FALSE)</f>
        <v>3.5</v>
      </c>
    </row>
    <row r="1034" spans="1:2" x14ac:dyDescent="0.3">
      <c r="A1034" s="5" t="s">
        <v>136</v>
      </c>
      <c r="B1034">
        <f>VLOOKUP(A1034,Table1[[Item Purchased]:[Subscription Status]],8,FALSE)</f>
        <v>4.8</v>
      </c>
    </row>
    <row r="1035" spans="1:2" x14ac:dyDescent="0.3">
      <c r="A1035" s="6" t="s">
        <v>94</v>
      </c>
      <c r="B1035">
        <f>VLOOKUP(A1035,Table1[[Item Purchased]:[Subscription Status]],8,FALSE)</f>
        <v>3.3</v>
      </c>
    </row>
    <row r="1036" spans="1:2" x14ac:dyDescent="0.3">
      <c r="A1036" s="5" t="s">
        <v>124</v>
      </c>
      <c r="B1036">
        <f>VLOOKUP(A1036,Table1[[Item Purchased]:[Subscription Status]],8,FALSE)</f>
        <v>2.9</v>
      </c>
    </row>
    <row r="1037" spans="1:2" x14ac:dyDescent="0.3">
      <c r="A1037" s="6" t="s">
        <v>19</v>
      </c>
      <c r="B1037">
        <f>VLOOKUP(A1037,Table1[[Item Purchased]:[Subscription Status]],8,FALSE)</f>
        <v>3.1</v>
      </c>
    </row>
    <row r="1038" spans="1:2" x14ac:dyDescent="0.3">
      <c r="A1038" s="5" t="s">
        <v>65</v>
      </c>
      <c r="B1038">
        <f>VLOOKUP(A1038,Table1[[Item Purchased]:[Subscription Status]],8,FALSE)</f>
        <v>4.8</v>
      </c>
    </row>
    <row r="1039" spans="1:2" x14ac:dyDescent="0.3">
      <c r="A1039" s="6" t="s">
        <v>105</v>
      </c>
      <c r="B1039">
        <f>VLOOKUP(A1039,Table1[[Item Purchased]:[Subscription Status]],8,FALSE)</f>
        <v>3.6</v>
      </c>
    </row>
    <row r="1040" spans="1:2" x14ac:dyDescent="0.3">
      <c r="A1040" s="5" t="s">
        <v>94</v>
      </c>
      <c r="B1040">
        <f>VLOOKUP(A1040,Table1[[Item Purchased]:[Subscription Status]],8,FALSE)</f>
        <v>3.3</v>
      </c>
    </row>
    <row r="1041" spans="1:2" x14ac:dyDescent="0.3">
      <c r="A1041" s="6" t="s">
        <v>132</v>
      </c>
      <c r="B1041">
        <f>VLOOKUP(A1041,Table1[[Item Purchased]:[Subscription Status]],8,FALSE)</f>
        <v>4.5999999999999996</v>
      </c>
    </row>
    <row r="1042" spans="1:2" x14ac:dyDescent="0.3">
      <c r="A1042" s="5" t="s">
        <v>33</v>
      </c>
      <c r="B1042">
        <f>VLOOKUP(A1042,Table1[[Item Purchased]:[Subscription Status]],8,FALSE)</f>
        <v>3.1</v>
      </c>
    </row>
    <row r="1043" spans="1:2" x14ac:dyDescent="0.3">
      <c r="A1043" s="6" t="s">
        <v>54</v>
      </c>
      <c r="B1043">
        <f>VLOOKUP(A1043,Table1[[Item Purchased]:[Subscription Status]],8,FALSE)</f>
        <v>3.2</v>
      </c>
    </row>
    <row r="1044" spans="1:2" x14ac:dyDescent="0.3">
      <c r="A1044" s="5" t="s">
        <v>132</v>
      </c>
      <c r="B1044">
        <f>VLOOKUP(A1044,Table1[[Item Purchased]:[Subscription Status]],8,FALSE)</f>
        <v>4.5999999999999996</v>
      </c>
    </row>
    <row r="1045" spans="1:2" x14ac:dyDescent="0.3">
      <c r="A1045" s="6" t="s">
        <v>33</v>
      </c>
      <c r="B1045">
        <f>VLOOKUP(A1045,Table1[[Item Purchased]:[Subscription Status]],8,FALSE)</f>
        <v>3.1</v>
      </c>
    </row>
    <row r="1046" spans="1:2" x14ac:dyDescent="0.3">
      <c r="A1046" s="5" t="s">
        <v>33</v>
      </c>
      <c r="B1046">
        <f>VLOOKUP(A1046,Table1[[Item Purchased]:[Subscription Status]],8,FALSE)</f>
        <v>3.1</v>
      </c>
    </row>
    <row r="1047" spans="1:2" x14ac:dyDescent="0.3">
      <c r="A1047" s="6" t="s">
        <v>29</v>
      </c>
      <c r="B1047">
        <f>VLOOKUP(A1047,Table1[[Item Purchased]:[Subscription Status]],8,FALSE)</f>
        <v>3.1</v>
      </c>
    </row>
    <row r="1048" spans="1:2" x14ac:dyDescent="0.3">
      <c r="A1048" s="5" t="s">
        <v>49</v>
      </c>
      <c r="B1048">
        <f>VLOOKUP(A1048,Table1[[Item Purchased]:[Subscription Status]],8,FALSE)</f>
        <v>2.9</v>
      </c>
    </row>
    <row r="1049" spans="1:2" x14ac:dyDescent="0.3">
      <c r="A1049" s="6" t="s">
        <v>124</v>
      </c>
      <c r="B1049">
        <f>VLOOKUP(A1049,Table1[[Item Purchased]:[Subscription Status]],8,FALSE)</f>
        <v>2.9</v>
      </c>
    </row>
    <row r="1050" spans="1:2" x14ac:dyDescent="0.3">
      <c r="A1050" s="5" t="s">
        <v>124</v>
      </c>
      <c r="B1050">
        <f>VLOOKUP(A1050,Table1[[Item Purchased]:[Subscription Status]],8,FALSE)</f>
        <v>2.9</v>
      </c>
    </row>
    <row r="1051" spans="1:2" x14ac:dyDescent="0.3">
      <c r="A1051" s="6" t="s">
        <v>88</v>
      </c>
      <c r="B1051">
        <f>VLOOKUP(A1051,Table1[[Item Purchased]:[Subscription Status]],8,FALSE)</f>
        <v>4.0999999999999996</v>
      </c>
    </row>
    <row r="1052" spans="1:2" x14ac:dyDescent="0.3">
      <c r="A1052" s="5" t="s">
        <v>49</v>
      </c>
      <c r="B1052">
        <f>VLOOKUP(A1052,Table1[[Item Purchased]:[Subscription Status]],8,FALSE)</f>
        <v>2.9</v>
      </c>
    </row>
    <row r="1053" spans="1:2" x14ac:dyDescent="0.3">
      <c r="A1053" s="6" t="s">
        <v>124</v>
      </c>
      <c r="B1053">
        <f>VLOOKUP(A1053,Table1[[Item Purchased]:[Subscription Status]],8,FALSE)</f>
        <v>2.9</v>
      </c>
    </row>
    <row r="1054" spans="1:2" x14ac:dyDescent="0.3">
      <c r="A1054" s="5" t="s">
        <v>70</v>
      </c>
      <c r="B1054">
        <f>VLOOKUP(A1054,Table1[[Item Purchased]:[Subscription Status]],8,FALSE)</f>
        <v>4.0999999999999996</v>
      </c>
    </row>
    <row r="1055" spans="1:2" x14ac:dyDescent="0.3">
      <c r="A1055" s="6" t="s">
        <v>19</v>
      </c>
      <c r="B1055">
        <f>VLOOKUP(A1055,Table1[[Item Purchased]:[Subscription Status]],8,FALSE)</f>
        <v>3.1</v>
      </c>
    </row>
    <row r="1056" spans="1:2" x14ac:dyDescent="0.3">
      <c r="A1056" s="5" t="s">
        <v>58</v>
      </c>
      <c r="B1056">
        <f>VLOOKUP(A1056,Table1[[Item Purchased]:[Subscription Status]],8,FALSE)</f>
        <v>3.2</v>
      </c>
    </row>
    <row r="1057" spans="1:2" x14ac:dyDescent="0.3">
      <c r="A1057" s="6" t="s">
        <v>101</v>
      </c>
      <c r="B1057">
        <f>VLOOKUP(A1057,Table1[[Item Purchased]:[Subscription Status]],8,FALSE)</f>
        <v>2.9</v>
      </c>
    </row>
    <row r="1058" spans="1:2" x14ac:dyDescent="0.3">
      <c r="A1058" s="5" t="s">
        <v>29</v>
      </c>
      <c r="B1058">
        <f>VLOOKUP(A1058,Table1[[Item Purchased]:[Subscription Status]],8,FALSE)</f>
        <v>3.1</v>
      </c>
    </row>
    <row r="1059" spans="1:2" x14ac:dyDescent="0.3">
      <c r="A1059" s="6" t="s">
        <v>101</v>
      </c>
      <c r="B1059">
        <f>VLOOKUP(A1059,Table1[[Item Purchased]:[Subscription Status]],8,FALSE)</f>
        <v>2.9</v>
      </c>
    </row>
    <row r="1060" spans="1:2" x14ac:dyDescent="0.3">
      <c r="A1060" s="5" t="s">
        <v>118</v>
      </c>
      <c r="B1060">
        <f>VLOOKUP(A1060,Table1[[Item Purchased]:[Subscription Status]],8,FALSE)</f>
        <v>4.5</v>
      </c>
    </row>
    <row r="1061" spans="1:2" x14ac:dyDescent="0.3">
      <c r="A1061" s="6" t="s">
        <v>101</v>
      </c>
      <c r="B1061">
        <f>VLOOKUP(A1061,Table1[[Item Purchased]:[Subscription Status]],8,FALSE)</f>
        <v>2.9</v>
      </c>
    </row>
    <row r="1062" spans="1:2" x14ac:dyDescent="0.3">
      <c r="A1062" s="5" t="s">
        <v>29</v>
      </c>
      <c r="B1062">
        <f>VLOOKUP(A1062,Table1[[Item Purchased]:[Subscription Status]],8,FALSE)</f>
        <v>3.1</v>
      </c>
    </row>
    <row r="1063" spans="1:2" x14ac:dyDescent="0.3">
      <c r="A1063" s="6" t="s">
        <v>61</v>
      </c>
      <c r="B1063">
        <f>VLOOKUP(A1063,Table1[[Item Purchased]:[Subscription Status]],8,FALSE)</f>
        <v>2.6</v>
      </c>
    </row>
    <row r="1064" spans="1:2" x14ac:dyDescent="0.3">
      <c r="A1064" s="5" t="s">
        <v>136</v>
      </c>
      <c r="B1064">
        <f>VLOOKUP(A1064,Table1[[Item Purchased]:[Subscription Status]],8,FALSE)</f>
        <v>4.8</v>
      </c>
    </row>
    <row r="1065" spans="1:2" x14ac:dyDescent="0.3">
      <c r="A1065" s="6" t="s">
        <v>103</v>
      </c>
      <c r="B1065">
        <f>VLOOKUP(A1065,Table1[[Item Purchased]:[Subscription Status]],8,FALSE)</f>
        <v>3.6</v>
      </c>
    </row>
    <row r="1066" spans="1:2" x14ac:dyDescent="0.3">
      <c r="A1066" s="5" t="s">
        <v>123</v>
      </c>
      <c r="B1066">
        <f>VLOOKUP(A1066,Table1[[Item Purchased]:[Subscription Status]],8,FALSE)</f>
        <v>4.5999999999999996</v>
      </c>
    </row>
    <row r="1067" spans="1:2" x14ac:dyDescent="0.3">
      <c r="A1067" s="6" t="s">
        <v>112</v>
      </c>
      <c r="B1067">
        <f>VLOOKUP(A1067,Table1[[Item Purchased]:[Subscription Status]],8,FALSE)</f>
        <v>4.5999999999999996</v>
      </c>
    </row>
    <row r="1068" spans="1:2" x14ac:dyDescent="0.3">
      <c r="A1068" s="5" t="s">
        <v>61</v>
      </c>
      <c r="B1068">
        <f>VLOOKUP(A1068,Table1[[Item Purchased]:[Subscription Status]],8,FALSE)</f>
        <v>2.6</v>
      </c>
    </row>
    <row r="1069" spans="1:2" x14ac:dyDescent="0.3">
      <c r="A1069" s="6" t="s">
        <v>80</v>
      </c>
      <c r="B1069">
        <f>VLOOKUP(A1069,Table1[[Item Purchased]:[Subscription Status]],8,FALSE)</f>
        <v>4.7</v>
      </c>
    </row>
    <row r="1070" spans="1:2" x14ac:dyDescent="0.3">
      <c r="A1070" s="5" t="s">
        <v>54</v>
      </c>
      <c r="B1070">
        <f>VLOOKUP(A1070,Table1[[Item Purchased]:[Subscription Status]],8,FALSE)</f>
        <v>3.2</v>
      </c>
    </row>
    <row r="1071" spans="1:2" x14ac:dyDescent="0.3">
      <c r="A1071" s="6" t="s">
        <v>86</v>
      </c>
      <c r="B1071">
        <f>VLOOKUP(A1071,Table1[[Item Purchased]:[Subscription Status]],8,FALSE)</f>
        <v>2.8</v>
      </c>
    </row>
    <row r="1072" spans="1:2" x14ac:dyDescent="0.3">
      <c r="A1072" s="5" t="s">
        <v>105</v>
      </c>
      <c r="B1072">
        <f>VLOOKUP(A1072,Table1[[Item Purchased]:[Subscription Status]],8,FALSE)</f>
        <v>3.6</v>
      </c>
    </row>
    <row r="1073" spans="1:2" x14ac:dyDescent="0.3">
      <c r="A1073" s="6" t="s">
        <v>123</v>
      </c>
      <c r="B1073">
        <f>VLOOKUP(A1073,Table1[[Item Purchased]:[Subscription Status]],8,FALSE)</f>
        <v>4.5999999999999996</v>
      </c>
    </row>
    <row r="1074" spans="1:2" x14ac:dyDescent="0.3">
      <c r="A1074" s="5" t="s">
        <v>58</v>
      </c>
      <c r="B1074">
        <f>VLOOKUP(A1074,Table1[[Item Purchased]:[Subscription Status]],8,FALSE)</f>
        <v>3.2</v>
      </c>
    </row>
    <row r="1075" spans="1:2" x14ac:dyDescent="0.3">
      <c r="A1075" s="6" t="s">
        <v>118</v>
      </c>
      <c r="B1075">
        <f>VLOOKUP(A1075,Table1[[Item Purchased]:[Subscription Status]],8,FALSE)</f>
        <v>4.5</v>
      </c>
    </row>
    <row r="1076" spans="1:2" x14ac:dyDescent="0.3">
      <c r="A1076" s="5" t="s">
        <v>105</v>
      </c>
      <c r="B1076">
        <f>VLOOKUP(A1076,Table1[[Item Purchased]:[Subscription Status]],8,FALSE)</f>
        <v>3.6</v>
      </c>
    </row>
    <row r="1077" spans="1:2" x14ac:dyDescent="0.3">
      <c r="A1077" s="6" t="s">
        <v>88</v>
      </c>
      <c r="B1077">
        <f>VLOOKUP(A1077,Table1[[Item Purchased]:[Subscription Status]],8,FALSE)</f>
        <v>4.0999999999999996</v>
      </c>
    </row>
    <row r="1078" spans="1:2" x14ac:dyDescent="0.3">
      <c r="A1078" s="5" t="s">
        <v>61</v>
      </c>
      <c r="B1078">
        <f>VLOOKUP(A1078,Table1[[Item Purchased]:[Subscription Status]],8,FALSE)</f>
        <v>2.6</v>
      </c>
    </row>
    <row r="1079" spans="1:2" x14ac:dyDescent="0.3">
      <c r="A1079" s="6" t="s">
        <v>101</v>
      </c>
      <c r="B1079">
        <f>VLOOKUP(A1079,Table1[[Item Purchased]:[Subscription Status]],8,FALSE)</f>
        <v>2.9</v>
      </c>
    </row>
    <row r="1080" spans="1:2" x14ac:dyDescent="0.3">
      <c r="A1080" s="5" t="s">
        <v>29</v>
      </c>
      <c r="B1080">
        <f>VLOOKUP(A1080,Table1[[Item Purchased]:[Subscription Status]],8,FALSE)</f>
        <v>3.1</v>
      </c>
    </row>
    <row r="1081" spans="1:2" x14ac:dyDescent="0.3">
      <c r="A1081" s="6" t="s">
        <v>61</v>
      </c>
      <c r="B1081">
        <f>VLOOKUP(A1081,Table1[[Item Purchased]:[Subscription Status]],8,FALSE)</f>
        <v>2.6</v>
      </c>
    </row>
    <row r="1082" spans="1:2" x14ac:dyDescent="0.3">
      <c r="A1082" s="5" t="s">
        <v>118</v>
      </c>
      <c r="B1082">
        <f>VLOOKUP(A1082,Table1[[Item Purchased]:[Subscription Status]],8,FALSE)</f>
        <v>4.5</v>
      </c>
    </row>
    <row r="1083" spans="1:2" x14ac:dyDescent="0.3">
      <c r="A1083" s="6" t="s">
        <v>132</v>
      </c>
      <c r="B1083">
        <f>VLOOKUP(A1083,Table1[[Item Purchased]:[Subscription Status]],8,FALSE)</f>
        <v>4.5999999999999996</v>
      </c>
    </row>
    <row r="1084" spans="1:2" x14ac:dyDescent="0.3">
      <c r="A1084" s="5" t="s">
        <v>123</v>
      </c>
      <c r="B1084">
        <f>VLOOKUP(A1084,Table1[[Item Purchased]:[Subscription Status]],8,FALSE)</f>
        <v>4.5999999999999996</v>
      </c>
    </row>
    <row r="1085" spans="1:2" x14ac:dyDescent="0.3">
      <c r="A1085" s="6" t="s">
        <v>131</v>
      </c>
      <c r="B1085">
        <f>VLOOKUP(A1085,Table1[[Item Purchased]:[Subscription Status]],8,FALSE)</f>
        <v>4.7</v>
      </c>
    </row>
    <row r="1086" spans="1:2" x14ac:dyDescent="0.3">
      <c r="A1086" s="5" t="s">
        <v>112</v>
      </c>
      <c r="B1086">
        <f>VLOOKUP(A1086,Table1[[Item Purchased]:[Subscription Status]],8,FALSE)</f>
        <v>4.5999999999999996</v>
      </c>
    </row>
    <row r="1087" spans="1:2" x14ac:dyDescent="0.3">
      <c r="A1087" s="6" t="s">
        <v>105</v>
      </c>
      <c r="B1087">
        <f>VLOOKUP(A1087,Table1[[Item Purchased]:[Subscription Status]],8,FALSE)</f>
        <v>3.6</v>
      </c>
    </row>
    <row r="1088" spans="1:2" x14ac:dyDescent="0.3">
      <c r="A1088" s="5" t="s">
        <v>88</v>
      </c>
      <c r="B1088">
        <f>VLOOKUP(A1088,Table1[[Item Purchased]:[Subscription Status]],8,FALSE)</f>
        <v>4.0999999999999996</v>
      </c>
    </row>
    <row r="1089" spans="1:2" x14ac:dyDescent="0.3">
      <c r="A1089" s="6" t="s">
        <v>33</v>
      </c>
      <c r="B1089">
        <f>VLOOKUP(A1089,Table1[[Item Purchased]:[Subscription Status]],8,FALSE)</f>
        <v>3.1</v>
      </c>
    </row>
    <row r="1090" spans="1:2" x14ac:dyDescent="0.3">
      <c r="A1090" s="5" t="s">
        <v>94</v>
      </c>
      <c r="B1090">
        <f>VLOOKUP(A1090,Table1[[Item Purchased]:[Subscription Status]],8,FALSE)</f>
        <v>3.3</v>
      </c>
    </row>
    <row r="1091" spans="1:2" x14ac:dyDescent="0.3">
      <c r="A1091" s="6" t="s">
        <v>131</v>
      </c>
      <c r="B1091">
        <f>VLOOKUP(A1091,Table1[[Item Purchased]:[Subscription Status]],8,FALSE)</f>
        <v>4.7</v>
      </c>
    </row>
    <row r="1092" spans="1:2" x14ac:dyDescent="0.3">
      <c r="A1092" s="5" t="s">
        <v>118</v>
      </c>
      <c r="B1092">
        <f>VLOOKUP(A1092,Table1[[Item Purchased]:[Subscription Status]],8,FALSE)</f>
        <v>4.5</v>
      </c>
    </row>
    <row r="1093" spans="1:2" x14ac:dyDescent="0.3">
      <c r="A1093" s="6" t="s">
        <v>29</v>
      </c>
      <c r="B1093">
        <f>VLOOKUP(A1093,Table1[[Item Purchased]:[Subscription Status]],8,FALSE)</f>
        <v>3.1</v>
      </c>
    </row>
    <row r="1094" spans="1:2" x14ac:dyDescent="0.3">
      <c r="A1094" s="5" t="s">
        <v>105</v>
      </c>
      <c r="B1094">
        <f>VLOOKUP(A1094,Table1[[Item Purchased]:[Subscription Status]],8,FALSE)</f>
        <v>3.6</v>
      </c>
    </row>
    <row r="1095" spans="1:2" x14ac:dyDescent="0.3">
      <c r="A1095" s="6" t="s">
        <v>49</v>
      </c>
      <c r="B1095">
        <f>VLOOKUP(A1095,Table1[[Item Purchased]:[Subscription Status]],8,FALSE)</f>
        <v>2.9</v>
      </c>
    </row>
    <row r="1096" spans="1:2" x14ac:dyDescent="0.3">
      <c r="A1096" s="5" t="s">
        <v>105</v>
      </c>
      <c r="B1096">
        <f>VLOOKUP(A1096,Table1[[Item Purchased]:[Subscription Status]],8,FALSE)</f>
        <v>3.6</v>
      </c>
    </row>
    <row r="1097" spans="1:2" x14ac:dyDescent="0.3">
      <c r="A1097" s="6" t="s">
        <v>61</v>
      </c>
      <c r="B1097">
        <f>VLOOKUP(A1097,Table1[[Item Purchased]:[Subscription Status]],8,FALSE)</f>
        <v>2.6</v>
      </c>
    </row>
    <row r="1098" spans="1:2" x14ac:dyDescent="0.3">
      <c r="A1098" s="5" t="s">
        <v>61</v>
      </c>
      <c r="B1098">
        <f>VLOOKUP(A1098,Table1[[Item Purchased]:[Subscription Status]],8,FALSE)</f>
        <v>2.6</v>
      </c>
    </row>
    <row r="1099" spans="1:2" x14ac:dyDescent="0.3">
      <c r="A1099" s="6" t="s">
        <v>88</v>
      </c>
      <c r="B1099">
        <f>VLOOKUP(A1099,Table1[[Item Purchased]:[Subscription Status]],8,FALSE)</f>
        <v>4.0999999999999996</v>
      </c>
    </row>
    <row r="1100" spans="1:2" x14ac:dyDescent="0.3">
      <c r="A1100" s="5" t="s">
        <v>65</v>
      </c>
      <c r="B1100">
        <f>VLOOKUP(A1100,Table1[[Item Purchased]:[Subscription Status]],8,FALSE)</f>
        <v>4.8</v>
      </c>
    </row>
    <row r="1101" spans="1:2" x14ac:dyDescent="0.3">
      <c r="A1101" s="6" t="s">
        <v>29</v>
      </c>
      <c r="B1101">
        <f>VLOOKUP(A1101,Table1[[Item Purchased]:[Subscription Status]],8,FALSE)</f>
        <v>3.1</v>
      </c>
    </row>
    <row r="1102" spans="1:2" x14ac:dyDescent="0.3">
      <c r="A1102" s="5" t="s">
        <v>94</v>
      </c>
      <c r="B1102">
        <f>VLOOKUP(A1102,Table1[[Item Purchased]:[Subscription Status]],8,FALSE)</f>
        <v>3.3</v>
      </c>
    </row>
    <row r="1103" spans="1:2" x14ac:dyDescent="0.3">
      <c r="A1103" s="6" t="s">
        <v>142</v>
      </c>
      <c r="B1103">
        <f>VLOOKUP(A1103,Table1[[Item Purchased]:[Subscription Status]],8,FALSE)</f>
        <v>4.5</v>
      </c>
    </row>
    <row r="1104" spans="1:2" x14ac:dyDescent="0.3">
      <c r="A1104" s="5" t="s">
        <v>29</v>
      </c>
      <c r="B1104">
        <f>VLOOKUP(A1104,Table1[[Item Purchased]:[Subscription Status]],8,FALSE)</f>
        <v>3.1</v>
      </c>
    </row>
    <row r="1105" spans="1:2" x14ac:dyDescent="0.3">
      <c r="A1105" s="6" t="s">
        <v>103</v>
      </c>
      <c r="B1105">
        <f>VLOOKUP(A1105,Table1[[Item Purchased]:[Subscription Status]],8,FALSE)</f>
        <v>3.6</v>
      </c>
    </row>
    <row r="1106" spans="1:2" x14ac:dyDescent="0.3">
      <c r="A1106" s="5" t="s">
        <v>123</v>
      </c>
      <c r="B1106">
        <f>VLOOKUP(A1106,Table1[[Item Purchased]:[Subscription Status]],8,FALSE)</f>
        <v>4.5999999999999996</v>
      </c>
    </row>
    <row r="1107" spans="1:2" x14ac:dyDescent="0.3">
      <c r="A1107" s="6" t="s">
        <v>112</v>
      </c>
      <c r="B1107">
        <f>VLOOKUP(A1107,Table1[[Item Purchased]:[Subscription Status]],8,FALSE)</f>
        <v>4.5999999999999996</v>
      </c>
    </row>
    <row r="1108" spans="1:2" x14ac:dyDescent="0.3">
      <c r="A1108" s="5" t="s">
        <v>86</v>
      </c>
      <c r="B1108">
        <f>VLOOKUP(A1108,Table1[[Item Purchased]:[Subscription Status]],8,FALSE)</f>
        <v>2.8</v>
      </c>
    </row>
    <row r="1109" spans="1:2" x14ac:dyDescent="0.3">
      <c r="A1109" s="6" t="s">
        <v>49</v>
      </c>
      <c r="B1109">
        <f>VLOOKUP(A1109,Table1[[Item Purchased]:[Subscription Status]],8,FALSE)</f>
        <v>2.9</v>
      </c>
    </row>
    <row r="1110" spans="1:2" x14ac:dyDescent="0.3">
      <c r="A1110" s="5" t="s">
        <v>58</v>
      </c>
      <c r="B1110">
        <f>VLOOKUP(A1110,Table1[[Item Purchased]:[Subscription Status]],8,FALSE)</f>
        <v>3.2</v>
      </c>
    </row>
    <row r="1111" spans="1:2" x14ac:dyDescent="0.3">
      <c r="A1111" s="6" t="s">
        <v>103</v>
      </c>
      <c r="B1111">
        <f>VLOOKUP(A1111,Table1[[Item Purchased]:[Subscription Status]],8,FALSE)</f>
        <v>3.6</v>
      </c>
    </row>
    <row r="1112" spans="1:2" x14ac:dyDescent="0.3">
      <c r="A1112" s="5" t="s">
        <v>103</v>
      </c>
      <c r="B1112">
        <f>VLOOKUP(A1112,Table1[[Item Purchased]:[Subscription Status]],8,FALSE)</f>
        <v>3.6</v>
      </c>
    </row>
    <row r="1113" spans="1:2" x14ac:dyDescent="0.3">
      <c r="A1113" s="6" t="s">
        <v>70</v>
      </c>
      <c r="B1113">
        <f>VLOOKUP(A1113,Table1[[Item Purchased]:[Subscription Status]],8,FALSE)</f>
        <v>4.0999999999999996</v>
      </c>
    </row>
    <row r="1114" spans="1:2" x14ac:dyDescent="0.3">
      <c r="A1114" s="5" t="s">
        <v>103</v>
      </c>
      <c r="B1114">
        <f>VLOOKUP(A1114,Table1[[Item Purchased]:[Subscription Status]],8,FALSE)</f>
        <v>3.6</v>
      </c>
    </row>
    <row r="1115" spans="1:2" x14ac:dyDescent="0.3">
      <c r="A1115" s="6" t="s">
        <v>88</v>
      </c>
      <c r="B1115">
        <f>VLOOKUP(A1115,Table1[[Item Purchased]:[Subscription Status]],8,FALSE)</f>
        <v>4.0999999999999996</v>
      </c>
    </row>
    <row r="1116" spans="1:2" x14ac:dyDescent="0.3">
      <c r="A1116" s="5" t="s">
        <v>86</v>
      </c>
      <c r="B1116">
        <f>VLOOKUP(A1116,Table1[[Item Purchased]:[Subscription Status]],8,FALSE)</f>
        <v>2.8</v>
      </c>
    </row>
    <row r="1117" spans="1:2" x14ac:dyDescent="0.3">
      <c r="A1117" s="6" t="s">
        <v>123</v>
      </c>
      <c r="B1117">
        <f>VLOOKUP(A1117,Table1[[Item Purchased]:[Subscription Status]],8,FALSE)</f>
        <v>4.5999999999999996</v>
      </c>
    </row>
    <row r="1118" spans="1:2" x14ac:dyDescent="0.3">
      <c r="A1118" s="5" t="s">
        <v>131</v>
      </c>
      <c r="B1118">
        <f>VLOOKUP(A1118,Table1[[Item Purchased]:[Subscription Status]],8,FALSE)</f>
        <v>4.7</v>
      </c>
    </row>
    <row r="1119" spans="1:2" x14ac:dyDescent="0.3">
      <c r="A1119" s="6" t="s">
        <v>88</v>
      </c>
      <c r="B1119">
        <f>VLOOKUP(A1119,Table1[[Item Purchased]:[Subscription Status]],8,FALSE)</f>
        <v>4.0999999999999996</v>
      </c>
    </row>
    <row r="1120" spans="1:2" x14ac:dyDescent="0.3">
      <c r="A1120" s="5" t="s">
        <v>132</v>
      </c>
      <c r="B1120">
        <f>VLOOKUP(A1120,Table1[[Item Purchased]:[Subscription Status]],8,FALSE)</f>
        <v>4.5999999999999996</v>
      </c>
    </row>
    <row r="1121" spans="1:2" x14ac:dyDescent="0.3">
      <c r="A1121" s="6" t="s">
        <v>105</v>
      </c>
      <c r="B1121">
        <f>VLOOKUP(A1121,Table1[[Item Purchased]:[Subscription Status]],8,FALSE)</f>
        <v>3.6</v>
      </c>
    </row>
    <row r="1122" spans="1:2" x14ac:dyDescent="0.3">
      <c r="A1122" s="5" t="s">
        <v>49</v>
      </c>
      <c r="B1122">
        <f>VLOOKUP(A1122,Table1[[Item Purchased]:[Subscription Status]],8,FALSE)</f>
        <v>2.9</v>
      </c>
    </row>
    <row r="1123" spans="1:2" x14ac:dyDescent="0.3">
      <c r="A1123" s="6" t="s">
        <v>112</v>
      </c>
      <c r="B1123">
        <f>VLOOKUP(A1123,Table1[[Item Purchased]:[Subscription Status]],8,FALSE)</f>
        <v>4.5999999999999996</v>
      </c>
    </row>
    <row r="1124" spans="1:2" x14ac:dyDescent="0.3">
      <c r="A1124" s="5" t="s">
        <v>65</v>
      </c>
      <c r="B1124">
        <f>VLOOKUP(A1124,Table1[[Item Purchased]:[Subscription Status]],8,FALSE)</f>
        <v>4.8</v>
      </c>
    </row>
    <row r="1125" spans="1:2" x14ac:dyDescent="0.3">
      <c r="A1125" s="6" t="s">
        <v>123</v>
      </c>
      <c r="B1125">
        <f>VLOOKUP(A1125,Table1[[Item Purchased]:[Subscription Status]],8,FALSE)</f>
        <v>4.5999999999999996</v>
      </c>
    </row>
    <row r="1126" spans="1:2" x14ac:dyDescent="0.3">
      <c r="A1126" s="5" t="s">
        <v>29</v>
      </c>
      <c r="B1126">
        <f>VLOOKUP(A1126,Table1[[Item Purchased]:[Subscription Status]],8,FALSE)</f>
        <v>3.1</v>
      </c>
    </row>
    <row r="1127" spans="1:2" x14ac:dyDescent="0.3">
      <c r="A1127" s="6" t="s">
        <v>40</v>
      </c>
      <c r="B1127">
        <f>VLOOKUP(A1127,Table1[[Item Purchased]:[Subscription Status]],8,FALSE)</f>
        <v>3.5</v>
      </c>
    </row>
    <row r="1128" spans="1:2" x14ac:dyDescent="0.3">
      <c r="A1128" s="5" t="s">
        <v>118</v>
      </c>
      <c r="B1128">
        <f>VLOOKUP(A1128,Table1[[Item Purchased]:[Subscription Status]],8,FALSE)</f>
        <v>4.5</v>
      </c>
    </row>
    <row r="1129" spans="1:2" x14ac:dyDescent="0.3">
      <c r="A1129" s="6" t="s">
        <v>54</v>
      </c>
      <c r="B1129">
        <f>VLOOKUP(A1129,Table1[[Item Purchased]:[Subscription Status]],8,FALSE)</f>
        <v>3.2</v>
      </c>
    </row>
    <row r="1130" spans="1:2" x14ac:dyDescent="0.3">
      <c r="A1130" s="5" t="s">
        <v>142</v>
      </c>
      <c r="B1130">
        <f>VLOOKUP(A1130,Table1[[Item Purchased]:[Subscription Status]],8,FALSE)</f>
        <v>4.5</v>
      </c>
    </row>
    <row r="1131" spans="1:2" x14ac:dyDescent="0.3">
      <c r="A1131" s="6" t="s">
        <v>103</v>
      </c>
      <c r="B1131">
        <f>VLOOKUP(A1131,Table1[[Item Purchased]:[Subscription Status]],8,FALSE)</f>
        <v>3.6</v>
      </c>
    </row>
    <row r="1132" spans="1:2" x14ac:dyDescent="0.3">
      <c r="A1132" s="5" t="s">
        <v>105</v>
      </c>
      <c r="B1132">
        <f>VLOOKUP(A1132,Table1[[Item Purchased]:[Subscription Status]],8,FALSE)</f>
        <v>3.6</v>
      </c>
    </row>
    <row r="1133" spans="1:2" x14ac:dyDescent="0.3">
      <c r="A1133" s="6" t="s">
        <v>54</v>
      </c>
      <c r="B1133">
        <f>VLOOKUP(A1133,Table1[[Item Purchased]:[Subscription Status]],8,FALSE)</f>
        <v>3.2</v>
      </c>
    </row>
    <row r="1134" spans="1:2" x14ac:dyDescent="0.3">
      <c r="A1134" s="5" t="s">
        <v>103</v>
      </c>
      <c r="B1134">
        <f>VLOOKUP(A1134,Table1[[Item Purchased]:[Subscription Status]],8,FALSE)</f>
        <v>3.6</v>
      </c>
    </row>
    <row r="1135" spans="1:2" x14ac:dyDescent="0.3">
      <c r="A1135" s="6" t="s">
        <v>70</v>
      </c>
      <c r="B1135">
        <f>VLOOKUP(A1135,Table1[[Item Purchased]:[Subscription Status]],8,FALSE)</f>
        <v>4.0999999999999996</v>
      </c>
    </row>
    <row r="1136" spans="1:2" x14ac:dyDescent="0.3">
      <c r="A1136" s="5" t="s">
        <v>112</v>
      </c>
      <c r="B1136">
        <f>VLOOKUP(A1136,Table1[[Item Purchased]:[Subscription Status]],8,FALSE)</f>
        <v>4.5999999999999996</v>
      </c>
    </row>
    <row r="1137" spans="1:2" x14ac:dyDescent="0.3">
      <c r="A1137" s="6" t="s">
        <v>86</v>
      </c>
      <c r="B1137">
        <f>VLOOKUP(A1137,Table1[[Item Purchased]:[Subscription Status]],8,FALSE)</f>
        <v>2.8</v>
      </c>
    </row>
    <row r="1138" spans="1:2" x14ac:dyDescent="0.3">
      <c r="A1138" s="5" t="s">
        <v>65</v>
      </c>
      <c r="B1138">
        <f>VLOOKUP(A1138,Table1[[Item Purchased]:[Subscription Status]],8,FALSE)</f>
        <v>4.8</v>
      </c>
    </row>
    <row r="1139" spans="1:2" x14ac:dyDescent="0.3">
      <c r="A1139" s="6" t="s">
        <v>54</v>
      </c>
      <c r="B1139">
        <f>VLOOKUP(A1139,Table1[[Item Purchased]:[Subscription Status]],8,FALSE)</f>
        <v>3.2</v>
      </c>
    </row>
    <row r="1140" spans="1:2" x14ac:dyDescent="0.3">
      <c r="A1140" s="5" t="s">
        <v>94</v>
      </c>
      <c r="B1140">
        <f>VLOOKUP(A1140,Table1[[Item Purchased]:[Subscription Status]],8,FALSE)</f>
        <v>3.3</v>
      </c>
    </row>
    <row r="1141" spans="1:2" x14ac:dyDescent="0.3">
      <c r="A1141" s="6" t="s">
        <v>61</v>
      </c>
      <c r="B1141">
        <f>VLOOKUP(A1141,Table1[[Item Purchased]:[Subscription Status]],8,FALSE)</f>
        <v>2.6</v>
      </c>
    </row>
    <row r="1142" spans="1:2" x14ac:dyDescent="0.3">
      <c r="A1142" s="5" t="s">
        <v>33</v>
      </c>
      <c r="B1142">
        <f>VLOOKUP(A1142,Table1[[Item Purchased]:[Subscription Status]],8,FALSE)</f>
        <v>3.1</v>
      </c>
    </row>
    <row r="1143" spans="1:2" x14ac:dyDescent="0.3">
      <c r="A1143" s="6" t="s">
        <v>142</v>
      </c>
      <c r="B1143">
        <f>VLOOKUP(A1143,Table1[[Item Purchased]:[Subscription Status]],8,FALSE)</f>
        <v>4.5</v>
      </c>
    </row>
    <row r="1144" spans="1:2" x14ac:dyDescent="0.3">
      <c r="A1144" s="5" t="s">
        <v>112</v>
      </c>
      <c r="B1144">
        <f>VLOOKUP(A1144,Table1[[Item Purchased]:[Subscription Status]],8,FALSE)</f>
        <v>4.5999999999999996</v>
      </c>
    </row>
    <row r="1145" spans="1:2" x14ac:dyDescent="0.3">
      <c r="A1145" s="6" t="s">
        <v>136</v>
      </c>
      <c r="B1145">
        <f>VLOOKUP(A1145,Table1[[Item Purchased]:[Subscription Status]],8,FALSE)</f>
        <v>4.8</v>
      </c>
    </row>
    <row r="1146" spans="1:2" x14ac:dyDescent="0.3">
      <c r="A1146" s="5" t="s">
        <v>33</v>
      </c>
      <c r="B1146">
        <f>VLOOKUP(A1146,Table1[[Item Purchased]:[Subscription Status]],8,FALSE)</f>
        <v>3.1</v>
      </c>
    </row>
    <row r="1147" spans="1:2" x14ac:dyDescent="0.3">
      <c r="A1147" s="6" t="s">
        <v>49</v>
      </c>
      <c r="B1147">
        <f>VLOOKUP(A1147,Table1[[Item Purchased]:[Subscription Status]],8,FALSE)</f>
        <v>2.9</v>
      </c>
    </row>
    <row r="1148" spans="1:2" x14ac:dyDescent="0.3">
      <c r="A1148" s="5" t="s">
        <v>49</v>
      </c>
      <c r="B1148">
        <f>VLOOKUP(A1148,Table1[[Item Purchased]:[Subscription Status]],8,FALSE)</f>
        <v>2.9</v>
      </c>
    </row>
    <row r="1149" spans="1:2" x14ac:dyDescent="0.3">
      <c r="A1149" s="6" t="s">
        <v>123</v>
      </c>
      <c r="B1149">
        <f>VLOOKUP(A1149,Table1[[Item Purchased]:[Subscription Status]],8,FALSE)</f>
        <v>4.5999999999999996</v>
      </c>
    </row>
    <row r="1150" spans="1:2" x14ac:dyDescent="0.3">
      <c r="A1150" s="5" t="s">
        <v>94</v>
      </c>
      <c r="B1150">
        <f>VLOOKUP(A1150,Table1[[Item Purchased]:[Subscription Status]],8,FALSE)</f>
        <v>3.3</v>
      </c>
    </row>
    <row r="1151" spans="1:2" x14ac:dyDescent="0.3">
      <c r="A1151" s="6" t="s">
        <v>105</v>
      </c>
      <c r="B1151">
        <f>VLOOKUP(A1151,Table1[[Item Purchased]:[Subscription Status]],8,FALSE)</f>
        <v>3.6</v>
      </c>
    </row>
    <row r="1152" spans="1:2" x14ac:dyDescent="0.3">
      <c r="A1152" s="5" t="s">
        <v>105</v>
      </c>
      <c r="B1152">
        <f>VLOOKUP(A1152,Table1[[Item Purchased]:[Subscription Status]],8,FALSE)</f>
        <v>3.6</v>
      </c>
    </row>
    <row r="1153" spans="1:2" x14ac:dyDescent="0.3">
      <c r="A1153" s="6" t="s">
        <v>19</v>
      </c>
      <c r="B1153">
        <f>VLOOKUP(A1153,Table1[[Item Purchased]:[Subscription Status]],8,FALSE)</f>
        <v>3.1</v>
      </c>
    </row>
    <row r="1154" spans="1:2" x14ac:dyDescent="0.3">
      <c r="A1154" s="5" t="s">
        <v>65</v>
      </c>
      <c r="B1154">
        <f>VLOOKUP(A1154,Table1[[Item Purchased]:[Subscription Status]],8,FALSE)</f>
        <v>4.8</v>
      </c>
    </row>
    <row r="1155" spans="1:2" x14ac:dyDescent="0.3">
      <c r="A1155" s="6" t="s">
        <v>54</v>
      </c>
      <c r="B1155">
        <f>VLOOKUP(A1155,Table1[[Item Purchased]:[Subscription Status]],8,FALSE)</f>
        <v>3.2</v>
      </c>
    </row>
    <row r="1156" spans="1:2" x14ac:dyDescent="0.3">
      <c r="A1156" s="5" t="s">
        <v>80</v>
      </c>
      <c r="B1156">
        <f>VLOOKUP(A1156,Table1[[Item Purchased]:[Subscription Status]],8,FALSE)</f>
        <v>4.7</v>
      </c>
    </row>
    <row r="1157" spans="1:2" x14ac:dyDescent="0.3">
      <c r="A1157" s="6" t="s">
        <v>112</v>
      </c>
      <c r="B1157">
        <f>VLOOKUP(A1157,Table1[[Item Purchased]:[Subscription Status]],8,FALSE)</f>
        <v>4.5999999999999996</v>
      </c>
    </row>
    <row r="1158" spans="1:2" x14ac:dyDescent="0.3">
      <c r="A1158" s="5" t="s">
        <v>70</v>
      </c>
      <c r="B1158">
        <f>VLOOKUP(A1158,Table1[[Item Purchased]:[Subscription Status]],8,FALSE)</f>
        <v>4.0999999999999996</v>
      </c>
    </row>
    <row r="1159" spans="1:2" x14ac:dyDescent="0.3">
      <c r="A1159" s="6" t="s">
        <v>132</v>
      </c>
      <c r="B1159">
        <f>VLOOKUP(A1159,Table1[[Item Purchased]:[Subscription Status]],8,FALSE)</f>
        <v>4.5999999999999996</v>
      </c>
    </row>
    <row r="1160" spans="1:2" x14ac:dyDescent="0.3">
      <c r="A1160" s="5" t="s">
        <v>132</v>
      </c>
      <c r="B1160">
        <f>VLOOKUP(A1160,Table1[[Item Purchased]:[Subscription Status]],8,FALSE)</f>
        <v>4.5999999999999996</v>
      </c>
    </row>
    <row r="1161" spans="1:2" x14ac:dyDescent="0.3">
      <c r="A1161" s="6" t="s">
        <v>65</v>
      </c>
      <c r="B1161">
        <f>VLOOKUP(A1161,Table1[[Item Purchased]:[Subscription Status]],8,FALSE)</f>
        <v>4.8</v>
      </c>
    </row>
    <row r="1162" spans="1:2" x14ac:dyDescent="0.3">
      <c r="A1162" s="5" t="s">
        <v>118</v>
      </c>
      <c r="B1162">
        <f>VLOOKUP(A1162,Table1[[Item Purchased]:[Subscription Status]],8,FALSE)</f>
        <v>4.5</v>
      </c>
    </row>
    <row r="1163" spans="1:2" x14ac:dyDescent="0.3">
      <c r="A1163" s="6" t="s">
        <v>58</v>
      </c>
      <c r="B1163">
        <f>VLOOKUP(A1163,Table1[[Item Purchased]:[Subscription Status]],8,FALSE)</f>
        <v>3.2</v>
      </c>
    </row>
    <row r="1164" spans="1:2" x14ac:dyDescent="0.3">
      <c r="A1164" s="5" t="s">
        <v>40</v>
      </c>
      <c r="B1164">
        <f>VLOOKUP(A1164,Table1[[Item Purchased]:[Subscription Status]],8,FALSE)</f>
        <v>3.5</v>
      </c>
    </row>
    <row r="1165" spans="1:2" x14ac:dyDescent="0.3">
      <c r="A1165" s="6" t="s">
        <v>94</v>
      </c>
      <c r="B1165">
        <f>VLOOKUP(A1165,Table1[[Item Purchased]:[Subscription Status]],8,FALSE)</f>
        <v>3.3</v>
      </c>
    </row>
    <row r="1166" spans="1:2" x14ac:dyDescent="0.3">
      <c r="A1166" s="5" t="s">
        <v>80</v>
      </c>
      <c r="B1166">
        <f>VLOOKUP(A1166,Table1[[Item Purchased]:[Subscription Status]],8,FALSE)</f>
        <v>4.7</v>
      </c>
    </row>
    <row r="1167" spans="1:2" x14ac:dyDescent="0.3">
      <c r="A1167" s="6" t="s">
        <v>112</v>
      </c>
      <c r="B1167">
        <f>VLOOKUP(A1167,Table1[[Item Purchased]:[Subscription Status]],8,FALSE)</f>
        <v>4.5999999999999996</v>
      </c>
    </row>
    <row r="1168" spans="1:2" x14ac:dyDescent="0.3">
      <c r="A1168" s="5" t="s">
        <v>80</v>
      </c>
      <c r="B1168">
        <f>VLOOKUP(A1168,Table1[[Item Purchased]:[Subscription Status]],8,FALSE)</f>
        <v>4.7</v>
      </c>
    </row>
    <row r="1169" spans="1:2" x14ac:dyDescent="0.3">
      <c r="A1169" s="6" t="s">
        <v>124</v>
      </c>
      <c r="B1169">
        <f>VLOOKUP(A1169,Table1[[Item Purchased]:[Subscription Status]],8,FALSE)</f>
        <v>2.9</v>
      </c>
    </row>
    <row r="1170" spans="1:2" x14ac:dyDescent="0.3">
      <c r="A1170" s="5" t="s">
        <v>118</v>
      </c>
      <c r="B1170">
        <f>VLOOKUP(A1170,Table1[[Item Purchased]:[Subscription Status]],8,FALSE)</f>
        <v>4.5</v>
      </c>
    </row>
    <row r="1171" spans="1:2" x14ac:dyDescent="0.3">
      <c r="A1171" s="6" t="s">
        <v>131</v>
      </c>
      <c r="B1171">
        <f>VLOOKUP(A1171,Table1[[Item Purchased]:[Subscription Status]],8,FALSE)</f>
        <v>4.7</v>
      </c>
    </row>
    <row r="1172" spans="1:2" x14ac:dyDescent="0.3">
      <c r="A1172" s="5" t="s">
        <v>86</v>
      </c>
      <c r="B1172">
        <f>VLOOKUP(A1172,Table1[[Item Purchased]:[Subscription Status]],8,FALSE)</f>
        <v>2.8</v>
      </c>
    </row>
    <row r="1173" spans="1:2" x14ac:dyDescent="0.3">
      <c r="A1173" s="6" t="s">
        <v>124</v>
      </c>
      <c r="B1173">
        <f>VLOOKUP(A1173,Table1[[Item Purchased]:[Subscription Status]],8,FALSE)</f>
        <v>2.9</v>
      </c>
    </row>
    <row r="1174" spans="1:2" x14ac:dyDescent="0.3">
      <c r="A1174" s="5" t="s">
        <v>61</v>
      </c>
      <c r="B1174">
        <f>VLOOKUP(A1174,Table1[[Item Purchased]:[Subscription Status]],8,FALSE)</f>
        <v>2.6</v>
      </c>
    </row>
    <row r="1175" spans="1:2" x14ac:dyDescent="0.3">
      <c r="A1175" s="6" t="s">
        <v>105</v>
      </c>
      <c r="B1175">
        <f>VLOOKUP(A1175,Table1[[Item Purchased]:[Subscription Status]],8,FALSE)</f>
        <v>3.6</v>
      </c>
    </row>
    <row r="1176" spans="1:2" x14ac:dyDescent="0.3">
      <c r="A1176" s="5" t="s">
        <v>131</v>
      </c>
      <c r="B1176">
        <f>VLOOKUP(A1176,Table1[[Item Purchased]:[Subscription Status]],8,FALSE)</f>
        <v>4.7</v>
      </c>
    </row>
    <row r="1177" spans="1:2" x14ac:dyDescent="0.3">
      <c r="A1177" s="6" t="s">
        <v>132</v>
      </c>
      <c r="B1177">
        <f>VLOOKUP(A1177,Table1[[Item Purchased]:[Subscription Status]],8,FALSE)</f>
        <v>4.5999999999999996</v>
      </c>
    </row>
    <row r="1178" spans="1:2" x14ac:dyDescent="0.3">
      <c r="A1178" s="5" t="s">
        <v>80</v>
      </c>
      <c r="B1178">
        <f>VLOOKUP(A1178,Table1[[Item Purchased]:[Subscription Status]],8,FALSE)</f>
        <v>4.7</v>
      </c>
    </row>
    <row r="1179" spans="1:2" x14ac:dyDescent="0.3">
      <c r="A1179" s="6" t="s">
        <v>86</v>
      </c>
      <c r="B1179">
        <f>VLOOKUP(A1179,Table1[[Item Purchased]:[Subscription Status]],8,FALSE)</f>
        <v>2.8</v>
      </c>
    </row>
    <row r="1180" spans="1:2" x14ac:dyDescent="0.3">
      <c r="A1180" s="5" t="s">
        <v>80</v>
      </c>
      <c r="B1180">
        <f>VLOOKUP(A1180,Table1[[Item Purchased]:[Subscription Status]],8,FALSE)</f>
        <v>4.7</v>
      </c>
    </row>
    <row r="1181" spans="1:2" x14ac:dyDescent="0.3">
      <c r="A1181" s="6" t="s">
        <v>112</v>
      </c>
      <c r="B1181">
        <f>VLOOKUP(A1181,Table1[[Item Purchased]:[Subscription Status]],8,FALSE)</f>
        <v>4.5999999999999996</v>
      </c>
    </row>
    <row r="1182" spans="1:2" x14ac:dyDescent="0.3">
      <c r="A1182" s="5" t="s">
        <v>86</v>
      </c>
      <c r="B1182">
        <f>VLOOKUP(A1182,Table1[[Item Purchased]:[Subscription Status]],8,FALSE)</f>
        <v>2.8</v>
      </c>
    </row>
    <row r="1183" spans="1:2" x14ac:dyDescent="0.3">
      <c r="A1183" s="6" t="s">
        <v>58</v>
      </c>
      <c r="B1183">
        <f>VLOOKUP(A1183,Table1[[Item Purchased]:[Subscription Status]],8,FALSE)</f>
        <v>3.2</v>
      </c>
    </row>
    <row r="1184" spans="1:2" x14ac:dyDescent="0.3">
      <c r="A1184" s="5" t="s">
        <v>105</v>
      </c>
      <c r="B1184">
        <f>VLOOKUP(A1184,Table1[[Item Purchased]:[Subscription Status]],8,FALSE)</f>
        <v>3.6</v>
      </c>
    </row>
    <row r="1185" spans="1:2" x14ac:dyDescent="0.3">
      <c r="A1185" s="6" t="s">
        <v>94</v>
      </c>
      <c r="B1185">
        <f>VLOOKUP(A1185,Table1[[Item Purchased]:[Subscription Status]],8,FALSE)</f>
        <v>3.3</v>
      </c>
    </row>
    <row r="1186" spans="1:2" x14ac:dyDescent="0.3">
      <c r="A1186" s="5" t="s">
        <v>132</v>
      </c>
      <c r="B1186">
        <f>VLOOKUP(A1186,Table1[[Item Purchased]:[Subscription Status]],8,FALSE)</f>
        <v>4.5999999999999996</v>
      </c>
    </row>
    <row r="1187" spans="1:2" x14ac:dyDescent="0.3">
      <c r="A1187" s="6" t="s">
        <v>33</v>
      </c>
      <c r="B1187">
        <f>VLOOKUP(A1187,Table1[[Item Purchased]:[Subscription Status]],8,FALSE)</f>
        <v>3.1</v>
      </c>
    </row>
    <row r="1188" spans="1:2" x14ac:dyDescent="0.3">
      <c r="A1188" s="5" t="s">
        <v>33</v>
      </c>
      <c r="B1188">
        <f>VLOOKUP(A1188,Table1[[Item Purchased]:[Subscription Status]],8,FALSE)</f>
        <v>3.1</v>
      </c>
    </row>
    <row r="1189" spans="1:2" x14ac:dyDescent="0.3">
      <c r="A1189" s="6" t="s">
        <v>123</v>
      </c>
      <c r="B1189">
        <f>VLOOKUP(A1189,Table1[[Item Purchased]:[Subscription Status]],8,FALSE)</f>
        <v>4.5999999999999996</v>
      </c>
    </row>
    <row r="1190" spans="1:2" x14ac:dyDescent="0.3">
      <c r="A1190" s="5" t="s">
        <v>19</v>
      </c>
      <c r="B1190">
        <f>VLOOKUP(A1190,Table1[[Item Purchased]:[Subscription Status]],8,FALSE)</f>
        <v>3.1</v>
      </c>
    </row>
    <row r="1191" spans="1:2" x14ac:dyDescent="0.3">
      <c r="A1191" s="6" t="s">
        <v>54</v>
      </c>
      <c r="B1191">
        <f>VLOOKUP(A1191,Table1[[Item Purchased]:[Subscription Status]],8,FALSE)</f>
        <v>3.2</v>
      </c>
    </row>
    <row r="1192" spans="1:2" x14ac:dyDescent="0.3">
      <c r="A1192" s="5" t="s">
        <v>54</v>
      </c>
      <c r="B1192">
        <f>VLOOKUP(A1192,Table1[[Item Purchased]:[Subscription Status]],8,FALSE)</f>
        <v>3.2</v>
      </c>
    </row>
    <row r="1193" spans="1:2" x14ac:dyDescent="0.3">
      <c r="A1193" s="6" t="s">
        <v>112</v>
      </c>
      <c r="B1193">
        <f>VLOOKUP(A1193,Table1[[Item Purchased]:[Subscription Status]],8,FALSE)</f>
        <v>4.5999999999999996</v>
      </c>
    </row>
    <row r="1194" spans="1:2" x14ac:dyDescent="0.3">
      <c r="A1194" s="5" t="s">
        <v>61</v>
      </c>
      <c r="B1194">
        <f>VLOOKUP(A1194,Table1[[Item Purchased]:[Subscription Status]],8,FALSE)</f>
        <v>2.6</v>
      </c>
    </row>
    <row r="1195" spans="1:2" x14ac:dyDescent="0.3">
      <c r="A1195" s="6" t="s">
        <v>101</v>
      </c>
      <c r="B1195">
        <f>VLOOKUP(A1195,Table1[[Item Purchased]:[Subscription Status]],8,FALSE)</f>
        <v>2.9</v>
      </c>
    </row>
    <row r="1196" spans="1:2" x14ac:dyDescent="0.3">
      <c r="A1196" s="5" t="s">
        <v>103</v>
      </c>
      <c r="B1196">
        <f>VLOOKUP(A1196,Table1[[Item Purchased]:[Subscription Status]],8,FALSE)</f>
        <v>3.6</v>
      </c>
    </row>
    <row r="1197" spans="1:2" x14ac:dyDescent="0.3">
      <c r="A1197" s="6" t="s">
        <v>118</v>
      </c>
      <c r="B1197">
        <f>VLOOKUP(A1197,Table1[[Item Purchased]:[Subscription Status]],8,FALSE)</f>
        <v>4.5</v>
      </c>
    </row>
    <row r="1198" spans="1:2" x14ac:dyDescent="0.3">
      <c r="A1198" s="5" t="s">
        <v>132</v>
      </c>
      <c r="B1198">
        <f>VLOOKUP(A1198,Table1[[Item Purchased]:[Subscription Status]],8,FALSE)</f>
        <v>4.5999999999999996</v>
      </c>
    </row>
    <row r="1199" spans="1:2" x14ac:dyDescent="0.3">
      <c r="A1199" s="6" t="s">
        <v>49</v>
      </c>
      <c r="B1199">
        <f>VLOOKUP(A1199,Table1[[Item Purchased]:[Subscription Status]],8,FALSE)</f>
        <v>2.9</v>
      </c>
    </row>
    <row r="1200" spans="1:2" x14ac:dyDescent="0.3">
      <c r="A1200" s="5" t="s">
        <v>124</v>
      </c>
      <c r="B1200">
        <f>VLOOKUP(A1200,Table1[[Item Purchased]:[Subscription Status]],8,FALSE)</f>
        <v>2.9</v>
      </c>
    </row>
    <row r="1201" spans="1:2" x14ac:dyDescent="0.3">
      <c r="A1201" s="6" t="s">
        <v>40</v>
      </c>
      <c r="B1201">
        <f>VLOOKUP(A1201,Table1[[Item Purchased]:[Subscription Status]],8,FALSE)</f>
        <v>3.5</v>
      </c>
    </row>
    <row r="1202" spans="1:2" x14ac:dyDescent="0.3">
      <c r="A1202" s="5" t="s">
        <v>61</v>
      </c>
      <c r="B1202">
        <f>VLOOKUP(A1202,Table1[[Item Purchased]:[Subscription Status]],8,FALSE)</f>
        <v>2.6</v>
      </c>
    </row>
    <row r="1203" spans="1:2" x14ac:dyDescent="0.3">
      <c r="A1203" s="6" t="s">
        <v>70</v>
      </c>
      <c r="B1203">
        <f>VLOOKUP(A1203,Table1[[Item Purchased]:[Subscription Status]],8,FALSE)</f>
        <v>4.0999999999999996</v>
      </c>
    </row>
    <row r="1204" spans="1:2" x14ac:dyDescent="0.3">
      <c r="A1204" s="5" t="s">
        <v>118</v>
      </c>
      <c r="B1204">
        <f>VLOOKUP(A1204,Table1[[Item Purchased]:[Subscription Status]],8,FALSE)</f>
        <v>4.5</v>
      </c>
    </row>
    <row r="1205" spans="1:2" x14ac:dyDescent="0.3">
      <c r="A1205" s="6" t="s">
        <v>49</v>
      </c>
      <c r="B1205">
        <f>VLOOKUP(A1205,Table1[[Item Purchased]:[Subscription Status]],8,FALSE)</f>
        <v>2.9</v>
      </c>
    </row>
    <row r="1206" spans="1:2" x14ac:dyDescent="0.3">
      <c r="A1206" s="5" t="s">
        <v>132</v>
      </c>
      <c r="B1206">
        <f>VLOOKUP(A1206,Table1[[Item Purchased]:[Subscription Status]],8,FALSE)</f>
        <v>4.5999999999999996</v>
      </c>
    </row>
    <row r="1207" spans="1:2" x14ac:dyDescent="0.3">
      <c r="A1207" s="6" t="s">
        <v>65</v>
      </c>
      <c r="B1207">
        <f>VLOOKUP(A1207,Table1[[Item Purchased]:[Subscription Status]],8,FALSE)</f>
        <v>4.8</v>
      </c>
    </row>
    <row r="1208" spans="1:2" x14ac:dyDescent="0.3">
      <c r="A1208" s="5" t="s">
        <v>65</v>
      </c>
      <c r="B1208">
        <f>VLOOKUP(A1208,Table1[[Item Purchased]:[Subscription Status]],8,FALSE)</f>
        <v>4.8</v>
      </c>
    </row>
    <row r="1209" spans="1:2" x14ac:dyDescent="0.3">
      <c r="A1209" s="6" t="s">
        <v>136</v>
      </c>
      <c r="B1209">
        <f>VLOOKUP(A1209,Table1[[Item Purchased]:[Subscription Status]],8,FALSE)</f>
        <v>4.8</v>
      </c>
    </row>
    <row r="1210" spans="1:2" x14ac:dyDescent="0.3">
      <c r="A1210" s="5" t="s">
        <v>136</v>
      </c>
      <c r="B1210">
        <f>VLOOKUP(A1210,Table1[[Item Purchased]:[Subscription Status]],8,FALSE)</f>
        <v>4.8</v>
      </c>
    </row>
    <row r="1211" spans="1:2" x14ac:dyDescent="0.3">
      <c r="A1211" s="6" t="s">
        <v>94</v>
      </c>
      <c r="B1211">
        <f>VLOOKUP(A1211,Table1[[Item Purchased]:[Subscription Status]],8,FALSE)</f>
        <v>3.3</v>
      </c>
    </row>
    <row r="1212" spans="1:2" x14ac:dyDescent="0.3">
      <c r="A1212" s="5" t="s">
        <v>88</v>
      </c>
      <c r="B1212">
        <f>VLOOKUP(A1212,Table1[[Item Purchased]:[Subscription Status]],8,FALSE)</f>
        <v>4.0999999999999996</v>
      </c>
    </row>
    <row r="1213" spans="1:2" x14ac:dyDescent="0.3">
      <c r="A1213" s="6" t="s">
        <v>103</v>
      </c>
      <c r="B1213">
        <f>VLOOKUP(A1213,Table1[[Item Purchased]:[Subscription Status]],8,FALSE)</f>
        <v>3.6</v>
      </c>
    </row>
    <row r="1214" spans="1:2" x14ac:dyDescent="0.3">
      <c r="A1214" s="5" t="s">
        <v>70</v>
      </c>
      <c r="B1214">
        <f>VLOOKUP(A1214,Table1[[Item Purchased]:[Subscription Status]],8,FALSE)</f>
        <v>4.0999999999999996</v>
      </c>
    </row>
    <row r="1215" spans="1:2" x14ac:dyDescent="0.3">
      <c r="A1215" s="6" t="s">
        <v>65</v>
      </c>
      <c r="B1215">
        <f>VLOOKUP(A1215,Table1[[Item Purchased]:[Subscription Status]],8,FALSE)</f>
        <v>4.8</v>
      </c>
    </row>
    <row r="1216" spans="1:2" x14ac:dyDescent="0.3">
      <c r="A1216" s="5" t="s">
        <v>101</v>
      </c>
      <c r="B1216">
        <f>VLOOKUP(A1216,Table1[[Item Purchased]:[Subscription Status]],8,FALSE)</f>
        <v>2.9</v>
      </c>
    </row>
    <row r="1217" spans="1:2" x14ac:dyDescent="0.3">
      <c r="A1217" s="6" t="s">
        <v>19</v>
      </c>
      <c r="B1217">
        <f>VLOOKUP(A1217,Table1[[Item Purchased]:[Subscription Status]],8,FALSE)</f>
        <v>3.1</v>
      </c>
    </row>
    <row r="1218" spans="1:2" x14ac:dyDescent="0.3">
      <c r="A1218" s="5" t="s">
        <v>94</v>
      </c>
      <c r="B1218">
        <f>VLOOKUP(A1218,Table1[[Item Purchased]:[Subscription Status]],8,FALSE)</f>
        <v>3.3</v>
      </c>
    </row>
    <row r="1219" spans="1:2" x14ac:dyDescent="0.3">
      <c r="A1219" s="6" t="s">
        <v>136</v>
      </c>
      <c r="B1219">
        <f>VLOOKUP(A1219,Table1[[Item Purchased]:[Subscription Status]],8,FALSE)</f>
        <v>4.8</v>
      </c>
    </row>
    <row r="1220" spans="1:2" x14ac:dyDescent="0.3">
      <c r="A1220" s="5" t="s">
        <v>136</v>
      </c>
      <c r="B1220">
        <f>VLOOKUP(A1220,Table1[[Item Purchased]:[Subscription Status]],8,FALSE)</f>
        <v>4.8</v>
      </c>
    </row>
    <row r="1221" spans="1:2" x14ac:dyDescent="0.3">
      <c r="A1221" s="6" t="s">
        <v>29</v>
      </c>
      <c r="B1221">
        <f>VLOOKUP(A1221,Table1[[Item Purchased]:[Subscription Status]],8,FALSE)</f>
        <v>3.1</v>
      </c>
    </row>
    <row r="1222" spans="1:2" x14ac:dyDescent="0.3">
      <c r="A1222" s="5" t="s">
        <v>142</v>
      </c>
      <c r="B1222">
        <f>VLOOKUP(A1222,Table1[[Item Purchased]:[Subscription Status]],8,FALSE)</f>
        <v>4.5</v>
      </c>
    </row>
    <row r="1223" spans="1:2" x14ac:dyDescent="0.3">
      <c r="A1223" s="6" t="s">
        <v>124</v>
      </c>
      <c r="B1223">
        <f>VLOOKUP(A1223,Table1[[Item Purchased]:[Subscription Status]],8,FALSE)</f>
        <v>2.9</v>
      </c>
    </row>
    <row r="1224" spans="1:2" x14ac:dyDescent="0.3">
      <c r="A1224" s="5" t="s">
        <v>33</v>
      </c>
      <c r="B1224">
        <f>VLOOKUP(A1224,Table1[[Item Purchased]:[Subscription Status]],8,FALSE)</f>
        <v>3.1</v>
      </c>
    </row>
    <row r="1225" spans="1:2" x14ac:dyDescent="0.3">
      <c r="A1225" s="6" t="s">
        <v>94</v>
      </c>
      <c r="B1225">
        <f>VLOOKUP(A1225,Table1[[Item Purchased]:[Subscription Status]],8,FALSE)</f>
        <v>3.3</v>
      </c>
    </row>
    <row r="1226" spans="1:2" x14ac:dyDescent="0.3">
      <c r="A1226" s="5" t="s">
        <v>58</v>
      </c>
      <c r="B1226">
        <f>VLOOKUP(A1226,Table1[[Item Purchased]:[Subscription Status]],8,FALSE)</f>
        <v>3.2</v>
      </c>
    </row>
    <row r="1227" spans="1:2" x14ac:dyDescent="0.3">
      <c r="A1227" s="6" t="s">
        <v>142</v>
      </c>
      <c r="B1227">
        <f>VLOOKUP(A1227,Table1[[Item Purchased]:[Subscription Status]],8,FALSE)</f>
        <v>4.5</v>
      </c>
    </row>
    <row r="1228" spans="1:2" x14ac:dyDescent="0.3">
      <c r="A1228" s="5" t="s">
        <v>40</v>
      </c>
      <c r="B1228">
        <f>VLOOKUP(A1228,Table1[[Item Purchased]:[Subscription Status]],8,FALSE)</f>
        <v>3.5</v>
      </c>
    </row>
    <row r="1229" spans="1:2" x14ac:dyDescent="0.3">
      <c r="A1229" s="6" t="s">
        <v>19</v>
      </c>
      <c r="B1229">
        <f>VLOOKUP(A1229,Table1[[Item Purchased]:[Subscription Status]],8,FALSE)</f>
        <v>3.1</v>
      </c>
    </row>
    <row r="1230" spans="1:2" x14ac:dyDescent="0.3">
      <c r="A1230" s="5" t="s">
        <v>101</v>
      </c>
      <c r="B1230">
        <f>VLOOKUP(A1230,Table1[[Item Purchased]:[Subscription Status]],8,FALSE)</f>
        <v>2.9</v>
      </c>
    </row>
    <row r="1231" spans="1:2" x14ac:dyDescent="0.3">
      <c r="A1231" s="6" t="s">
        <v>105</v>
      </c>
      <c r="B1231">
        <f>VLOOKUP(A1231,Table1[[Item Purchased]:[Subscription Status]],8,FALSE)</f>
        <v>3.6</v>
      </c>
    </row>
    <row r="1232" spans="1:2" x14ac:dyDescent="0.3">
      <c r="A1232" s="5" t="s">
        <v>123</v>
      </c>
      <c r="B1232">
        <f>VLOOKUP(A1232,Table1[[Item Purchased]:[Subscription Status]],8,FALSE)</f>
        <v>4.5999999999999996</v>
      </c>
    </row>
    <row r="1233" spans="1:2" x14ac:dyDescent="0.3">
      <c r="A1233" s="6" t="s">
        <v>124</v>
      </c>
      <c r="B1233">
        <f>VLOOKUP(A1233,Table1[[Item Purchased]:[Subscription Status]],8,FALSE)</f>
        <v>2.9</v>
      </c>
    </row>
    <row r="1234" spans="1:2" x14ac:dyDescent="0.3">
      <c r="A1234" s="5" t="s">
        <v>65</v>
      </c>
      <c r="B1234">
        <f>VLOOKUP(A1234,Table1[[Item Purchased]:[Subscription Status]],8,FALSE)</f>
        <v>4.8</v>
      </c>
    </row>
    <row r="1235" spans="1:2" x14ac:dyDescent="0.3">
      <c r="A1235" s="6" t="s">
        <v>94</v>
      </c>
      <c r="B1235">
        <f>VLOOKUP(A1235,Table1[[Item Purchased]:[Subscription Status]],8,FALSE)</f>
        <v>3.3</v>
      </c>
    </row>
    <row r="1236" spans="1:2" x14ac:dyDescent="0.3">
      <c r="A1236" s="5" t="s">
        <v>142</v>
      </c>
      <c r="B1236">
        <f>VLOOKUP(A1236,Table1[[Item Purchased]:[Subscription Status]],8,FALSE)</f>
        <v>4.5</v>
      </c>
    </row>
    <row r="1237" spans="1:2" x14ac:dyDescent="0.3">
      <c r="A1237" s="6" t="s">
        <v>29</v>
      </c>
      <c r="B1237">
        <f>VLOOKUP(A1237,Table1[[Item Purchased]:[Subscription Status]],8,FALSE)</f>
        <v>3.1</v>
      </c>
    </row>
    <row r="1238" spans="1:2" x14ac:dyDescent="0.3">
      <c r="A1238" s="5" t="s">
        <v>123</v>
      </c>
      <c r="B1238">
        <f>VLOOKUP(A1238,Table1[[Item Purchased]:[Subscription Status]],8,FALSE)</f>
        <v>4.5999999999999996</v>
      </c>
    </row>
    <row r="1239" spans="1:2" x14ac:dyDescent="0.3">
      <c r="A1239" s="6" t="s">
        <v>80</v>
      </c>
      <c r="B1239">
        <f>VLOOKUP(A1239,Table1[[Item Purchased]:[Subscription Status]],8,FALSE)</f>
        <v>4.7</v>
      </c>
    </row>
    <row r="1240" spans="1:2" x14ac:dyDescent="0.3">
      <c r="A1240" s="5" t="s">
        <v>94</v>
      </c>
      <c r="B1240">
        <f>VLOOKUP(A1240,Table1[[Item Purchased]:[Subscription Status]],8,FALSE)</f>
        <v>3.3</v>
      </c>
    </row>
    <row r="1241" spans="1:2" x14ac:dyDescent="0.3">
      <c r="A1241" s="6" t="s">
        <v>61</v>
      </c>
      <c r="B1241">
        <f>VLOOKUP(A1241,Table1[[Item Purchased]:[Subscription Status]],8,FALSE)</f>
        <v>2.6</v>
      </c>
    </row>
    <row r="1242" spans="1:2" x14ac:dyDescent="0.3">
      <c r="A1242" s="5" t="s">
        <v>118</v>
      </c>
      <c r="B1242">
        <f>VLOOKUP(A1242,Table1[[Item Purchased]:[Subscription Status]],8,FALSE)</f>
        <v>4.5</v>
      </c>
    </row>
    <row r="1243" spans="1:2" x14ac:dyDescent="0.3">
      <c r="A1243" s="6" t="s">
        <v>103</v>
      </c>
      <c r="B1243">
        <f>VLOOKUP(A1243,Table1[[Item Purchased]:[Subscription Status]],8,FALSE)</f>
        <v>3.6</v>
      </c>
    </row>
    <row r="1244" spans="1:2" x14ac:dyDescent="0.3">
      <c r="A1244" s="5" t="s">
        <v>124</v>
      </c>
      <c r="B1244">
        <f>VLOOKUP(A1244,Table1[[Item Purchased]:[Subscription Status]],8,FALSE)</f>
        <v>2.9</v>
      </c>
    </row>
    <row r="1245" spans="1:2" x14ac:dyDescent="0.3">
      <c r="A1245" s="6" t="s">
        <v>19</v>
      </c>
      <c r="B1245">
        <f>VLOOKUP(A1245,Table1[[Item Purchased]:[Subscription Status]],8,FALSE)</f>
        <v>3.1</v>
      </c>
    </row>
    <row r="1246" spans="1:2" x14ac:dyDescent="0.3">
      <c r="A1246" s="5" t="s">
        <v>124</v>
      </c>
      <c r="B1246">
        <f>VLOOKUP(A1246,Table1[[Item Purchased]:[Subscription Status]],8,FALSE)</f>
        <v>2.9</v>
      </c>
    </row>
    <row r="1247" spans="1:2" x14ac:dyDescent="0.3">
      <c r="A1247" s="6" t="s">
        <v>80</v>
      </c>
      <c r="B1247">
        <f>VLOOKUP(A1247,Table1[[Item Purchased]:[Subscription Status]],8,FALSE)</f>
        <v>4.7</v>
      </c>
    </row>
    <row r="1248" spans="1:2" x14ac:dyDescent="0.3">
      <c r="A1248" s="5" t="s">
        <v>103</v>
      </c>
      <c r="B1248">
        <f>VLOOKUP(A1248,Table1[[Item Purchased]:[Subscription Status]],8,FALSE)</f>
        <v>3.6</v>
      </c>
    </row>
    <row r="1249" spans="1:2" x14ac:dyDescent="0.3">
      <c r="A1249" s="6" t="s">
        <v>112</v>
      </c>
      <c r="B1249">
        <f>VLOOKUP(A1249,Table1[[Item Purchased]:[Subscription Status]],8,FALSE)</f>
        <v>4.5999999999999996</v>
      </c>
    </row>
    <row r="1250" spans="1:2" x14ac:dyDescent="0.3">
      <c r="A1250" s="5" t="s">
        <v>123</v>
      </c>
      <c r="B1250">
        <f>VLOOKUP(A1250,Table1[[Item Purchased]:[Subscription Status]],8,FALSE)</f>
        <v>4.5999999999999996</v>
      </c>
    </row>
    <row r="1251" spans="1:2" x14ac:dyDescent="0.3">
      <c r="A1251" s="6" t="s">
        <v>136</v>
      </c>
      <c r="B1251">
        <f>VLOOKUP(A1251,Table1[[Item Purchased]:[Subscription Status]],8,FALSE)</f>
        <v>4.8</v>
      </c>
    </row>
    <row r="1252" spans="1:2" x14ac:dyDescent="0.3">
      <c r="A1252" s="5" t="s">
        <v>33</v>
      </c>
      <c r="B1252">
        <f>VLOOKUP(A1252,Table1[[Item Purchased]:[Subscription Status]],8,FALSE)</f>
        <v>3.1</v>
      </c>
    </row>
    <row r="1253" spans="1:2" x14ac:dyDescent="0.3">
      <c r="A1253" s="6" t="s">
        <v>58</v>
      </c>
      <c r="B1253">
        <f>VLOOKUP(A1253,Table1[[Item Purchased]:[Subscription Status]],8,FALSE)</f>
        <v>3.2</v>
      </c>
    </row>
    <row r="1254" spans="1:2" x14ac:dyDescent="0.3">
      <c r="A1254" s="5" t="s">
        <v>40</v>
      </c>
      <c r="B1254">
        <f>VLOOKUP(A1254,Table1[[Item Purchased]:[Subscription Status]],8,FALSE)</f>
        <v>3.5</v>
      </c>
    </row>
    <row r="1255" spans="1:2" x14ac:dyDescent="0.3">
      <c r="A1255" s="6" t="s">
        <v>40</v>
      </c>
      <c r="B1255">
        <f>VLOOKUP(A1255,Table1[[Item Purchased]:[Subscription Status]],8,FALSE)</f>
        <v>3.5</v>
      </c>
    </row>
    <row r="1256" spans="1:2" x14ac:dyDescent="0.3">
      <c r="A1256" s="5" t="s">
        <v>49</v>
      </c>
      <c r="B1256">
        <f>VLOOKUP(A1256,Table1[[Item Purchased]:[Subscription Status]],8,FALSE)</f>
        <v>2.9</v>
      </c>
    </row>
    <row r="1257" spans="1:2" x14ac:dyDescent="0.3">
      <c r="A1257" s="6" t="s">
        <v>123</v>
      </c>
      <c r="B1257">
        <f>VLOOKUP(A1257,Table1[[Item Purchased]:[Subscription Status]],8,FALSE)</f>
        <v>4.5999999999999996</v>
      </c>
    </row>
    <row r="1258" spans="1:2" x14ac:dyDescent="0.3">
      <c r="A1258" s="5" t="s">
        <v>61</v>
      </c>
      <c r="B1258">
        <f>VLOOKUP(A1258,Table1[[Item Purchased]:[Subscription Status]],8,FALSE)</f>
        <v>2.6</v>
      </c>
    </row>
    <row r="1259" spans="1:2" x14ac:dyDescent="0.3">
      <c r="A1259" s="6" t="s">
        <v>80</v>
      </c>
      <c r="B1259">
        <f>VLOOKUP(A1259,Table1[[Item Purchased]:[Subscription Status]],8,FALSE)</f>
        <v>4.7</v>
      </c>
    </row>
    <row r="1260" spans="1:2" x14ac:dyDescent="0.3">
      <c r="A1260" s="5" t="s">
        <v>136</v>
      </c>
      <c r="B1260">
        <f>VLOOKUP(A1260,Table1[[Item Purchased]:[Subscription Status]],8,FALSE)</f>
        <v>4.8</v>
      </c>
    </row>
    <row r="1261" spans="1:2" x14ac:dyDescent="0.3">
      <c r="A1261" s="6" t="s">
        <v>86</v>
      </c>
      <c r="B1261">
        <f>VLOOKUP(A1261,Table1[[Item Purchased]:[Subscription Status]],8,FALSE)</f>
        <v>2.8</v>
      </c>
    </row>
    <row r="1262" spans="1:2" x14ac:dyDescent="0.3">
      <c r="A1262" s="5" t="s">
        <v>54</v>
      </c>
      <c r="B1262">
        <f>VLOOKUP(A1262,Table1[[Item Purchased]:[Subscription Status]],8,FALSE)</f>
        <v>3.2</v>
      </c>
    </row>
    <row r="1263" spans="1:2" x14ac:dyDescent="0.3">
      <c r="A1263" s="6" t="s">
        <v>54</v>
      </c>
      <c r="B1263">
        <f>VLOOKUP(A1263,Table1[[Item Purchased]:[Subscription Status]],8,FALSE)</f>
        <v>3.2</v>
      </c>
    </row>
    <row r="1264" spans="1:2" x14ac:dyDescent="0.3">
      <c r="A1264" s="5" t="s">
        <v>136</v>
      </c>
      <c r="B1264">
        <f>VLOOKUP(A1264,Table1[[Item Purchased]:[Subscription Status]],8,FALSE)</f>
        <v>4.8</v>
      </c>
    </row>
    <row r="1265" spans="1:2" x14ac:dyDescent="0.3">
      <c r="A1265" s="6" t="s">
        <v>103</v>
      </c>
      <c r="B1265">
        <f>VLOOKUP(A1265,Table1[[Item Purchased]:[Subscription Status]],8,FALSE)</f>
        <v>3.6</v>
      </c>
    </row>
    <row r="1266" spans="1:2" x14ac:dyDescent="0.3">
      <c r="A1266" s="5" t="s">
        <v>29</v>
      </c>
      <c r="B1266">
        <f>VLOOKUP(A1266,Table1[[Item Purchased]:[Subscription Status]],8,FALSE)</f>
        <v>3.1</v>
      </c>
    </row>
    <row r="1267" spans="1:2" x14ac:dyDescent="0.3">
      <c r="A1267" s="6" t="s">
        <v>54</v>
      </c>
      <c r="B1267">
        <f>VLOOKUP(A1267,Table1[[Item Purchased]:[Subscription Status]],8,FALSE)</f>
        <v>3.2</v>
      </c>
    </row>
    <row r="1268" spans="1:2" x14ac:dyDescent="0.3">
      <c r="A1268" s="5" t="s">
        <v>19</v>
      </c>
      <c r="B1268">
        <f>VLOOKUP(A1268,Table1[[Item Purchased]:[Subscription Status]],8,FALSE)</f>
        <v>3.1</v>
      </c>
    </row>
    <row r="1269" spans="1:2" x14ac:dyDescent="0.3">
      <c r="A1269" s="6" t="s">
        <v>112</v>
      </c>
      <c r="B1269">
        <f>VLOOKUP(A1269,Table1[[Item Purchased]:[Subscription Status]],8,FALSE)</f>
        <v>4.5999999999999996</v>
      </c>
    </row>
    <row r="1270" spans="1:2" x14ac:dyDescent="0.3">
      <c r="A1270" s="5" t="s">
        <v>101</v>
      </c>
      <c r="B1270">
        <f>VLOOKUP(A1270,Table1[[Item Purchased]:[Subscription Status]],8,FALSE)</f>
        <v>2.9</v>
      </c>
    </row>
    <row r="1271" spans="1:2" x14ac:dyDescent="0.3">
      <c r="A1271" s="6" t="s">
        <v>105</v>
      </c>
      <c r="B1271">
        <f>VLOOKUP(A1271,Table1[[Item Purchased]:[Subscription Status]],8,FALSE)</f>
        <v>3.6</v>
      </c>
    </row>
    <row r="1272" spans="1:2" x14ac:dyDescent="0.3">
      <c r="A1272" s="5" t="s">
        <v>103</v>
      </c>
      <c r="B1272">
        <f>VLOOKUP(A1272,Table1[[Item Purchased]:[Subscription Status]],8,FALSE)</f>
        <v>3.6</v>
      </c>
    </row>
    <row r="1273" spans="1:2" x14ac:dyDescent="0.3">
      <c r="A1273" s="6" t="s">
        <v>105</v>
      </c>
      <c r="B1273">
        <f>VLOOKUP(A1273,Table1[[Item Purchased]:[Subscription Status]],8,FALSE)</f>
        <v>3.6</v>
      </c>
    </row>
    <row r="1274" spans="1:2" x14ac:dyDescent="0.3">
      <c r="A1274" s="5" t="s">
        <v>40</v>
      </c>
      <c r="B1274">
        <f>VLOOKUP(A1274,Table1[[Item Purchased]:[Subscription Status]],8,FALSE)</f>
        <v>3.5</v>
      </c>
    </row>
    <row r="1275" spans="1:2" x14ac:dyDescent="0.3">
      <c r="A1275" s="6" t="s">
        <v>33</v>
      </c>
      <c r="B1275">
        <f>VLOOKUP(A1275,Table1[[Item Purchased]:[Subscription Status]],8,FALSE)</f>
        <v>3.1</v>
      </c>
    </row>
    <row r="1276" spans="1:2" x14ac:dyDescent="0.3">
      <c r="A1276" s="5" t="s">
        <v>123</v>
      </c>
      <c r="B1276">
        <f>VLOOKUP(A1276,Table1[[Item Purchased]:[Subscription Status]],8,FALSE)</f>
        <v>4.5999999999999996</v>
      </c>
    </row>
    <row r="1277" spans="1:2" x14ac:dyDescent="0.3">
      <c r="A1277" s="6" t="s">
        <v>29</v>
      </c>
      <c r="B1277">
        <f>VLOOKUP(A1277,Table1[[Item Purchased]:[Subscription Status]],8,FALSE)</f>
        <v>3.1</v>
      </c>
    </row>
    <row r="1278" spans="1:2" x14ac:dyDescent="0.3">
      <c r="A1278" s="5" t="s">
        <v>136</v>
      </c>
      <c r="B1278">
        <f>VLOOKUP(A1278,Table1[[Item Purchased]:[Subscription Status]],8,FALSE)</f>
        <v>4.8</v>
      </c>
    </row>
    <row r="1279" spans="1:2" x14ac:dyDescent="0.3">
      <c r="A1279" s="6" t="s">
        <v>19</v>
      </c>
      <c r="B1279">
        <f>VLOOKUP(A1279,Table1[[Item Purchased]:[Subscription Status]],8,FALSE)</f>
        <v>3.1</v>
      </c>
    </row>
    <row r="1280" spans="1:2" x14ac:dyDescent="0.3">
      <c r="A1280" s="5" t="s">
        <v>58</v>
      </c>
      <c r="B1280">
        <f>VLOOKUP(A1280,Table1[[Item Purchased]:[Subscription Status]],8,FALSE)</f>
        <v>3.2</v>
      </c>
    </row>
    <row r="1281" spans="1:2" x14ac:dyDescent="0.3">
      <c r="A1281" s="6" t="s">
        <v>103</v>
      </c>
      <c r="B1281">
        <f>VLOOKUP(A1281,Table1[[Item Purchased]:[Subscription Status]],8,FALSE)</f>
        <v>3.6</v>
      </c>
    </row>
    <row r="1282" spans="1:2" x14ac:dyDescent="0.3">
      <c r="A1282" s="5" t="s">
        <v>94</v>
      </c>
      <c r="B1282">
        <f>VLOOKUP(A1282,Table1[[Item Purchased]:[Subscription Status]],8,FALSE)</f>
        <v>3.3</v>
      </c>
    </row>
    <row r="1283" spans="1:2" x14ac:dyDescent="0.3">
      <c r="A1283" s="6" t="s">
        <v>132</v>
      </c>
      <c r="B1283">
        <f>VLOOKUP(A1283,Table1[[Item Purchased]:[Subscription Status]],8,FALSE)</f>
        <v>4.5999999999999996</v>
      </c>
    </row>
    <row r="1284" spans="1:2" x14ac:dyDescent="0.3">
      <c r="A1284" s="5" t="s">
        <v>54</v>
      </c>
      <c r="B1284">
        <f>VLOOKUP(A1284,Table1[[Item Purchased]:[Subscription Status]],8,FALSE)</f>
        <v>3.2</v>
      </c>
    </row>
    <row r="1285" spans="1:2" x14ac:dyDescent="0.3">
      <c r="A1285" s="6" t="s">
        <v>54</v>
      </c>
      <c r="B1285">
        <f>VLOOKUP(A1285,Table1[[Item Purchased]:[Subscription Status]],8,FALSE)</f>
        <v>3.2</v>
      </c>
    </row>
    <row r="1286" spans="1:2" x14ac:dyDescent="0.3">
      <c r="A1286" s="5" t="s">
        <v>80</v>
      </c>
      <c r="B1286">
        <f>VLOOKUP(A1286,Table1[[Item Purchased]:[Subscription Status]],8,FALSE)</f>
        <v>4.7</v>
      </c>
    </row>
    <row r="1287" spans="1:2" x14ac:dyDescent="0.3">
      <c r="A1287" s="6" t="s">
        <v>142</v>
      </c>
      <c r="B1287">
        <f>VLOOKUP(A1287,Table1[[Item Purchased]:[Subscription Status]],8,FALSE)</f>
        <v>4.5</v>
      </c>
    </row>
    <row r="1288" spans="1:2" x14ac:dyDescent="0.3">
      <c r="A1288" s="5" t="s">
        <v>142</v>
      </c>
      <c r="B1288">
        <f>VLOOKUP(A1288,Table1[[Item Purchased]:[Subscription Status]],8,FALSE)</f>
        <v>4.5</v>
      </c>
    </row>
    <row r="1289" spans="1:2" x14ac:dyDescent="0.3">
      <c r="A1289" s="6" t="s">
        <v>33</v>
      </c>
      <c r="B1289">
        <f>VLOOKUP(A1289,Table1[[Item Purchased]:[Subscription Status]],8,FALSE)</f>
        <v>3.1</v>
      </c>
    </row>
    <row r="1290" spans="1:2" x14ac:dyDescent="0.3">
      <c r="A1290" s="5" t="s">
        <v>132</v>
      </c>
      <c r="B1290">
        <f>VLOOKUP(A1290,Table1[[Item Purchased]:[Subscription Status]],8,FALSE)</f>
        <v>4.5999999999999996</v>
      </c>
    </row>
    <row r="1291" spans="1:2" x14ac:dyDescent="0.3">
      <c r="A1291" s="6" t="s">
        <v>101</v>
      </c>
      <c r="B1291">
        <f>VLOOKUP(A1291,Table1[[Item Purchased]:[Subscription Status]],8,FALSE)</f>
        <v>2.9</v>
      </c>
    </row>
    <row r="1292" spans="1:2" x14ac:dyDescent="0.3">
      <c r="A1292" s="5" t="s">
        <v>86</v>
      </c>
      <c r="B1292">
        <f>VLOOKUP(A1292,Table1[[Item Purchased]:[Subscription Status]],8,FALSE)</f>
        <v>2.8</v>
      </c>
    </row>
    <row r="1293" spans="1:2" x14ac:dyDescent="0.3">
      <c r="A1293" s="6" t="s">
        <v>40</v>
      </c>
      <c r="B1293">
        <f>VLOOKUP(A1293,Table1[[Item Purchased]:[Subscription Status]],8,FALSE)</f>
        <v>3.5</v>
      </c>
    </row>
    <row r="1294" spans="1:2" x14ac:dyDescent="0.3">
      <c r="A1294" s="5" t="s">
        <v>132</v>
      </c>
      <c r="B1294">
        <f>VLOOKUP(A1294,Table1[[Item Purchased]:[Subscription Status]],8,FALSE)</f>
        <v>4.5999999999999996</v>
      </c>
    </row>
    <row r="1295" spans="1:2" x14ac:dyDescent="0.3">
      <c r="A1295" s="6" t="s">
        <v>29</v>
      </c>
      <c r="B1295">
        <f>VLOOKUP(A1295,Table1[[Item Purchased]:[Subscription Status]],8,FALSE)</f>
        <v>3.1</v>
      </c>
    </row>
    <row r="1296" spans="1:2" x14ac:dyDescent="0.3">
      <c r="A1296" s="5" t="s">
        <v>54</v>
      </c>
      <c r="B1296">
        <f>VLOOKUP(A1296,Table1[[Item Purchased]:[Subscription Status]],8,FALSE)</f>
        <v>3.2</v>
      </c>
    </row>
    <row r="1297" spans="1:2" x14ac:dyDescent="0.3">
      <c r="A1297" s="6" t="s">
        <v>49</v>
      </c>
      <c r="B1297">
        <f>VLOOKUP(A1297,Table1[[Item Purchased]:[Subscription Status]],8,FALSE)</f>
        <v>2.9</v>
      </c>
    </row>
    <row r="1298" spans="1:2" x14ac:dyDescent="0.3">
      <c r="A1298" s="5" t="s">
        <v>33</v>
      </c>
      <c r="B1298">
        <f>VLOOKUP(A1298,Table1[[Item Purchased]:[Subscription Status]],8,FALSE)</f>
        <v>3.1</v>
      </c>
    </row>
    <row r="1299" spans="1:2" x14ac:dyDescent="0.3">
      <c r="A1299" s="6" t="s">
        <v>40</v>
      </c>
      <c r="B1299">
        <f>VLOOKUP(A1299,Table1[[Item Purchased]:[Subscription Status]],8,FALSE)</f>
        <v>3.5</v>
      </c>
    </row>
    <row r="1300" spans="1:2" x14ac:dyDescent="0.3">
      <c r="A1300" s="5" t="s">
        <v>94</v>
      </c>
      <c r="B1300">
        <f>VLOOKUP(A1300,Table1[[Item Purchased]:[Subscription Status]],8,FALSE)</f>
        <v>3.3</v>
      </c>
    </row>
    <row r="1301" spans="1:2" x14ac:dyDescent="0.3">
      <c r="A1301" s="6" t="s">
        <v>132</v>
      </c>
      <c r="B1301">
        <f>VLOOKUP(A1301,Table1[[Item Purchased]:[Subscription Status]],8,FALSE)</f>
        <v>4.5999999999999996</v>
      </c>
    </row>
    <row r="1302" spans="1:2" x14ac:dyDescent="0.3">
      <c r="A1302" s="5" t="s">
        <v>112</v>
      </c>
      <c r="B1302">
        <f>VLOOKUP(A1302,Table1[[Item Purchased]:[Subscription Status]],8,FALSE)</f>
        <v>4.5999999999999996</v>
      </c>
    </row>
    <row r="1303" spans="1:2" x14ac:dyDescent="0.3">
      <c r="A1303" s="6" t="s">
        <v>54</v>
      </c>
      <c r="B1303">
        <f>VLOOKUP(A1303,Table1[[Item Purchased]:[Subscription Status]],8,FALSE)</f>
        <v>3.2</v>
      </c>
    </row>
    <row r="1304" spans="1:2" x14ac:dyDescent="0.3">
      <c r="A1304" s="5" t="s">
        <v>49</v>
      </c>
      <c r="B1304">
        <f>VLOOKUP(A1304,Table1[[Item Purchased]:[Subscription Status]],8,FALSE)</f>
        <v>2.9</v>
      </c>
    </row>
    <row r="1305" spans="1:2" x14ac:dyDescent="0.3">
      <c r="A1305" s="6" t="s">
        <v>19</v>
      </c>
      <c r="B1305">
        <f>VLOOKUP(A1305,Table1[[Item Purchased]:[Subscription Status]],8,FALSE)</f>
        <v>3.1</v>
      </c>
    </row>
    <row r="1306" spans="1:2" x14ac:dyDescent="0.3">
      <c r="A1306" s="5" t="s">
        <v>131</v>
      </c>
      <c r="B1306">
        <f>VLOOKUP(A1306,Table1[[Item Purchased]:[Subscription Status]],8,FALSE)</f>
        <v>4.7</v>
      </c>
    </row>
    <row r="1307" spans="1:2" x14ac:dyDescent="0.3">
      <c r="A1307" s="6" t="s">
        <v>94</v>
      </c>
      <c r="B1307">
        <f>VLOOKUP(A1307,Table1[[Item Purchased]:[Subscription Status]],8,FALSE)</f>
        <v>3.3</v>
      </c>
    </row>
    <row r="1308" spans="1:2" x14ac:dyDescent="0.3">
      <c r="A1308" s="5" t="s">
        <v>29</v>
      </c>
      <c r="B1308">
        <f>VLOOKUP(A1308,Table1[[Item Purchased]:[Subscription Status]],8,FALSE)</f>
        <v>3.1</v>
      </c>
    </row>
    <row r="1309" spans="1:2" x14ac:dyDescent="0.3">
      <c r="A1309" s="6" t="s">
        <v>61</v>
      </c>
      <c r="B1309">
        <f>VLOOKUP(A1309,Table1[[Item Purchased]:[Subscription Status]],8,FALSE)</f>
        <v>2.6</v>
      </c>
    </row>
    <row r="1310" spans="1:2" x14ac:dyDescent="0.3">
      <c r="A1310" s="5" t="s">
        <v>80</v>
      </c>
      <c r="B1310">
        <f>VLOOKUP(A1310,Table1[[Item Purchased]:[Subscription Status]],8,FALSE)</f>
        <v>4.7</v>
      </c>
    </row>
    <row r="1311" spans="1:2" x14ac:dyDescent="0.3">
      <c r="A1311" s="6" t="s">
        <v>19</v>
      </c>
      <c r="B1311">
        <f>VLOOKUP(A1311,Table1[[Item Purchased]:[Subscription Status]],8,FALSE)</f>
        <v>3.1</v>
      </c>
    </row>
    <row r="1312" spans="1:2" x14ac:dyDescent="0.3">
      <c r="A1312" s="5" t="s">
        <v>103</v>
      </c>
      <c r="B1312">
        <f>VLOOKUP(A1312,Table1[[Item Purchased]:[Subscription Status]],8,FALSE)</f>
        <v>3.6</v>
      </c>
    </row>
    <row r="1313" spans="1:2" x14ac:dyDescent="0.3">
      <c r="A1313" s="6" t="s">
        <v>70</v>
      </c>
      <c r="B1313">
        <f>VLOOKUP(A1313,Table1[[Item Purchased]:[Subscription Status]],8,FALSE)</f>
        <v>4.0999999999999996</v>
      </c>
    </row>
    <row r="1314" spans="1:2" x14ac:dyDescent="0.3">
      <c r="A1314" s="5" t="s">
        <v>112</v>
      </c>
      <c r="B1314">
        <f>VLOOKUP(A1314,Table1[[Item Purchased]:[Subscription Status]],8,FALSE)</f>
        <v>4.5999999999999996</v>
      </c>
    </row>
    <row r="1315" spans="1:2" x14ac:dyDescent="0.3">
      <c r="A1315" s="6" t="s">
        <v>70</v>
      </c>
      <c r="B1315">
        <f>VLOOKUP(A1315,Table1[[Item Purchased]:[Subscription Status]],8,FALSE)</f>
        <v>4.0999999999999996</v>
      </c>
    </row>
    <row r="1316" spans="1:2" x14ac:dyDescent="0.3">
      <c r="A1316" s="5" t="s">
        <v>136</v>
      </c>
      <c r="B1316">
        <f>VLOOKUP(A1316,Table1[[Item Purchased]:[Subscription Status]],8,FALSE)</f>
        <v>4.8</v>
      </c>
    </row>
    <row r="1317" spans="1:2" x14ac:dyDescent="0.3">
      <c r="A1317" s="6" t="s">
        <v>58</v>
      </c>
      <c r="B1317">
        <f>VLOOKUP(A1317,Table1[[Item Purchased]:[Subscription Status]],8,FALSE)</f>
        <v>3.2</v>
      </c>
    </row>
    <row r="1318" spans="1:2" x14ac:dyDescent="0.3">
      <c r="A1318" s="5" t="s">
        <v>132</v>
      </c>
      <c r="B1318">
        <f>VLOOKUP(A1318,Table1[[Item Purchased]:[Subscription Status]],8,FALSE)</f>
        <v>4.5999999999999996</v>
      </c>
    </row>
    <row r="1319" spans="1:2" x14ac:dyDescent="0.3">
      <c r="A1319" s="6" t="s">
        <v>94</v>
      </c>
      <c r="B1319">
        <f>VLOOKUP(A1319,Table1[[Item Purchased]:[Subscription Status]],8,FALSE)</f>
        <v>3.3</v>
      </c>
    </row>
    <row r="1320" spans="1:2" x14ac:dyDescent="0.3">
      <c r="A1320" s="5" t="s">
        <v>58</v>
      </c>
      <c r="B1320">
        <f>VLOOKUP(A1320,Table1[[Item Purchased]:[Subscription Status]],8,FALSE)</f>
        <v>3.2</v>
      </c>
    </row>
    <row r="1321" spans="1:2" x14ac:dyDescent="0.3">
      <c r="A1321" s="6" t="s">
        <v>88</v>
      </c>
      <c r="B1321">
        <f>VLOOKUP(A1321,Table1[[Item Purchased]:[Subscription Status]],8,FALSE)</f>
        <v>4.0999999999999996</v>
      </c>
    </row>
    <row r="1322" spans="1:2" x14ac:dyDescent="0.3">
      <c r="A1322" s="5" t="s">
        <v>123</v>
      </c>
      <c r="B1322">
        <f>VLOOKUP(A1322,Table1[[Item Purchased]:[Subscription Status]],8,FALSE)</f>
        <v>4.5999999999999996</v>
      </c>
    </row>
    <row r="1323" spans="1:2" x14ac:dyDescent="0.3">
      <c r="A1323" s="6" t="s">
        <v>112</v>
      </c>
      <c r="B1323">
        <f>VLOOKUP(A1323,Table1[[Item Purchased]:[Subscription Status]],8,FALSE)</f>
        <v>4.5999999999999996</v>
      </c>
    </row>
    <row r="1324" spans="1:2" x14ac:dyDescent="0.3">
      <c r="A1324" s="5" t="s">
        <v>94</v>
      </c>
      <c r="B1324">
        <f>VLOOKUP(A1324,Table1[[Item Purchased]:[Subscription Status]],8,FALSE)</f>
        <v>3.3</v>
      </c>
    </row>
    <row r="1325" spans="1:2" x14ac:dyDescent="0.3">
      <c r="A1325" s="6" t="s">
        <v>58</v>
      </c>
      <c r="B1325">
        <f>VLOOKUP(A1325,Table1[[Item Purchased]:[Subscription Status]],8,FALSE)</f>
        <v>3.2</v>
      </c>
    </row>
    <row r="1326" spans="1:2" x14ac:dyDescent="0.3">
      <c r="A1326" s="5" t="s">
        <v>105</v>
      </c>
      <c r="B1326">
        <f>VLOOKUP(A1326,Table1[[Item Purchased]:[Subscription Status]],8,FALSE)</f>
        <v>3.6</v>
      </c>
    </row>
    <row r="1327" spans="1:2" x14ac:dyDescent="0.3">
      <c r="A1327" s="6" t="s">
        <v>131</v>
      </c>
      <c r="B1327">
        <f>VLOOKUP(A1327,Table1[[Item Purchased]:[Subscription Status]],8,FALSE)</f>
        <v>4.7</v>
      </c>
    </row>
    <row r="1328" spans="1:2" x14ac:dyDescent="0.3">
      <c r="A1328" s="5" t="s">
        <v>70</v>
      </c>
      <c r="B1328">
        <f>VLOOKUP(A1328,Table1[[Item Purchased]:[Subscription Status]],8,FALSE)</f>
        <v>4.0999999999999996</v>
      </c>
    </row>
    <row r="1329" spans="1:2" x14ac:dyDescent="0.3">
      <c r="A1329" s="6" t="s">
        <v>61</v>
      </c>
      <c r="B1329">
        <f>VLOOKUP(A1329,Table1[[Item Purchased]:[Subscription Status]],8,FALSE)</f>
        <v>2.6</v>
      </c>
    </row>
    <row r="1330" spans="1:2" x14ac:dyDescent="0.3">
      <c r="A1330" s="5" t="s">
        <v>29</v>
      </c>
      <c r="B1330">
        <f>VLOOKUP(A1330,Table1[[Item Purchased]:[Subscription Status]],8,FALSE)</f>
        <v>3.1</v>
      </c>
    </row>
    <row r="1331" spans="1:2" x14ac:dyDescent="0.3">
      <c r="A1331" s="6" t="s">
        <v>142</v>
      </c>
      <c r="B1331">
        <f>VLOOKUP(A1331,Table1[[Item Purchased]:[Subscription Status]],8,FALSE)</f>
        <v>4.5</v>
      </c>
    </row>
    <row r="1332" spans="1:2" x14ac:dyDescent="0.3">
      <c r="A1332" s="5" t="s">
        <v>65</v>
      </c>
      <c r="B1332">
        <f>VLOOKUP(A1332,Table1[[Item Purchased]:[Subscription Status]],8,FALSE)</f>
        <v>4.8</v>
      </c>
    </row>
    <row r="1333" spans="1:2" x14ac:dyDescent="0.3">
      <c r="A1333" s="6" t="s">
        <v>124</v>
      </c>
      <c r="B1333">
        <f>VLOOKUP(A1333,Table1[[Item Purchased]:[Subscription Status]],8,FALSE)</f>
        <v>2.9</v>
      </c>
    </row>
    <row r="1334" spans="1:2" x14ac:dyDescent="0.3">
      <c r="A1334" s="5" t="s">
        <v>103</v>
      </c>
      <c r="B1334">
        <f>VLOOKUP(A1334,Table1[[Item Purchased]:[Subscription Status]],8,FALSE)</f>
        <v>3.6</v>
      </c>
    </row>
    <row r="1335" spans="1:2" x14ac:dyDescent="0.3">
      <c r="A1335" s="6" t="s">
        <v>94</v>
      </c>
      <c r="B1335">
        <f>VLOOKUP(A1335,Table1[[Item Purchased]:[Subscription Status]],8,FALSE)</f>
        <v>3.3</v>
      </c>
    </row>
    <row r="1336" spans="1:2" x14ac:dyDescent="0.3">
      <c r="A1336" s="5" t="s">
        <v>61</v>
      </c>
      <c r="B1336">
        <f>VLOOKUP(A1336,Table1[[Item Purchased]:[Subscription Status]],8,FALSE)</f>
        <v>2.6</v>
      </c>
    </row>
    <row r="1337" spans="1:2" x14ac:dyDescent="0.3">
      <c r="A1337" s="6" t="s">
        <v>136</v>
      </c>
      <c r="B1337">
        <f>VLOOKUP(A1337,Table1[[Item Purchased]:[Subscription Status]],8,FALSE)</f>
        <v>4.8</v>
      </c>
    </row>
    <row r="1338" spans="1:2" x14ac:dyDescent="0.3">
      <c r="A1338" s="5" t="s">
        <v>49</v>
      </c>
      <c r="B1338">
        <f>VLOOKUP(A1338,Table1[[Item Purchased]:[Subscription Status]],8,FALSE)</f>
        <v>2.9</v>
      </c>
    </row>
    <row r="1339" spans="1:2" x14ac:dyDescent="0.3">
      <c r="A1339" s="6" t="s">
        <v>29</v>
      </c>
      <c r="B1339">
        <f>VLOOKUP(A1339,Table1[[Item Purchased]:[Subscription Status]],8,FALSE)</f>
        <v>3.1</v>
      </c>
    </row>
    <row r="1340" spans="1:2" x14ac:dyDescent="0.3">
      <c r="A1340" s="5" t="s">
        <v>65</v>
      </c>
      <c r="B1340">
        <f>VLOOKUP(A1340,Table1[[Item Purchased]:[Subscription Status]],8,FALSE)</f>
        <v>4.8</v>
      </c>
    </row>
    <row r="1341" spans="1:2" x14ac:dyDescent="0.3">
      <c r="A1341" s="6" t="s">
        <v>132</v>
      </c>
      <c r="B1341">
        <f>VLOOKUP(A1341,Table1[[Item Purchased]:[Subscription Status]],8,FALSE)</f>
        <v>4.5999999999999996</v>
      </c>
    </row>
    <row r="1342" spans="1:2" x14ac:dyDescent="0.3">
      <c r="A1342" s="5" t="s">
        <v>132</v>
      </c>
      <c r="B1342">
        <f>VLOOKUP(A1342,Table1[[Item Purchased]:[Subscription Status]],8,FALSE)</f>
        <v>4.5999999999999996</v>
      </c>
    </row>
    <row r="1343" spans="1:2" x14ac:dyDescent="0.3">
      <c r="A1343" s="6" t="s">
        <v>103</v>
      </c>
      <c r="B1343">
        <f>VLOOKUP(A1343,Table1[[Item Purchased]:[Subscription Status]],8,FALSE)</f>
        <v>3.6</v>
      </c>
    </row>
    <row r="1344" spans="1:2" x14ac:dyDescent="0.3">
      <c r="A1344" s="5" t="s">
        <v>88</v>
      </c>
      <c r="B1344">
        <f>VLOOKUP(A1344,Table1[[Item Purchased]:[Subscription Status]],8,FALSE)</f>
        <v>4.0999999999999996</v>
      </c>
    </row>
    <row r="1345" spans="1:2" x14ac:dyDescent="0.3">
      <c r="A1345" s="6" t="s">
        <v>49</v>
      </c>
      <c r="B1345">
        <f>VLOOKUP(A1345,Table1[[Item Purchased]:[Subscription Status]],8,FALSE)</f>
        <v>2.9</v>
      </c>
    </row>
    <row r="1346" spans="1:2" x14ac:dyDescent="0.3">
      <c r="A1346" s="5" t="s">
        <v>112</v>
      </c>
      <c r="B1346">
        <f>VLOOKUP(A1346,Table1[[Item Purchased]:[Subscription Status]],8,FALSE)</f>
        <v>4.5999999999999996</v>
      </c>
    </row>
    <row r="1347" spans="1:2" x14ac:dyDescent="0.3">
      <c r="A1347" s="6" t="s">
        <v>80</v>
      </c>
      <c r="B1347">
        <f>VLOOKUP(A1347,Table1[[Item Purchased]:[Subscription Status]],8,FALSE)</f>
        <v>4.7</v>
      </c>
    </row>
    <row r="1348" spans="1:2" x14ac:dyDescent="0.3">
      <c r="A1348" s="5" t="s">
        <v>103</v>
      </c>
      <c r="B1348">
        <f>VLOOKUP(A1348,Table1[[Item Purchased]:[Subscription Status]],8,FALSE)</f>
        <v>3.6</v>
      </c>
    </row>
    <row r="1349" spans="1:2" x14ac:dyDescent="0.3">
      <c r="A1349" s="6" t="s">
        <v>29</v>
      </c>
      <c r="B1349">
        <f>VLOOKUP(A1349,Table1[[Item Purchased]:[Subscription Status]],8,FALSE)</f>
        <v>3.1</v>
      </c>
    </row>
    <row r="1350" spans="1:2" x14ac:dyDescent="0.3">
      <c r="A1350" s="5" t="s">
        <v>132</v>
      </c>
      <c r="B1350">
        <f>VLOOKUP(A1350,Table1[[Item Purchased]:[Subscription Status]],8,FALSE)</f>
        <v>4.5999999999999996</v>
      </c>
    </row>
    <row r="1351" spans="1:2" x14ac:dyDescent="0.3">
      <c r="A1351" s="6" t="s">
        <v>124</v>
      </c>
      <c r="B1351">
        <f>VLOOKUP(A1351,Table1[[Item Purchased]:[Subscription Status]],8,FALSE)</f>
        <v>2.9</v>
      </c>
    </row>
    <row r="1352" spans="1:2" x14ac:dyDescent="0.3">
      <c r="A1352" s="5" t="s">
        <v>88</v>
      </c>
      <c r="B1352">
        <f>VLOOKUP(A1352,Table1[[Item Purchased]:[Subscription Status]],8,FALSE)</f>
        <v>4.0999999999999996</v>
      </c>
    </row>
    <row r="1353" spans="1:2" x14ac:dyDescent="0.3">
      <c r="A1353" s="6" t="s">
        <v>61</v>
      </c>
      <c r="B1353">
        <f>VLOOKUP(A1353,Table1[[Item Purchased]:[Subscription Status]],8,FALSE)</f>
        <v>2.6</v>
      </c>
    </row>
    <row r="1354" spans="1:2" x14ac:dyDescent="0.3">
      <c r="A1354" s="5" t="s">
        <v>123</v>
      </c>
      <c r="B1354">
        <f>VLOOKUP(A1354,Table1[[Item Purchased]:[Subscription Status]],8,FALSE)</f>
        <v>4.5999999999999996</v>
      </c>
    </row>
    <row r="1355" spans="1:2" x14ac:dyDescent="0.3">
      <c r="A1355" s="6" t="s">
        <v>94</v>
      </c>
      <c r="B1355">
        <f>VLOOKUP(A1355,Table1[[Item Purchased]:[Subscription Status]],8,FALSE)</f>
        <v>3.3</v>
      </c>
    </row>
    <row r="1356" spans="1:2" x14ac:dyDescent="0.3">
      <c r="A1356" s="5" t="s">
        <v>131</v>
      </c>
      <c r="B1356">
        <f>VLOOKUP(A1356,Table1[[Item Purchased]:[Subscription Status]],8,FALSE)</f>
        <v>4.7</v>
      </c>
    </row>
    <row r="1357" spans="1:2" x14ac:dyDescent="0.3">
      <c r="A1357" s="6" t="s">
        <v>58</v>
      </c>
      <c r="B1357">
        <f>VLOOKUP(A1357,Table1[[Item Purchased]:[Subscription Status]],8,FALSE)</f>
        <v>3.2</v>
      </c>
    </row>
    <row r="1358" spans="1:2" x14ac:dyDescent="0.3">
      <c r="A1358" s="5" t="s">
        <v>101</v>
      </c>
      <c r="B1358">
        <f>VLOOKUP(A1358,Table1[[Item Purchased]:[Subscription Status]],8,FALSE)</f>
        <v>2.9</v>
      </c>
    </row>
    <row r="1359" spans="1:2" x14ac:dyDescent="0.3">
      <c r="A1359" s="6" t="s">
        <v>131</v>
      </c>
      <c r="B1359">
        <f>VLOOKUP(A1359,Table1[[Item Purchased]:[Subscription Status]],8,FALSE)</f>
        <v>4.7</v>
      </c>
    </row>
    <row r="1360" spans="1:2" x14ac:dyDescent="0.3">
      <c r="A1360" s="5" t="s">
        <v>118</v>
      </c>
      <c r="B1360">
        <f>VLOOKUP(A1360,Table1[[Item Purchased]:[Subscription Status]],8,FALSE)</f>
        <v>4.5</v>
      </c>
    </row>
    <row r="1361" spans="1:2" x14ac:dyDescent="0.3">
      <c r="A1361" s="6" t="s">
        <v>103</v>
      </c>
      <c r="B1361">
        <f>VLOOKUP(A1361,Table1[[Item Purchased]:[Subscription Status]],8,FALSE)</f>
        <v>3.6</v>
      </c>
    </row>
    <row r="1362" spans="1:2" x14ac:dyDescent="0.3">
      <c r="A1362" s="5" t="s">
        <v>86</v>
      </c>
      <c r="B1362">
        <f>VLOOKUP(A1362,Table1[[Item Purchased]:[Subscription Status]],8,FALSE)</f>
        <v>2.8</v>
      </c>
    </row>
    <row r="1363" spans="1:2" x14ac:dyDescent="0.3">
      <c r="A1363" s="6" t="s">
        <v>80</v>
      </c>
      <c r="B1363">
        <f>VLOOKUP(A1363,Table1[[Item Purchased]:[Subscription Status]],8,FALSE)</f>
        <v>4.7</v>
      </c>
    </row>
    <row r="1364" spans="1:2" x14ac:dyDescent="0.3">
      <c r="A1364" s="5" t="s">
        <v>61</v>
      </c>
      <c r="B1364">
        <f>VLOOKUP(A1364,Table1[[Item Purchased]:[Subscription Status]],8,FALSE)</f>
        <v>2.6</v>
      </c>
    </row>
    <row r="1365" spans="1:2" x14ac:dyDescent="0.3">
      <c r="A1365" s="6" t="s">
        <v>19</v>
      </c>
      <c r="B1365">
        <f>VLOOKUP(A1365,Table1[[Item Purchased]:[Subscription Status]],8,FALSE)</f>
        <v>3.1</v>
      </c>
    </row>
    <row r="1366" spans="1:2" x14ac:dyDescent="0.3">
      <c r="A1366" s="5" t="s">
        <v>123</v>
      </c>
      <c r="B1366">
        <f>VLOOKUP(A1366,Table1[[Item Purchased]:[Subscription Status]],8,FALSE)</f>
        <v>4.5999999999999996</v>
      </c>
    </row>
    <row r="1367" spans="1:2" x14ac:dyDescent="0.3">
      <c r="A1367" s="6" t="s">
        <v>65</v>
      </c>
      <c r="B1367">
        <f>VLOOKUP(A1367,Table1[[Item Purchased]:[Subscription Status]],8,FALSE)</f>
        <v>4.8</v>
      </c>
    </row>
    <row r="1368" spans="1:2" x14ac:dyDescent="0.3">
      <c r="A1368" s="5" t="s">
        <v>132</v>
      </c>
      <c r="B1368">
        <f>VLOOKUP(A1368,Table1[[Item Purchased]:[Subscription Status]],8,FALSE)</f>
        <v>4.5999999999999996</v>
      </c>
    </row>
    <row r="1369" spans="1:2" x14ac:dyDescent="0.3">
      <c r="A1369" s="6" t="s">
        <v>132</v>
      </c>
      <c r="B1369">
        <f>VLOOKUP(A1369,Table1[[Item Purchased]:[Subscription Status]],8,FALSE)</f>
        <v>4.5999999999999996</v>
      </c>
    </row>
    <row r="1370" spans="1:2" x14ac:dyDescent="0.3">
      <c r="A1370" s="5" t="s">
        <v>54</v>
      </c>
      <c r="B1370">
        <f>VLOOKUP(A1370,Table1[[Item Purchased]:[Subscription Status]],8,FALSE)</f>
        <v>3.2</v>
      </c>
    </row>
    <row r="1371" spans="1:2" x14ac:dyDescent="0.3">
      <c r="A1371" s="6" t="s">
        <v>70</v>
      </c>
      <c r="B1371">
        <f>VLOOKUP(A1371,Table1[[Item Purchased]:[Subscription Status]],8,FALSE)</f>
        <v>4.0999999999999996</v>
      </c>
    </row>
    <row r="1372" spans="1:2" x14ac:dyDescent="0.3">
      <c r="A1372" s="5" t="s">
        <v>118</v>
      </c>
      <c r="B1372">
        <f>VLOOKUP(A1372,Table1[[Item Purchased]:[Subscription Status]],8,FALSE)</f>
        <v>4.5</v>
      </c>
    </row>
    <row r="1373" spans="1:2" x14ac:dyDescent="0.3">
      <c r="A1373" s="6" t="s">
        <v>94</v>
      </c>
      <c r="B1373">
        <f>VLOOKUP(A1373,Table1[[Item Purchased]:[Subscription Status]],8,FALSE)</f>
        <v>3.3</v>
      </c>
    </row>
    <row r="1374" spans="1:2" x14ac:dyDescent="0.3">
      <c r="A1374" s="5" t="s">
        <v>19</v>
      </c>
      <c r="B1374">
        <f>VLOOKUP(A1374,Table1[[Item Purchased]:[Subscription Status]],8,FALSE)</f>
        <v>3.1</v>
      </c>
    </row>
    <row r="1375" spans="1:2" x14ac:dyDescent="0.3">
      <c r="A1375" s="6" t="s">
        <v>142</v>
      </c>
      <c r="B1375">
        <f>VLOOKUP(A1375,Table1[[Item Purchased]:[Subscription Status]],8,FALSE)</f>
        <v>4.5</v>
      </c>
    </row>
    <row r="1376" spans="1:2" x14ac:dyDescent="0.3">
      <c r="A1376" s="5" t="s">
        <v>65</v>
      </c>
      <c r="B1376">
        <f>VLOOKUP(A1376,Table1[[Item Purchased]:[Subscription Status]],8,FALSE)</f>
        <v>4.8</v>
      </c>
    </row>
    <row r="1377" spans="1:2" x14ac:dyDescent="0.3">
      <c r="A1377" s="6" t="s">
        <v>49</v>
      </c>
      <c r="B1377">
        <f>VLOOKUP(A1377,Table1[[Item Purchased]:[Subscription Status]],8,FALSE)</f>
        <v>2.9</v>
      </c>
    </row>
    <row r="1378" spans="1:2" x14ac:dyDescent="0.3">
      <c r="A1378" s="5" t="s">
        <v>40</v>
      </c>
      <c r="B1378">
        <f>VLOOKUP(A1378,Table1[[Item Purchased]:[Subscription Status]],8,FALSE)</f>
        <v>3.5</v>
      </c>
    </row>
    <row r="1379" spans="1:2" x14ac:dyDescent="0.3">
      <c r="A1379" s="6" t="s">
        <v>88</v>
      </c>
      <c r="B1379">
        <f>VLOOKUP(A1379,Table1[[Item Purchased]:[Subscription Status]],8,FALSE)</f>
        <v>4.0999999999999996</v>
      </c>
    </row>
    <row r="1380" spans="1:2" x14ac:dyDescent="0.3">
      <c r="A1380" s="5" t="s">
        <v>101</v>
      </c>
      <c r="B1380">
        <f>VLOOKUP(A1380,Table1[[Item Purchased]:[Subscription Status]],8,FALSE)</f>
        <v>2.9</v>
      </c>
    </row>
    <row r="1381" spans="1:2" x14ac:dyDescent="0.3">
      <c r="A1381" s="6" t="s">
        <v>112</v>
      </c>
      <c r="B1381">
        <f>VLOOKUP(A1381,Table1[[Item Purchased]:[Subscription Status]],8,FALSE)</f>
        <v>4.5999999999999996</v>
      </c>
    </row>
    <row r="1382" spans="1:2" x14ac:dyDescent="0.3">
      <c r="A1382" s="5" t="s">
        <v>49</v>
      </c>
      <c r="B1382">
        <f>VLOOKUP(A1382,Table1[[Item Purchased]:[Subscription Status]],8,FALSE)</f>
        <v>2.9</v>
      </c>
    </row>
    <row r="1383" spans="1:2" x14ac:dyDescent="0.3">
      <c r="A1383" s="6" t="s">
        <v>70</v>
      </c>
      <c r="B1383">
        <f>VLOOKUP(A1383,Table1[[Item Purchased]:[Subscription Status]],8,FALSE)</f>
        <v>4.0999999999999996</v>
      </c>
    </row>
    <row r="1384" spans="1:2" x14ac:dyDescent="0.3">
      <c r="A1384" s="5" t="s">
        <v>101</v>
      </c>
      <c r="B1384">
        <f>VLOOKUP(A1384,Table1[[Item Purchased]:[Subscription Status]],8,FALSE)</f>
        <v>2.9</v>
      </c>
    </row>
    <row r="1385" spans="1:2" x14ac:dyDescent="0.3">
      <c r="A1385" s="6" t="s">
        <v>118</v>
      </c>
      <c r="B1385">
        <f>VLOOKUP(A1385,Table1[[Item Purchased]:[Subscription Status]],8,FALSE)</f>
        <v>4.5</v>
      </c>
    </row>
    <row r="1386" spans="1:2" x14ac:dyDescent="0.3">
      <c r="A1386" s="5" t="s">
        <v>49</v>
      </c>
      <c r="B1386">
        <f>VLOOKUP(A1386,Table1[[Item Purchased]:[Subscription Status]],8,FALSE)</f>
        <v>2.9</v>
      </c>
    </row>
    <row r="1387" spans="1:2" x14ac:dyDescent="0.3">
      <c r="A1387" s="6" t="s">
        <v>105</v>
      </c>
      <c r="B1387">
        <f>VLOOKUP(A1387,Table1[[Item Purchased]:[Subscription Status]],8,FALSE)</f>
        <v>3.6</v>
      </c>
    </row>
    <row r="1388" spans="1:2" x14ac:dyDescent="0.3">
      <c r="A1388" s="5" t="s">
        <v>101</v>
      </c>
      <c r="B1388">
        <f>VLOOKUP(A1388,Table1[[Item Purchased]:[Subscription Status]],8,FALSE)</f>
        <v>2.9</v>
      </c>
    </row>
    <row r="1389" spans="1:2" x14ac:dyDescent="0.3">
      <c r="A1389" s="6" t="s">
        <v>19</v>
      </c>
      <c r="B1389">
        <f>VLOOKUP(A1389,Table1[[Item Purchased]:[Subscription Status]],8,FALSE)</f>
        <v>3.1</v>
      </c>
    </row>
    <row r="1390" spans="1:2" x14ac:dyDescent="0.3">
      <c r="A1390" s="5" t="s">
        <v>80</v>
      </c>
      <c r="B1390">
        <f>VLOOKUP(A1390,Table1[[Item Purchased]:[Subscription Status]],8,FALSE)</f>
        <v>4.7</v>
      </c>
    </row>
    <row r="1391" spans="1:2" x14ac:dyDescent="0.3">
      <c r="A1391" s="6" t="s">
        <v>118</v>
      </c>
      <c r="B1391">
        <f>VLOOKUP(A1391,Table1[[Item Purchased]:[Subscription Status]],8,FALSE)</f>
        <v>4.5</v>
      </c>
    </row>
    <row r="1392" spans="1:2" x14ac:dyDescent="0.3">
      <c r="A1392" s="5" t="s">
        <v>123</v>
      </c>
      <c r="B1392">
        <f>VLOOKUP(A1392,Table1[[Item Purchased]:[Subscription Status]],8,FALSE)</f>
        <v>4.5999999999999996</v>
      </c>
    </row>
    <row r="1393" spans="1:2" x14ac:dyDescent="0.3">
      <c r="A1393" s="6" t="s">
        <v>19</v>
      </c>
      <c r="B1393">
        <f>VLOOKUP(A1393,Table1[[Item Purchased]:[Subscription Status]],8,FALSE)</f>
        <v>3.1</v>
      </c>
    </row>
    <row r="1394" spans="1:2" x14ac:dyDescent="0.3">
      <c r="A1394" s="5" t="s">
        <v>142</v>
      </c>
      <c r="B1394">
        <f>VLOOKUP(A1394,Table1[[Item Purchased]:[Subscription Status]],8,FALSE)</f>
        <v>4.5</v>
      </c>
    </row>
    <row r="1395" spans="1:2" x14ac:dyDescent="0.3">
      <c r="A1395" s="6" t="s">
        <v>142</v>
      </c>
      <c r="B1395">
        <f>VLOOKUP(A1395,Table1[[Item Purchased]:[Subscription Status]],8,FALSE)</f>
        <v>4.5</v>
      </c>
    </row>
    <row r="1396" spans="1:2" x14ac:dyDescent="0.3">
      <c r="A1396" s="5" t="s">
        <v>61</v>
      </c>
      <c r="B1396">
        <f>VLOOKUP(A1396,Table1[[Item Purchased]:[Subscription Status]],8,FALSE)</f>
        <v>2.6</v>
      </c>
    </row>
    <row r="1397" spans="1:2" x14ac:dyDescent="0.3">
      <c r="A1397" s="6" t="s">
        <v>118</v>
      </c>
      <c r="B1397">
        <f>VLOOKUP(A1397,Table1[[Item Purchased]:[Subscription Status]],8,FALSE)</f>
        <v>4.5</v>
      </c>
    </row>
    <row r="1398" spans="1:2" x14ac:dyDescent="0.3">
      <c r="A1398" s="5" t="s">
        <v>94</v>
      </c>
      <c r="B1398">
        <f>VLOOKUP(A1398,Table1[[Item Purchased]:[Subscription Status]],8,FALSE)</f>
        <v>3.3</v>
      </c>
    </row>
    <row r="1399" spans="1:2" x14ac:dyDescent="0.3">
      <c r="A1399" s="6" t="s">
        <v>88</v>
      </c>
      <c r="B1399">
        <f>VLOOKUP(A1399,Table1[[Item Purchased]:[Subscription Status]],8,FALSE)</f>
        <v>4.0999999999999996</v>
      </c>
    </row>
    <row r="1400" spans="1:2" x14ac:dyDescent="0.3">
      <c r="A1400" s="5" t="s">
        <v>80</v>
      </c>
      <c r="B1400">
        <f>VLOOKUP(A1400,Table1[[Item Purchased]:[Subscription Status]],8,FALSE)</f>
        <v>4.7</v>
      </c>
    </row>
    <row r="1401" spans="1:2" x14ac:dyDescent="0.3">
      <c r="A1401" s="6" t="s">
        <v>123</v>
      </c>
      <c r="B1401">
        <f>VLOOKUP(A1401,Table1[[Item Purchased]:[Subscription Status]],8,FALSE)</f>
        <v>4.5999999999999996</v>
      </c>
    </row>
    <row r="1402" spans="1:2" x14ac:dyDescent="0.3">
      <c r="A1402" s="5" t="s">
        <v>131</v>
      </c>
      <c r="B1402">
        <f>VLOOKUP(A1402,Table1[[Item Purchased]:[Subscription Status]],8,FALSE)</f>
        <v>4.7</v>
      </c>
    </row>
    <row r="1403" spans="1:2" x14ac:dyDescent="0.3">
      <c r="A1403" s="6" t="s">
        <v>40</v>
      </c>
      <c r="B1403">
        <f>VLOOKUP(A1403,Table1[[Item Purchased]:[Subscription Status]],8,FALSE)</f>
        <v>3.5</v>
      </c>
    </row>
    <row r="1404" spans="1:2" x14ac:dyDescent="0.3">
      <c r="A1404" s="5" t="s">
        <v>88</v>
      </c>
      <c r="B1404">
        <f>VLOOKUP(A1404,Table1[[Item Purchased]:[Subscription Status]],8,FALSE)</f>
        <v>4.0999999999999996</v>
      </c>
    </row>
    <row r="1405" spans="1:2" x14ac:dyDescent="0.3">
      <c r="A1405" s="6" t="s">
        <v>131</v>
      </c>
      <c r="B1405">
        <f>VLOOKUP(A1405,Table1[[Item Purchased]:[Subscription Status]],8,FALSE)</f>
        <v>4.7</v>
      </c>
    </row>
    <row r="1406" spans="1:2" x14ac:dyDescent="0.3">
      <c r="A1406" s="5" t="s">
        <v>105</v>
      </c>
      <c r="B1406">
        <f>VLOOKUP(A1406,Table1[[Item Purchased]:[Subscription Status]],8,FALSE)</f>
        <v>3.6</v>
      </c>
    </row>
    <row r="1407" spans="1:2" x14ac:dyDescent="0.3">
      <c r="A1407" s="6" t="s">
        <v>124</v>
      </c>
      <c r="B1407">
        <f>VLOOKUP(A1407,Table1[[Item Purchased]:[Subscription Status]],8,FALSE)</f>
        <v>2.9</v>
      </c>
    </row>
    <row r="1408" spans="1:2" x14ac:dyDescent="0.3">
      <c r="A1408" s="5" t="s">
        <v>54</v>
      </c>
      <c r="B1408">
        <f>VLOOKUP(A1408,Table1[[Item Purchased]:[Subscription Status]],8,FALSE)</f>
        <v>3.2</v>
      </c>
    </row>
    <row r="1409" spans="1:2" x14ac:dyDescent="0.3">
      <c r="A1409" s="6" t="s">
        <v>65</v>
      </c>
      <c r="B1409">
        <f>VLOOKUP(A1409,Table1[[Item Purchased]:[Subscription Status]],8,FALSE)</f>
        <v>4.8</v>
      </c>
    </row>
    <row r="1410" spans="1:2" x14ac:dyDescent="0.3">
      <c r="A1410" s="5" t="s">
        <v>19</v>
      </c>
      <c r="B1410">
        <f>VLOOKUP(A1410,Table1[[Item Purchased]:[Subscription Status]],8,FALSE)</f>
        <v>3.1</v>
      </c>
    </row>
    <row r="1411" spans="1:2" x14ac:dyDescent="0.3">
      <c r="A1411" s="6" t="s">
        <v>131</v>
      </c>
      <c r="B1411">
        <f>VLOOKUP(A1411,Table1[[Item Purchased]:[Subscription Status]],8,FALSE)</f>
        <v>4.7</v>
      </c>
    </row>
    <row r="1412" spans="1:2" x14ac:dyDescent="0.3">
      <c r="A1412" s="5" t="s">
        <v>123</v>
      </c>
      <c r="B1412">
        <f>VLOOKUP(A1412,Table1[[Item Purchased]:[Subscription Status]],8,FALSE)</f>
        <v>4.5999999999999996</v>
      </c>
    </row>
    <row r="1413" spans="1:2" x14ac:dyDescent="0.3">
      <c r="A1413" s="6" t="s">
        <v>86</v>
      </c>
      <c r="B1413">
        <f>VLOOKUP(A1413,Table1[[Item Purchased]:[Subscription Status]],8,FALSE)</f>
        <v>2.8</v>
      </c>
    </row>
    <row r="1414" spans="1:2" x14ac:dyDescent="0.3">
      <c r="A1414" s="5" t="s">
        <v>58</v>
      </c>
      <c r="B1414">
        <f>VLOOKUP(A1414,Table1[[Item Purchased]:[Subscription Status]],8,FALSE)</f>
        <v>3.2</v>
      </c>
    </row>
    <row r="1415" spans="1:2" x14ac:dyDescent="0.3">
      <c r="A1415" s="6" t="s">
        <v>19</v>
      </c>
      <c r="B1415">
        <f>VLOOKUP(A1415,Table1[[Item Purchased]:[Subscription Status]],8,FALSE)</f>
        <v>3.1</v>
      </c>
    </row>
    <row r="1416" spans="1:2" x14ac:dyDescent="0.3">
      <c r="A1416" s="5" t="s">
        <v>124</v>
      </c>
      <c r="B1416">
        <f>VLOOKUP(A1416,Table1[[Item Purchased]:[Subscription Status]],8,FALSE)</f>
        <v>2.9</v>
      </c>
    </row>
    <row r="1417" spans="1:2" x14ac:dyDescent="0.3">
      <c r="A1417" s="6" t="s">
        <v>132</v>
      </c>
      <c r="B1417">
        <f>VLOOKUP(A1417,Table1[[Item Purchased]:[Subscription Status]],8,FALSE)</f>
        <v>4.5999999999999996</v>
      </c>
    </row>
    <row r="1418" spans="1:2" x14ac:dyDescent="0.3">
      <c r="A1418" s="5" t="s">
        <v>136</v>
      </c>
      <c r="B1418">
        <f>VLOOKUP(A1418,Table1[[Item Purchased]:[Subscription Status]],8,FALSE)</f>
        <v>4.8</v>
      </c>
    </row>
    <row r="1419" spans="1:2" x14ac:dyDescent="0.3">
      <c r="A1419" s="6" t="s">
        <v>58</v>
      </c>
      <c r="B1419">
        <f>VLOOKUP(A1419,Table1[[Item Purchased]:[Subscription Status]],8,FALSE)</f>
        <v>3.2</v>
      </c>
    </row>
    <row r="1420" spans="1:2" x14ac:dyDescent="0.3">
      <c r="A1420" s="5" t="s">
        <v>54</v>
      </c>
      <c r="B1420">
        <f>VLOOKUP(A1420,Table1[[Item Purchased]:[Subscription Status]],8,FALSE)</f>
        <v>3.2</v>
      </c>
    </row>
    <row r="1421" spans="1:2" x14ac:dyDescent="0.3">
      <c r="A1421" s="6" t="s">
        <v>65</v>
      </c>
      <c r="B1421">
        <f>VLOOKUP(A1421,Table1[[Item Purchased]:[Subscription Status]],8,FALSE)</f>
        <v>4.8</v>
      </c>
    </row>
    <row r="1422" spans="1:2" x14ac:dyDescent="0.3">
      <c r="A1422" s="5" t="s">
        <v>33</v>
      </c>
      <c r="B1422">
        <f>VLOOKUP(A1422,Table1[[Item Purchased]:[Subscription Status]],8,FALSE)</f>
        <v>3.1</v>
      </c>
    </row>
    <row r="1423" spans="1:2" x14ac:dyDescent="0.3">
      <c r="A1423" s="6" t="s">
        <v>80</v>
      </c>
      <c r="B1423">
        <f>VLOOKUP(A1423,Table1[[Item Purchased]:[Subscription Status]],8,FALSE)</f>
        <v>4.7</v>
      </c>
    </row>
    <row r="1424" spans="1:2" x14ac:dyDescent="0.3">
      <c r="A1424" s="5" t="s">
        <v>80</v>
      </c>
      <c r="B1424">
        <f>VLOOKUP(A1424,Table1[[Item Purchased]:[Subscription Status]],8,FALSE)</f>
        <v>4.7</v>
      </c>
    </row>
    <row r="1425" spans="1:2" x14ac:dyDescent="0.3">
      <c r="A1425" s="6" t="s">
        <v>40</v>
      </c>
      <c r="B1425">
        <f>VLOOKUP(A1425,Table1[[Item Purchased]:[Subscription Status]],8,FALSE)</f>
        <v>3.5</v>
      </c>
    </row>
    <row r="1426" spans="1:2" x14ac:dyDescent="0.3">
      <c r="A1426" s="5" t="s">
        <v>101</v>
      </c>
      <c r="B1426">
        <f>VLOOKUP(A1426,Table1[[Item Purchased]:[Subscription Status]],8,FALSE)</f>
        <v>2.9</v>
      </c>
    </row>
    <row r="1427" spans="1:2" x14ac:dyDescent="0.3">
      <c r="A1427" s="6" t="s">
        <v>61</v>
      </c>
      <c r="B1427">
        <f>VLOOKUP(A1427,Table1[[Item Purchased]:[Subscription Status]],8,FALSE)</f>
        <v>2.6</v>
      </c>
    </row>
    <row r="1428" spans="1:2" x14ac:dyDescent="0.3">
      <c r="A1428" s="5" t="s">
        <v>94</v>
      </c>
      <c r="B1428">
        <f>VLOOKUP(A1428,Table1[[Item Purchased]:[Subscription Status]],8,FALSE)</f>
        <v>3.3</v>
      </c>
    </row>
    <row r="1429" spans="1:2" x14ac:dyDescent="0.3">
      <c r="A1429" s="6" t="s">
        <v>131</v>
      </c>
      <c r="B1429">
        <f>VLOOKUP(A1429,Table1[[Item Purchased]:[Subscription Status]],8,FALSE)</f>
        <v>4.7</v>
      </c>
    </row>
    <row r="1430" spans="1:2" x14ac:dyDescent="0.3">
      <c r="A1430" s="5" t="s">
        <v>19</v>
      </c>
      <c r="B1430">
        <f>VLOOKUP(A1430,Table1[[Item Purchased]:[Subscription Status]],8,FALSE)</f>
        <v>3.1</v>
      </c>
    </row>
    <row r="1431" spans="1:2" x14ac:dyDescent="0.3">
      <c r="A1431" s="6" t="s">
        <v>86</v>
      </c>
      <c r="B1431">
        <f>VLOOKUP(A1431,Table1[[Item Purchased]:[Subscription Status]],8,FALSE)</f>
        <v>2.8</v>
      </c>
    </row>
    <row r="1432" spans="1:2" x14ac:dyDescent="0.3">
      <c r="A1432" s="5" t="s">
        <v>40</v>
      </c>
      <c r="B1432">
        <f>VLOOKUP(A1432,Table1[[Item Purchased]:[Subscription Status]],8,FALSE)</f>
        <v>3.5</v>
      </c>
    </row>
    <row r="1433" spans="1:2" x14ac:dyDescent="0.3">
      <c r="A1433" s="6" t="s">
        <v>94</v>
      </c>
      <c r="B1433">
        <f>VLOOKUP(A1433,Table1[[Item Purchased]:[Subscription Status]],8,FALSE)</f>
        <v>3.3</v>
      </c>
    </row>
    <row r="1434" spans="1:2" x14ac:dyDescent="0.3">
      <c r="A1434" s="5" t="s">
        <v>123</v>
      </c>
      <c r="B1434">
        <f>VLOOKUP(A1434,Table1[[Item Purchased]:[Subscription Status]],8,FALSE)</f>
        <v>4.5999999999999996</v>
      </c>
    </row>
    <row r="1435" spans="1:2" x14ac:dyDescent="0.3">
      <c r="A1435" s="6" t="s">
        <v>103</v>
      </c>
      <c r="B1435">
        <f>VLOOKUP(A1435,Table1[[Item Purchased]:[Subscription Status]],8,FALSE)</f>
        <v>3.6</v>
      </c>
    </row>
    <row r="1436" spans="1:2" x14ac:dyDescent="0.3">
      <c r="A1436" s="5" t="s">
        <v>29</v>
      </c>
      <c r="B1436">
        <f>VLOOKUP(A1436,Table1[[Item Purchased]:[Subscription Status]],8,FALSE)</f>
        <v>3.1</v>
      </c>
    </row>
    <row r="1437" spans="1:2" x14ac:dyDescent="0.3">
      <c r="A1437" s="6" t="s">
        <v>118</v>
      </c>
      <c r="B1437">
        <f>VLOOKUP(A1437,Table1[[Item Purchased]:[Subscription Status]],8,FALSE)</f>
        <v>4.5</v>
      </c>
    </row>
    <row r="1438" spans="1:2" x14ac:dyDescent="0.3">
      <c r="A1438" s="5" t="s">
        <v>49</v>
      </c>
      <c r="B1438">
        <f>VLOOKUP(A1438,Table1[[Item Purchased]:[Subscription Status]],8,FALSE)</f>
        <v>2.9</v>
      </c>
    </row>
    <row r="1439" spans="1:2" x14ac:dyDescent="0.3">
      <c r="A1439" s="6" t="s">
        <v>136</v>
      </c>
      <c r="B1439">
        <f>VLOOKUP(A1439,Table1[[Item Purchased]:[Subscription Status]],8,FALSE)</f>
        <v>4.8</v>
      </c>
    </row>
    <row r="1440" spans="1:2" x14ac:dyDescent="0.3">
      <c r="A1440" s="5" t="s">
        <v>61</v>
      </c>
      <c r="B1440">
        <f>VLOOKUP(A1440,Table1[[Item Purchased]:[Subscription Status]],8,FALSE)</f>
        <v>2.6</v>
      </c>
    </row>
    <row r="1441" spans="1:2" x14ac:dyDescent="0.3">
      <c r="A1441" s="6" t="s">
        <v>136</v>
      </c>
      <c r="B1441">
        <f>VLOOKUP(A1441,Table1[[Item Purchased]:[Subscription Status]],8,FALSE)</f>
        <v>4.8</v>
      </c>
    </row>
    <row r="1442" spans="1:2" x14ac:dyDescent="0.3">
      <c r="A1442" s="5" t="s">
        <v>40</v>
      </c>
      <c r="B1442">
        <f>VLOOKUP(A1442,Table1[[Item Purchased]:[Subscription Status]],8,FALSE)</f>
        <v>3.5</v>
      </c>
    </row>
    <row r="1443" spans="1:2" x14ac:dyDescent="0.3">
      <c r="A1443" s="6" t="s">
        <v>94</v>
      </c>
      <c r="B1443">
        <f>VLOOKUP(A1443,Table1[[Item Purchased]:[Subscription Status]],8,FALSE)</f>
        <v>3.3</v>
      </c>
    </row>
    <row r="1444" spans="1:2" x14ac:dyDescent="0.3">
      <c r="A1444" s="5" t="s">
        <v>103</v>
      </c>
      <c r="B1444">
        <f>VLOOKUP(A1444,Table1[[Item Purchased]:[Subscription Status]],8,FALSE)</f>
        <v>3.6</v>
      </c>
    </row>
    <row r="1445" spans="1:2" x14ac:dyDescent="0.3">
      <c r="A1445" s="6" t="s">
        <v>40</v>
      </c>
      <c r="B1445">
        <f>VLOOKUP(A1445,Table1[[Item Purchased]:[Subscription Status]],8,FALSE)</f>
        <v>3.5</v>
      </c>
    </row>
    <row r="1446" spans="1:2" x14ac:dyDescent="0.3">
      <c r="A1446" s="5" t="s">
        <v>29</v>
      </c>
      <c r="B1446">
        <f>VLOOKUP(A1446,Table1[[Item Purchased]:[Subscription Status]],8,FALSE)</f>
        <v>3.1</v>
      </c>
    </row>
    <row r="1447" spans="1:2" x14ac:dyDescent="0.3">
      <c r="A1447" s="6" t="s">
        <v>132</v>
      </c>
      <c r="B1447">
        <f>VLOOKUP(A1447,Table1[[Item Purchased]:[Subscription Status]],8,FALSE)</f>
        <v>4.5999999999999996</v>
      </c>
    </row>
    <row r="1448" spans="1:2" x14ac:dyDescent="0.3">
      <c r="A1448" s="5" t="s">
        <v>33</v>
      </c>
      <c r="B1448">
        <f>VLOOKUP(A1448,Table1[[Item Purchased]:[Subscription Status]],8,FALSE)</f>
        <v>3.1</v>
      </c>
    </row>
    <row r="1449" spans="1:2" x14ac:dyDescent="0.3">
      <c r="A1449" s="6" t="s">
        <v>103</v>
      </c>
      <c r="B1449">
        <f>VLOOKUP(A1449,Table1[[Item Purchased]:[Subscription Status]],8,FALSE)</f>
        <v>3.6</v>
      </c>
    </row>
    <row r="1450" spans="1:2" x14ac:dyDescent="0.3">
      <c r="A1450" s="5" t="s">
        <v>136</v>
      </c>
      <c r="B1450">
        <f>VLOOKUP(A1450,Table1[[Item Purchased]:[Subscription Status]],8,FALSE)</f>
        <v>4.8</v>
      </c>
    </row>
    <row r="1451" spans="1:2" x14ac:dyDescent="0.3">
      <c r="A1451" s="6" t="s">
        <v>124</v>
      </c>
      <c r="B1451">
        <f>VLOOKUP(A1451,Table1[[Item Purchased]:[Subscription Status]],8,FALSE)</f>
        <v>2.9</v>
      </c>
    </row>
    <row r="1452" spans="1:2" x14ac:dyDescent="0.3">
      <c r="A1452" s="5" t="s">
        <v>80</v>
      </c>
      <c r="B1452">
        <f>VLOOKUP(A1452,Table1[[Item Purchased]:[Subscription Status]],8,FALSE)</f>
        <v>4.7</v>
      </c>
    </row>
    <row r="1453" spans="1:2" x14ac:dyDescent="0.3">
      <c r="A1453" s="6" t="s">
        <v>101</v>
      </c>
      <c r="B1453">
        <f>VLOOKUP(A1453,Table1[[Item Purchased]:[Subscription Status]],8,FALSE)</f>
        <v>2.9</v>
      </c>
    </row>
    <row r="1454" spans="1:2" x14ac:dyDescent="0.3">
      <c r="A1454" s="5" t="s">
        <v>101</v>
      </c>
      <c r="B1454">
        <f>VLOOKUP(A1454,Table1[[Item Purchased]:[Subscription Status]],8,FALSE)</f>
        <v>2.9</v>
      </c>
    </row>
    <row r="1455" spans="1:2" x14ac:dyDescent="0.3">
      <c r="A1455" s="6" t="s">
        <v>136</v>
      </c>
      <c r="B1455">
        <f>VLOOKUP(A1455,Table1[[Item Purchased]:[Subscription Status]],8,FALSE)</f>
        <v>4.8</v>
      </c>
    </row>
    <row r="1456" spans="1:2" x14ac:dyDescent="0.3">
      <c r="A1456" s="5" t="s">
        <v>49</v>
      </c>
      <c r="B1456">
        <f>VLOOKUP(A1456,Table1[[Item Purchased]:[Subscription Status]],8,FALSE)</f>
        <v>2.9</v>
      </c>
    </row>
    <row r="1457" spans="1:2" x14ac:dyDescent="0.3">
      <c r="A1457" s="6" t="s">
        <v>94</v>
      </c>
      <c r="B1457">
        <f>VLOOKUP(A1457,Table1[[Item Purchased]:[Subscription Status]],8,FALSE)</f>
        <v>3.3</v>
      </c>
    </row>
    <row r="1458" spans="1:2" x14ac:dyDescent="0.3">
      <c r="A1458" s="5" t="s">
        <v>61</v>
      </c>
      <c r="B1458">
        <f>VLOOKUP(A1458,Table1[[Item Purchased]:[Subscription Status]],8,FALSE)</f>
        <v>2.6</v>
      </c>
    </row>
    <row r="1459" spans="1:2" x14ac:dyDescent="0.3">
      <c r="A1459" s="6" t="s">
        <v>54</v>
      </c>
      <c r="B1459">
        <f>VLOOKUP(A1459,Table1[[Item Purchased]:[Subscription Status]],8,FALSE)</f>
        <v>3.2</v>
      </c>
    </row>
    <row r="1460" spans="1:2" x14ac:dyDescent="0.3">
      <c r="A1460" s="5" t="s">
        <v>29</v>
      </c>
      <c r="B1460">
        <f>VLOOKUP(A1460,Table1[[Item Purchased]:[Subscription Status]],8,FALSE)</f>
        <v>3.1</v>
      </c>
    </row>
    <row r="1461" spans="1:2" x14ac:dyDescent="0.3">
      <c r="A1461" s="6" t="s">
        <v>70</v>
      </c>
      <c r="B1461">
        <f>VLOOKUP(A1461,Table1[[Item Purchased]:[Subscription Status]],8,FALSE)</f>
        <v>4.0999999999999996</v>
      </c>
    </row>
    <row r="1462" spans="1:2" x14ac:dyDescent="0.3">
      <c r="A1462" s="5" t="s">
        <v>136</v>
      </c>
      <c r="B1462">
        <f>VLOOKUP(A1462,Table1[[Item Purchased]:[Subscription Status]],8,FALSE)</f>
        <v>4.8</v>
      </c>
    </row>
    <row r="1463" spans="1:2" x14ac:dyDescent="0.3">
      <c r="A1463" s="6" t="s">
        <v>88</v>
      </c>
      <c r="B1463">
        <f>VLOOKUP(A1463,Table1[[Item Purchased]:[Subscription Status]],8,FALSE)</f>
        <v>4.0999999999999996</v>
      </c>
    </row>
    <row r="1464" spans="1:2" x14ac:dyDescent="0.3">
      <c r="A1464" s="5" t="s">
        <v>49</v>
      </c>
      <c r="B1464">
        <f>VLOOKUP(A1464,Table1[[Item Purchased]:[Subscription Status]],8,FALSE)</f>
        <v>2.9</v>
      </c>
    </row>
    <row r="1465" spans="1:2" x14ac:dyDescent="0.3">
      <c r="A1465" s="6" t="s">
        <v>105</v>
      </c>
      <c r="B1465">
        <f>VLOOKUP(A1465,Table1[[Item Purchased]:[Subscription Status]],8,FALSE)</f>
        <v>3.6</v>
      </c>
    </row>
    <row r="1466" spans="1:2" x14ac:dyDescent="0.3">
      <c r="A1466" s="5" t="s">
        <v>132</v>
      </c>
      <c r="B1466">
        <f>VLOOKUP(A1466,Table1[[Item Purchased]:[Subscription Status]],8,FALSE)</f>
        <v>4.5999999999999996</v>
      </c>
    </row>
    <row r="1467" spans="1:2" x14ac:dyDescent="0.3">
      <c r="A1467" s="6" t="s">
        <v>142</v>
      </c>
      <c r="B1467">
        <f>VLOOKUP(A1467,Table1[[Item Purchased]:[Subscription Status]],8,FALSE)</f>
        <v>4.5</v>
      </c>
    </row>
    <row r="1468" spans="1:2" x14ac:dyDescent="0.3">
      <c r="A1468" s="5" t="s">
        <v>58</v>
      </c>
      <c r="B1468">
        <f>VLOOKUP(A1468,Table1[[Item Purchased]:[Subscription Status]],8,FALSE)</f>
        <v>3.2</v>
      </c>
    </row>
    <row r="1469" spans="1:2" x14ac:dyDescent="0.3">
      <c r="A1469" s="6" t="s">
        <v>105</v>
      </c>
      <c r="B1469">
        <f>VLOOKUP(A1469,Table1[[Item Purchased]:[Subscription Status]],8,FALSE)</f>
        <v>3.6</v>
      </c>
    </row>
    <row r="1470" spans="1:2" x14ac:dyDescent="0.3">
      <c r="A1470" s="5" t="s">
        <v>142</v>
      </c>
      <c r="B1470">
        <f>VLOOKUP(A1470,Table1[[Item Purchased]:[Subscription Status]],8,FALSE)</f>
        <v>4.5</v>
      </c>
    </row>
    <row r="1471" spans="1:2" x14ac:dyDescent="0.3">
      <c r="A1471" s="6" t="s">
        <v>105</v>
      </c>
      <c r="B1471">
        <f>VLOOKUP(A1471,Table1[[Item Purchased]:[Subscription Status]],8,FALSE)</f>
        <v>3.6</v>
      </c>
    </row>
    <row r="1472" spans="1:2" x14ac:dyDescent="0.3">
      <c r="A1472" s="5" t="s">
        <v>40</v>
      </c>
      <c r="B1472">
        <f>VLOOKUP(A1472,Table1[[Item Purchased]:[Subscription Status]],8,FALSE)</f>
        <v>3.5</v>
      </c>
    </row>
    <row r="1473" spans="1:2" x14ac:dyDescent="0.3">
      <c r="A1473" s="6" t="s">
        <v>105</v>
      </c>
      <c r="B1473">
        <f>VLOOKUP(A1473,Table1[[Item Purchased]:[Subscription Status]],8,FALSE)</f>
        <v>3.6</v>
      </c>
    </row>
    <row r="1474" spans="1:2" x14ac:dyDescent="0.3">
      <c r="A1474" s="5" t="s">
        <v>123</v>
      </c>
      <c r="B1474">
        <f>VLOOKUP(A1474,Table1[[Item Purchased]:[Subscription Status]],8,FALSE)</f>
        <v>4.5999999999999996</v>
      </c>
    </row>
    <row r="1475" spans="1:2" x14ac:dyDescent="0.3">
      <c r="A1475" s="6" t="s">
        <v>58</v>
      </c>
      <c r="B1475">
        <f>VLOOKUP(A1475,Table1[[Item Purchased]:[Subscription Status]],8,FALSE)</f>
        <v>3.2</v>
      </c>
    </row>
    <row r="1476" spans="1:2" x14ac:dyDescent="0.3">
      <c r="A1476" s="5" t="s">
        <v>29</v>
      </c>
      <c r="B1476">
        <f>VLOOKUP(A1476,Table1[[Item Purchased]:[Subscription Status]],8,FALSE)</f>
        <v>3.1</v>
      </c>
    </row>
    <row r="1477" spans="1:2" x14ac:dyDescent="0.3">
      <c r="A1477" s="6" t="s">
        <v>19</v>
      </c>
      <c r="B1477">
        <f>VLOOKUP(A1477,Table1[[Item Purchased]:[Subscription Status]],8,FALSE)</f>
        <v>3.1</v>
      </c>
    </row>
    <row r="1478" spans="1:2" x14ac:dyDescent="0.3">
      <c r="A1478" s="5" t="s">
        <v>123</v>
      </c>
      <c r="B1478">
        <f>VLOOKUP(A1478,Table1[[Item Purchased]:[Subscription Status]],8,FALSE)</f>
        <v>4.5999999999999996</v>
      </c>
    </row>
    <row r="1479" spans="1:2" x14ac:dyDescent="0.3">
      <c r="A1479" s="6" t="s">
        <v>132</v>
      </c>
      <c r="B1479">
        <f>VLOOKUP(A1479,Table1[[Item Purchased]:[Subscription Status]],8,FALSE)</f>
        <v>4.5999999999999996</v>
      </c>
    </row>
    <row r="1480" spans="1:2" x14ac:dyDescent="0.3">
      <c r="A1480" s="5" t="s">
        <v>142</v>
      </c>
      <c r="B1480">
        <f>VLOOKUP(A1480,Table1[[Item Purchased]:[Subscription Status]],8,FALSE)</f>
        <v>4.5</v>
      </c>
    </row>
    <row r="1481" spans="1:2" x14ac:dyDescent="0.3">
      <c r="A1481" s="6" t="s">
        <v>61</v>
      </c>
      <c r="B1481">
        <f>VLOOKUP(A1481,Table1[[Item Purchased]:[Subscription Status]],8,FALSE)</f>
        <v>2.6</v>
      </c>
    </row>
    <row r="1482" spans="1:2" x14ac:dyDescent="0.3">
      <c r="A1482" s="5" t="s">
        <v>105</v>
      </c>
      <c r="B1482">
        <f>VLOOKUP(A1482,Table1[[Item Purchased]:[Subscription Status]],8,FALSE)</f>
        <v>3.6</v>
      </c>
    </row>
    <row r="1483" spans="1:2" x14ac:dyDescent="0.3">
      <c r="A1483" s="6" t="s">
        <v>86</v>
      </c>
      <c r="B1483">
        <f>VLOOKUP(A1483,Table1[[Item Purchased]:[Subscription Status]],8,FALSE)</f>
        <v>2.8</v>
      </c>
    </row>
    <row r="1484" spans="1:2" x14ac:dyDescent="0.3">
      <c r="A1484" s="5" t="s">
        <v>142</v>
      </c>
      <c r="B1484">
        <f>VLOOKUP(A1484,Table1[[Item Purchased]:[Subscription Status]],8,FALSE)</f>
        <v>4.5</v>
      </c>
    </row>
    <row r="1485" spans="1:2" x14ac:dyDescent="0.3">
      <c r="A1485" s="6" t="s">
        <v>105</v>
      </c>
      <c r="B1485">
        <f>VLOOKUP(A1485,Table1[[Item Purchased]:[Subscription Status]],8,FALSE)</f>
        <v>3.6</v>
      </c>
    </row>
    <row r="1486" spans="1:2" x14ac:dyDescent="0.3">
      <c r="A1486" s="5" t="s">
        <v>58</v>
      </c>
      <c r="B1486">
        <f>VLOOKUP(A1486,Table1[[Item Purchased]:[Subscription Status]],8,FALSE)</f>
        <v>3.2</v>
      </c>
    </row>
    <row r="1487" spans="1:2" x14ac:dyDescent="0.3">
      <c r="A1487" s="6" t="s">
        <v>142</v>
      </c>
      <c r="B1487">
        <f>VLOOKUP(A1487,Table1[[Item Purchased]:[Subscription Status]],8,FALSE)</f>
        <v>4.5</v>
      </c>
    </row>
    <row r="1488" spans="1:2" x14ac:dyDescent="0.3">
      <c r="A1488" s="5" t="s">
        <v>49</v>
      </c>
      <c r="B1488">
        <f>VLOOKUP(A1488,Table1[[Item Purchased]:[Subscription Status]],8,FALSE)</f>
        <v>2.9</v>
      </c>
    </row>
    <row r="1489" spans="1:2" x14ac:dyDescent="0.3">
      <c r="A1489" s="6" t="s">
        <v>86</v>
      </c>
      <c r="B1489">
        <f>VLOOKUP(A1489,Table1[[Item Purchased]:[Subscription Status]],8,FALSE)</f>
        <v>2.8</v>
      </c>
    </row>
    <row r="1490" spans="1:2" x14ac:dyDescent="0.3">
      <c r="A1490" s="5" t="s">
        <v>123</v>
      </c>
      <c r="B1490">
        <f>VLOOKUP(A1490,Table1[[Item Purchased]:[Subscription Status]],8,FALSE)</f>
        <v>4.5999999999999996</v>
      </c>
    </row>
    <row r="1491" spans="1:2" x14ac:dyDescent="0.3">
      <c r="A1491" s="6" t="s">
        <v>105</v>
      </c>
      <c r="B1491">
        <f>VLOOKUP(A1491,Table1[[Item Purchased]:[Subscription Status]],8,FALSE)</f>
        <v>3.6</v>
      </c>
    </row>
    <row r="1492" spans="1:2" x14ac:dyDescent="0.3">
      <c r="A1492" s="5" t="s">
        <v>49</v>
      </c>
      <c r="B1492">
        <f>VLOOKUP(A1492,Table1[[Item Purchased]:[Subscription Status]],8,FALSE)</f>
        <v>2.9</v>
      </c>
    </row>
    <row r="1493" spans="1:2" x14ac:dyDescent="0.3">
      <c r="A1493" s="6" t="s">
        <v>54</v>
      </c>
      <c r="B1493">
        <f>VLOOKUP(A1493,Table1[[Item Purchased]:[Subscription Status]],8,FALSE)</f>
        <v>3.2</v>
      </c>
    </row>
    <row r="1494" spans="1:2" x14ac:dyDescent="0.3">
      <c r="A1494" s="5" t="s">
        <v>101</v>
      </c>
      <c r="B1494">
        <f>VLOOKUP(A1494,Table1[[Item Purchased]:[Subscription Status]],8,FALSE)</f>
        <v>2.9</v>
      </c>
    </row>
    <row r="1495" spans="1:2" x14ac:dyDescent="0.3">
      <c r="A1495" s="6" t="s">
        <v>132</v>
      </c>
      <c r="B1495">
        <f>VLOOKUP(A1495,Table1[[Item Purchased]:[Subscription Status]],8,FALSE)</f>
        <v>4.5999999999999996</v>
      </c>
    </row>
    <row r="1496" spans="1:2" x14ac:dyDescent="0.3">
      <c r="A1496" s="5" t="s">
        <v>112</v>
      </c>
      <c r="B1496">
        <f>VLOOKUP(A1496,Table1[[Item Purchased]:[Subscription Status]],8,FALSE)</f>
        <v>4.5999999999999996</v>
      </c>
    </row>
    <row r="1497" spans="1:2" x14ac:dyDescent="0.3">
      <c r="A1497" s="6" t="s">
        <v>105</v>
      </c>
      <c r="B1497">
        <f>VLOOKUP(A1497,Table1[[Item Purchased]:[Subscription Status]],8,FALSE)</f>
        <v>3.6</v>
      </c>
    </row>
    <row r="1498" spans="1:2" x14ac:dyDescent="0.3">
      <c r="A1498" s="5" t="s">
        <v>112</v>
      </c>
      <c r="B1498">
        <f>VLOOKUP(A1498,Table1[[Item Purchased]:[Subscription Status]],8,FALSE)</f>
        <v>4.5999999999999996</v>
      </c>
    </row>
    <row r="1499" spans="1:2" x14ac:dyDescent="0.3">
      <c r="A1499" s="6" t="s">
        <v>101</v>
      </c>
      <c r="B1499">
        <f>VLOOKUP(A1499,Table1[[Item Purchased]:[Subscription Status]],8,FALSE)</f>
        <v>2.9</v>
      </c>
    </row>
    <row r="1500" spans="1:2" x14ac:dyDescent="0.3">
      <c r="A1500" s="5" t="s">
        <v>29</v>
      </c>
      <c r="B1500">
        <f>VLOOKUP(A1500,Table1[[Item Purchased]:[Subscription Status]],8,FALSE)</f>
        <v>3.1</v>
      </c>
    </row>
    <row r="1501" spans="1:2" x14ac:dyDescent="0.3">
      <c r="A1501" s="6" t="s">
        <v>136</v>
      </c>
      <c r="B1501">
        <f>VLOOKUP(A1501,Table1[[Item Purchased]:[Subscription Status]],8,FALSE)</f>
        <v>4.8</v>
      </c>
    </row>
    <row r="1502" spans="1:2" x14ac:dyDescent="0.3">
      <c r="A1502" s="5" t="s">
        <v>33</v>
      </c>
      <c r="B1502">
        <f>VLOOKUP(A1502,Table1[[Item Purchased]:[Subscription Status]],8,FALSE)</f>
        <v>3.1</v>
      </c>
    </row>
    <row r="1503" spans="1:2" x14ac:dyDescent="0.3">
      <c r="A1503" s="6" t="s">
        <v>33</v>
      </c>
      <c r="B1503">
        <f>VLOOKUP(A1503,Table1[[Item Purchased]:[Subscription Status]],8,FALSE)</f>
        <v>3.1</v>
      </c>
    </row>
    <row r="1504" spans="1:2" x14ac:dyDescent="0.3">
      <c r="A1504" s="5" t="s">
        <v>94</v>
      </c>
      <c r="B1504">
        <f>VLOOKUP(A1504,Table1[[Item Purchased]:[Subscription Status]],8,FALSE)</f>
        <v>3.3</v>
      </c>
    </row>
    <row r="1505" spans="1:2" x14ac:dyDescent="0.3">
      <c r="A1505" s="6" t="s">
        <v>101</v>
      </c>
      <c r="B1505">
        <f>VLOOKUP(A1505,Table1[[Item Purchased]:[Subscription Status]],8,FALSE)</f>
        <v>2.9</v>
      </c>
    </row>
    <row r="1506" spans="1:2" x14ac:dyDescent="0.3">
      <c r="A1506" s="5" t="s">
        <v>101</v>
      </c>
      <c r="B1506">
        <f>VLOOKUP(A1506,Table1[[Item Purchased]:[Subscription Status]],8,FALSE)</f>
        <v>2.9</v>
      </c>
    </row>
    <row r="1507" spans="1:2" x14ac:dyDescent="0.3">
      <c r="A1507" s="6" t="s">
        <v>132</v>
      </c>
      <c r="B1507">
        <f>VLOOKUP(A1507,Table1[[Item Purchased]:[Subscription Status]],8,FALSE)</f>
        <v>4.5999999999999996</v>
      </c>
    </row>
    <row r="1508" spans="1:2" x14ac:dyDescent="0.3">
      <c r="A1508" s="5" t="s">
        <v>54</v>
      </c>
      <c r="B1508">
        <f>VLOOKUP(A1508,Table1[[Item Purchased]:[Subscription Status]],8,FALSE)</f>
        <v>3.2</v>
      </c>
    </row>
    <row r="1509" spans="1:2" x14ac:dyDescent="0.3">
      <c r="A1509" s="6" t="s">
        <v>80</v>
      </c>
      <c r="B1509">
        <f>VLOOKUP(A1509,Table1[[Item Purchased]:[Subscription Status]],8,FALSE)</f>
        <v>4.7</v>
      </c>
    </row>
    <row r="1510" spans="1:2" x14ac:dyDescent="0.3">
      <c r="A1510" s="5" t="s">
        <v>19</v>
      </c>
      <c r="B1510">
        <f>VLOOKUP(A1510,Table1[[Item Purchased]:[Subscription Status]],8,FALSE)</f>
        <v>3.1</v>
      </c>
    </row>
    <row r="1511" spans="1:2" x14ac:dyDescent="0.3">
      <c r="A1511" s="6" t="s">
        <v>80</v>
      </c>
      <c r="B1511">
        <f>VLOOKUP(A1511,Table1[[Item Purchased]:[Subscription Status]],8,FALSE)</f>
        <v>4.7</v>
      </c>
    </row>
    <row r="1512" spans="1:2" x14ac:dyDescent="0.3">
      <c r="A1512" s="5" t="s">
        <v>19</v>
      </c>
      <c r="B1512">
        <f>VLOOKUP(A1512,Table1[[Item Purchased]:[Subscription Status]],8,FALSE)</f>
        <v>3.1</v>
      </c>
    </row>
    <row r="1513" spans="1:2" x14ac:dyDescent="0.3">
      <c r="A1513" s="6" t="s">
        <v>80</v>
      </c>
      <c r="B1513">
        <f>VLOOKUP(A1513,Table1[[Item Purchased]:[Subscription Status]],8,FALSE)</f>
        <v>4.7</v>
      </c>
    </row>
    <row r="1514" spans="1:2" x14ac:dyDescent="0.3">
      <c r="A1514" s="5" t="s">
        <v>49</v>
      </c>
      <c r="B1514">
        <f>VLOOKUP(A1514,Table1[[Item Purchased]:[Subscription Status]],8,FALSE)</f>
        <v>2.9</v>
      </c>
    </row>
    <row r="1515" spans="1:2" x14ac:dyDescent="0.3">
      <c r="A1515" s="6" t="s">
        <v>124</v>
      </c>
      <c r="B1515">
        <f>VLOOKUP(A1515,Table1[[Item Purchased]:[Subscription Status]],8,FALSE)</f>
        <v>2.9</v>
      </c>
    </row>
    <row r="1516" spans="1:2" x14ac:dyDescent="0.3">
      <c r="A1516" s="5" t="s">
        <v>70</v>
      </c>
      <c r="B1516">
        <f>VLOOKUP(A1516,Table1[[Item Purchased]:[Subscription Status]],8,FALSE)</f>
        <v>4.0999999999999996</v>
      </c>
    </row>
    <row r="1517" spans="1:2" x14ac:dyDescent="0.3">
      <c r="A1517" s="6" t="s">
        <v>33</v>
      </c>
      <c r="B1517">
        <f>VLOOKUP(A1517,Table1[[Item Purchased]:[Subscription Status]],8,FALSE)</f>
        <v>3.1</v>
      </c>
    </row>
    <row r="1518" spans="1:2" x14ac:dyDescent="0.3">
      <c r="A1518" s="5" t="s">
        <v>33</v>
      </c>
      <c r="B1518">
        <f>VLOOKUP(A1518,Table1[[Item Purchased]:[Subscription Status]],8,FALSE)</f>
        <v>3.1</v>
      </c>
    </row>
    <row r="1519" spans="1:2" x14ac:dyDescent="0.3">
      <c r="A1519" s="6" t="s">
        <v>142</v>
      </c>
      <c r="B1519">
        <f>VLOOKUP(A1519,Table1[[Item Purchased]:[Subscription Status]],8,FALSE)</f>
        <v>4.5</v>
      </c>
    </row>
    <row r="1520" spans="1:2" x14ac:dyDescent="0.3">
      <c r="A1520" s="5" t="s">
        <v>132</v>
      </c>
      <c r="B1520">
        <f>VLOOKUP(A1520,Table1[[Item Purchased]:[Subscription Status]],8,FALSE)</f>
        <v>4.5999999999999996</v>
      </c>
    </row>
    <row r="1521" spans="1:2" x14ac:dyDescent="0.3">
      <c r="A1521" s="6" t="s">
        <v>88</v>
      </c>
      <c r="B1521">
        <f>VLOOKUP(A1521,Table1[[Item Purchased]:[Subscription Status]],8,FALSE)</f>
        <v>4.0999999999999996</v>
      </c>
    </row>
    <row r="1522" spans="1:2" x14ac:dyDescent="0.3">
      <c r="A1522" s="5" t="s">
        <v>123</v>
      </c>
      <c r="B1522">
        <f>VLOOKUP(A1522,Table1[[Item Purchased]:[Subscription Status]],8,FALSE)</f>
        <v>4.5999999999999996</v>
      </c>
    </row>
    <row r="1523" spans="1:2" x14ac:dyDescent="0.3">
      <c r="A1523" s="6" t="s">
        <v>131</v>
      </c>
      <c r="B1523">
        <f>VLOOKUP(A1523,Table1[[Item Purchased]:[Subscription Status]],8,FALSE)</f>
        <v>4.7</v>
      </c>
    </row>
    <row r="1524" spans="1:2" x14ac:dyDescent="0.3">
      <c r="A1524" s="5" t="s">
        <v>58</v>
      </c>
      <c r="B1524">
        <f>VLOOKUP(A1524,Table1[[Item Purchased]:[Subscription Status]],8,FALSE)</f>
        <v>3.2</v>
      </c>
    </row>
    <row r="1525" spans="1:2" x14ac:dyDescent="0.3">
      <c r="A1525" s="6" t="s">
        <v>124</v>
      </c>
      <c r="B1525">
        <f>VLOOKUP(A1525,Table1[[Item Purchased]:[Subscription Status]],8,FALSE)</f>
        <v>2.9</v>
      </c>
    </row>
    <row r="1526" spans="1:2" x14ac:dyDescent="0.3">
      <c r="A1526" s="5" t="s">
        <v>124</v>
      </c>
      <c r="B1526">
        <f>VLOOKUP(A1526,Table1[[Item Purchased]:[Subscription Status]],8,FALSE)</f>
        <v>2.9</v>
      </c>
    </row>
    <row r="1527" spans="1:2" x14ac:dyDescent="0.3">
      <c r="A1527" s="6" t="s">
        <v>132</v>
      </c>
      <c r="B1527">
        <f>VLOOKUP(A1527,Table1[[Item Purchased]:[Subscription Status]],8,FALSE)</f>
        <v>4.5999999999999996</v>
      </c>
    </row>
    <row r="1528" spans="1:2" x14ac:dyDescent="0.3">
      <c r="A1528" s="5" t="s">
        <v>101</v>
      </c>
      <c r="B1528">
        <f>VLOOKUP(A1528,Table1[[Item Purchased]:[Subscription Status]],8,FALSE)</f>
        <v>2.9</v>
      </c>
    </row>
    <row r="1529" spans="1:2" x14ac:dyDescent="0.3">
      <c r="A1529" s="6" t="s">
        <v>123</v>
      </c>
      <c r="B1529">
        <f>VLOOKUP(A1529,Table1[[Item Purchased]:[Subscription Status]],8,FALSE)</f>
        <v>4.5999999999999996</v>
      </c>
    </row>
    <row r="1530" spans="1:2" x14ac:dyDescent="0.3">
      <c r="A1530" s="5" t="s">
        <v>112</v>
      </c>
      <c r="B1530">
        <f>VLOOKUP(A1530,Table1[[Item Purchased]:[Subscription Status]],8,FALSE)</f>
        <v>4.5999999999999996</v>
      </c>
    </row>
    <row r="1531" spans="1:2" x14ac:dyDescent="0.3">
      <c r="A1531" s="6" t="s">
        <v>131</v>
      </c>
      <c r="B1531">
        <f>VLOOKUP(A1531,Table1[[Item Purchased]:[Subscription Status]],8,FALSE)</f>
        <v>4.7</v>
      </c>
    </row>
    <row r="1532" spans="1:2" x14ac:dyDescent="0.3">
      <c r="A1532" s="5" t="s">
        <v>61</v>
      </c>
      <c r="B1532">
        <f>VLOOKUP(A1532,Table1[[Item Purchased]:[Subscription Status]],8,FALSE)</f>
        <v>2.6</v>
      </c>
    </row>
    <row r="1533" spans="1:2" x14ac:dyDescent="0.3">
      <c r="A1533" s="6" t="s">
        <v>131</v>
      </c>
      <c r="B1533">
        <f>VLOOKUP(A1533,Table1[[Item Purchased]:[Subscription Status]],8,FALSE)</f>
        <v>4.7</v>
      </c>
    </row>
    <row r="1534" spans="1:2" x14ac:dyDescent="0.3">
      <c r="A1534" s="5" t="s">
        <v>101</v>
      </c>
      <c r="B1534">
        <f>VLOOKUP(A1534,Table1[[Item Purchased]:[Subscription Status]],8,FALSE)</f>
        <v>2.9</v>
      </c>
    </row>
    <row r="1535" spans="1:2" x14ac:dyDescent="0.3">
      <c r="A1535" s="6" t="s">
        <v>70</v>
      </c>
      <c r="B1535">
        <f>VLOOKUP(A1535,Table1[[Item Purchased]:[Subscription Status]],8,FALSE)</f>
        <v>4.0999999999999996</v>
      </c>
    </row>
    <row r="1536" spans="1:2" x14ac:dyDescent="0.3">
      <c r="A1536" s="5" t="s">
        <v>19</v>
      </c>
      <c r="B1536">
        <f>VLOOKUP(A1536,Table1[[Item Purchased]:[Subscription Status]],8,FALSE)</f>
        <v>3.1</v>
      </c>
    </row>
    <row r="1537" spans="1:2" x14ac:dyDescent="0.3">
      <c r="A1537" s="6" t="s">
        <v>40</v>
      </c>
      <c r="B1537">
        <f>VLOOKUP(A1537,Table1[[Item Purchased]:[Subscription Status]],8,FALSE)</f>
        <v>3.5</v>
      </c>
    </row>
    <row r="1538" spans="1:2" x14ac:dyDescent="0.3">
      <c r="A1538" s="5" t="s">
        <v>88</v>
      </c>
      <c r="B1538">
        <f>VLOOKUP(A1538,Table1[[Item Purchased]:[Subscription Status]],8,FALSE)</f>
        <v>4.0999999999999996</v>
      </c>
    </row>
    <row r="1539" spans="1:2" x14ac:dyDescent="0.3">
      <c r="A1539" s="6" t="s">
        <v>70</v>
      </c>
      <c r="B1539">
        <f>VLOOKUP(A1539,Table1[[Item Purchased]:[Subscription Status]],8,FALSE)</f>
        <v>4.0999999999999996</v>
      </c>
    </row>
    <row r="1540" spans="1:2" x14ac:dyDescent="0.3">
      <c r="A1540" s="5" t="s">
        <v>80</v>
      </c>
      <c r="B1540">
        <f>VLOOKUP(A1540,Table1[[Item Purchased]:[Subscription Status]],8,FALSE)</f>
        <v>4.7</v>
      </c>
    </row>
    <row r="1541" spans="1:2" x14ac:dyDescent="0.3">
      <c r="A1541" s="6" t="s">
        <v>132</v>
      </c>
      <c r="B1541">
        <f>VLOOKUP(A1541,Table1[[Item Purchased]:[Subscription Status]],8,FALSE)</f>
        <v>4.5999999999999996</v>
      </c>
    </row>
    <row r="1542" spans="1:2" x14ac:dyDescent="0.3">
      <c r="A1542" s="5" t="s">
        <v>58</v>
      </c>
      <c r="B1542">
        <f>VLOOKUP(A1542,Table1[[Item Purchased]:[Subscription Status]],8,FALSE)</f>
        <v>3.2</v>
      </c>
    </row>
    <row r="1543" spans="1:2" x14ac:dyDescent="0.3">
      <c r="A1543" s="6" t="s">
        <v>65</v>
      </c>
      <c r="B1543">
        <f>VLOOKUP(A1543,Table1[[Item Purchased]:[Subscription Status]],8,FALSE)</f>
        <v>4.8</v>
      </c>
    </row>
    <row r="1544" spans="1:2" x14ac:dyDescent="0.3">
      <c r="A1544" s="5" t="s">
        <v>19</v>
      </c>
      <c r="B1544">
        <f>VLOOKUP(A1544,Table1[[Item Purchased]:[Subscription Status]],8,FALSE)</f>
        <v>3.1</v>
      </c>
    </row>
    <row r="1545" spans="1:2" x14ac:dyDescent="0.3">
      <c r="A1545" s="6" t="s">
        <v>33</v>
      </c>
      <c r="B1545">
        <f>VLOOKUP(A1545,Table1[[Item Purchased]:[Subscription Status]],8,FALSE)</f>
        <v>3.1</v>
      </c>
    </row>
    <row r="1546" spans="1:2" x14ac:dyDescent="0.3">
      <c r="A1546" s="5" t="s">
        <v>105</v>
      </c>
      <c r="B1546">
        <f>VLOOKUP(A1546,Table1[[Item Purchased]:[Subscription Status]],8,FALSE)</f>
        <v>3.6</v>
      </c>
    </row>
    <row r="1547" spans="1:2" x14ac:dyDescent="0.3">
      <c r="A1547" s="6" t="s">
        <v>132</v>
      </c>
      <c r="B1547">
        <f>VLOOKUP(A1547,Table1[[Item Purchased]:[Subscription Status]],8,FALSE)</f>
        <v>4.5999999999999996</v>
      </c>
    </row>
    <row r="1548" spans="1:2" x14ac:dyDescent="0.3">
      <c r="A1548" s="5" t="s">
        <v>49</v>
      </c>
      <c r="B1548">
        <f>VLOOKUP(A1548,Table1[[Item Purchased]:[Subscription Status]],8,FALSE)</f>
        <v>2.9</v>
      </c>
    </row>
    <row r="1549" spans="1:2" x14ac:dyDescent="0.3">
      <c r="A1549" s="6" t="s">
        <v>123</v>
      </c>
      <c r="B1549">
        <f>VLOOKUP(A1549,Table1[[Item Purchased]:[Subscription Status]],8,FALSE)</f>
        <v>4.5999999999999996</v>
      </c>
    </row>
    <row r="1550" spans="1:2" x14ac:dyDescent="0.3">
      <c r="A1550" s="5" t="s">
        <v>80</v>
      </c>
      <c r="B1550">
        <f>VLOOKUP(A1550,Table1[[Item Purchased]:[Subscription Status]],8,FALSE)</f>
        <v>4.7</v>
      </c>
    </row>
    <row r="1551" spans="1:2" x14ac:dyDescent="0.3">
      <c r="A1551" s="6" t="s">
        <v>49</v>
      </c>
      <c r="B1551">
        <f>VLOOKUP(A1551,Table1[[Item Purchased]:[Subscription Status]],8,FALSE)</f>
        <v>2.9</v>
      </c>
    </row>
    <row r="1552" spans="1:2" x14ac:dyDescent="0.3">
      <c r="A1552" s="5" t="s">
        <v>88</v>
      </c>
      <c r="B1552">
        <f>VLOOKUP(A1552,Table1[[Item Purchased]:[Subscription Status]],8,FALSE)</f>
        <v>4.0999999999999996</v>
      </c>
    </row>
    <row r="1553" spans="1:2" x14ac:dyDescent="0.3">
      <c r="A1553" s="6" t="s">
        <v>65</v>
      </c>
      <c r="B1553">
        <f>VLOOKUP(A1553,Table1[[Item Purchased]:[Subscription Status]],8,FALSE)</f>
        <v>4.8</v>
      </c>
    </row>
    <row r="1554" spans="1:2" x14ac:dyDescent="0.3">
      <c r="A1554" s="5" t="s">
        <v>19</v>
      </c>
      <c r="B1554">
        <f>VLOOKUP(A1554,Table1[[Item Purchased]:[Subscription Status]],8,FALSE)</f>
        <v>3.1</v>
      </c>
    </row>
    <row r="1555" spans="1:2" x14ac:dyDescent="0.3">
      <c r="A1555" s="6" t="s">
        <v>19</v>
      </c>
      <c r="B1555">
        <f>VLOOKUP(A1555,Table1[[Item Purchased]:[Subscription Status]],8,FALSE)</f>
        <v>3.1</v>
      </c>
    </row>
    <row r="1556" spans="1:2" x14ac:dyDescent="0.3">
      <c r="A1556" s="5" t="s">
        <v>58</v>
      </c>
      <c r="B1556">
        <f>VLOOKUP(A1556,Table1[[Item Purchased]:[Subscription Status]],8,FALSE)</f>
        <v>3.2</v>
      </c>
    </row>
    <row r="1557" spans="1:2" x14ac:dyDescent="0.3">
      <c r="A1557" s="6" t="s">
        <v>58</v>
      </c>
      <c r="B1557">
        <f>VLOOKUP(A1557,Table1[[Item Purchased]:[Subscription Status]],8,FALSE)</f>
        <v>3.2</v>
      </c>
    </row>
    <row r="1558" spans="1:2" x14ac:dyDescent="0.3">
      <c r="A1558" s="5" t="s">
        <v>103</v>
      </c>
      <c r="B1558">
        <f>VLOOKUP(A1558,Table1[[Item Purchased]:[Subscription Status]],8,FALSE)</f>
        <v>3.6</v>
      </c>
    </row>
    <row r="1559" spans="1:2" x14ac:dyDescent="0.3">
      <c r="A1559" s="6" t="s">
        <v>131</v>
      </c>
      <c r="B1559">
        <f>VLOOKUP(A1559,Table1[[Item Purchased]:[Subscription Status]],8,FALSE)</f>
        <v>4.7</v>
      </c>
    </row>
    <row r="1560" spans="1:2" x14ac:dyDescent="0.3">
      <c r="A1560" s="5" t="s">
        <v>88</v>
      </c>
      <c r="B1560">
        <f>VLOOKUP(A1560,Table1[[Item Purchased]:[Subscription Status]],8,FALSE)</f>
        <v>4.0999999999999996</v>
      </c>
    </row>
    <row r="1561" spans="1:2" x14ac:dyDescent="0.3">
      <c r="A1561" s="6" t="s">
        <v>118</v>
      </c>
      <c r="B1561">
        <f>VLOOKUP(A1561,Table1[[Item Purchased]:[Subscription Status]],8,FALSE)</f>
        <v>4.5</v>
      </c>
    </row>
    <row r="1562" spans="1:2" x14ac:dyDescent="0.3">
      <c r="A1562" s="5" t="s">
        <v>123</v>
      </c>
      <c r="B1562">
        <f>VLOOKUP(A1562,Table1[[Item Purchased]:[Subscription Status]],8,FALSE)</f>
        <v>4.5999999999999996</v>
      </c>
    </row>
    <row r="1563" spans="1:2" x14ac:dyDescent="0.3">
      <c r="A1563" s="6" t="s">
        <v>118</v>
      </c>
      <c r="B1563">
        <f>VLOOKUP(A1563,Table1[[Item Purchased]:[Subscription Status]],8,FALSE)</f>
        <v>4.5</v>
      </c>
    </row>
    <row r="1564" spans="1:2" x14ac:dyDescent="0.3">
      <c r="A1564" s="5" t="s">
        <v>118</v>
      </c>
      <c r="B1564">
        <f>VLOOKUP(A1564,Table1[[Item Purchased]:[Subscription Status]],8,FALSE)</f>
        <v>4.5</v>
      </c>
    </row>
    <row r="1565" spans="1:2" x14ac:dyDescent="0.3">
      <c r="A1565" s="6" t="s">
        <v>94</v>
      </c>
      <c r="B1565">
        <f>VLOOKUP(A1565,Table1[[Item Purchased]:[Subscription Status]],8,FALSE)</f>
        <v>3.3</v>
      </c>
    </row>
    <row r="1566" spans="1:2" x14ac:dyDescent="0.3">
      <c r="A1566" s="5" t="s">
        <v>131</v>
      </c>
      <c r="B1566">
        <f>VLOOKUP(A1566,Table1[[Item Purchased]:[Subscription Status]],8,FALSE)</f>
        <v>4.7</v>
      </c>
    </row>
    <row r="1567" spans="1:2" x14ac:dyDescent="0.3">
      <c r="A1567" s="6" t="s">
        <v>88</v>
      </c>
      <c r="B1567">
        <f>VLOOKUP(A1567,Table1[[Item Purchased]:[Subscription Status]],8,FALSE)</f>
        <v>4.0999999999999996</v>
      </c>
    </row>
    <row r="1568" spans="1:2" x14ac:dyDescent="0.3">
      <c r="A1568" s="5" t="s">
        <v>49</v>
      </c>
      <c r="B1568">
        <f>VLOOKUP(A1568,Table1[[Item Purchased]:[Subscription Status]],8,FALSE)</f>
        <v>2.9</v>
      </c>
    </row>
    <row r="1569" spans="1:2" x14ac:dyDescent="0.3">
      <c r="A1569" s="6" t="s">
        <v>131</v>
      </c>
      <c r="B1569">
        <f>VLOOKUP(A1569,Table1[[Item Purchased]:[Subscription Status]],8,FALSE)</f>
        <v>4.7</v>
      </c>
    </row>
    <row r="1570" spans="1:2" x14ac:dyDescent="0.3">
      <c r="A1570" s="5" t="s">
        <v>49</v>
      </c>
      <c r="B1570">
        <f>VLOOKUP(A1570,Table1[[Item Purchased]:[Subscription Status]],8,FALSE)</f>
        <v>2.9</v>
      </c>
    </row>
    <row r="1571" spans="1:2" x14ac:dyDescent="0.3">
      <c r="A1571" s="6" t="s">
        <v>86</v>
      </c>
      <c r="B1571">
        <f>VLOOKUP(A1571,Table1[[Item Purchased]:[Subscription Status]],8,FALSE)</f>
        <v>2.8</v>
      </c>
    </row>
    <row r="1572" spans="1:2" x14ac:dyDescent="0.3">
      <c r="A1572" s="5" t="s">
        <v>94</v>
      </c>
      <c r="B1572">
        <f>VLOOKUP(A1572,Table1[[Item Purchased]:[Subscription Status]],8,FALSE)</f>
        <v>3.3</v>
      </c>
    </row>
    <row r="1573" spans="1:2" x14ac:dyDescent="0.3">
      <c r="A1573" s="6" t="s">
        <v>105</v>
      </c>
      <c r="B1573">
        <f>VLOOKUP(A1573,Table1[[Item Purchased]:[Subscription Status]],8,FALSE)</f>
        <v>3.6</v>
      </c>
    </row>
    <row r="1574" spans="1:2" x14ac:dyDescent="0.3">
      <c r="A1574" s="5" t="s">
        <v>86</v>
      </c>
      <c r="B1574">
        <f>VLOOKUP(A1574,Table1[[Item Purchased]:[Subscription Status]],8,FALSE)</f>
        <v>2.8</v>
      </c>
    </row>
    <row r="1575" spans="1:2" x14ac:dyDescent="0.3">
      <c r="A1575" s="6" t="s">
        <v>112</v>
      </c>
      <c r="B1575">
        <f>VLOOKUP(A1575,Table1[[Item Purchased]:[Subscription Status]],8,FALSE)</f>
        <v>4.5999999999999996</v>
      </c>
    </row>
    <row r="1576" spans="1:2" x14ac:dyDescent="0.3">
      <c r="A1576" s="5" t="s">
        <v>86</v>
      </c>
      <c r="B1576">
        <f>VLOOKUP(A1576,Table1[[Item Purchased]:[Subscription Status]],8,FALSE)</f>
        <v>2.8</v>
      </c>
    </row>
    <row r="1577" spans="1:2" x14ac:dyDescent="0.3">
      <c r="A1577" s="6" t="s">
        <v>54</v>
      </c>
      <c r="B1577">
        <f>VLOOKUP(A1577,Table1[[Item Purchased]:[Subscription Status]],8,FALSE)</f>
        <v>3.2</v>
      </c>
    </row>
    <row r="1578" spans="1:2" x14ac:dyDescent="0.3">
      <c r="A1578" s="5" t="s">
        <v>80</v>
      </c>
      <c r="B1578">
        <f>VLOOKUP(A1578,Table1[[Item Purchased]:[Subscription Status]],8,FALSE)</f>
        <v>4.7</v>
      </c>
    </row>
    <row r="1579" spans="1:2" x14ac:dyDescent="0.3">
      <c r="A1579" s="6" t="s">
        <v>136</v>
      </c>
      <c r="B1579">
        <f>VLOOKUP(A1579,Table1[[Item Purchased]:[Subscription Status]],8,FALSE)</f>
        <v>4.8</v>
      </c>
    </row>
    <row r="1580" spans="1:2" x14ac:dyDescent="0.3">
      <c r="A1580" s="5" t="s">
        <v>94</v>
      </c>
      <c r="B1580">
        <f>VLOOKUP(A1580,Table1[[Item Purchased]:[Subscription Status]],8,FALSE)</f>
        <v>3.3</v>
      </c>
    </row>
    <row r="1581" spans="1:2" x14ac:dyDescent="0.3">
      <c r="A1581" s="6" t="s">
        <v>101</v>
      </c>
      <c r="B1581">
        <f>VLOOKUP(A1581,Table1[[Item Purchased]:[Subscription Status]],8,FALSE)</f>
        <v>2.9</v>
      </c>
    </row>
    <row r="1582" spans="1:2" x14ac:dyDescent="0.3">
      <c r="A1582" s="5" t="s">
        <v>49</v>
      </c>
      <c r="B1582">
        <f>VLOOKUP(A1582,Table1[[Item Purchased]:[Subscription Status]],8,FALSE)</f>
        <v>2.9</v>
      </c>
    </row>
    <row r="1583" spans="1:2" x14ac:dyDescent="0.3">
      <c r="A1583" s="6" t="s">
        <v>105</v>
      </c>
      <c r="B1583">
        <f>VLOOKUP(A1583,Table1[[Item Purchased]:[Subscription Status]],8,FALSE)</f>
        <v>3.6</v>
      </c>
    </row>
    <row r="1584" spans="1:2" x14ac:dyDescent="0.3">
      <c r="A1584" s="5" t="s">
        <v>132</v>
      </c>
      <c r="B1584">
        <f>VLOOKUP(A1584,Table1[[Item Purchased]:[Subscription Status]],8,FALSE)</f>
        <v>4.5999999999999996</v>
      </c>
    </row>
    <row r="1585" spans="1:2" x14ac:dyDescent="0.3">
      <c r="A1585" s="6" t="s">
        <v>118</v>
      </c>
      <c r="B1585">
        <f>VLOOKUP(A1585,Table1[[Item Purchased]:[Subscription Status]],8,FALSE)</f>
        <v>4.5</v>
      </c>
    </row>
    <row r="1586" spans="1:2" x14ac:dyDescent="0.3">
      <c r="A1586" s="5" t="s">
        <v>19</v>
      </c>
      <c r="B1586">
        <f>VLOOKUP(A1586,Table1[[Item Purchased]:[Subscription Status]],8,FALSE)</f>
        <v>3.1</v>
      </c>
    </row>
    <row r="1587" spans="1:2" x14ac:dyDescent="0.3">
      <c r="A1587" s="6" t="s">
        <v>29</v>
      </c>
      <c r="B1587">
        <f>VLOOKUP(A1587,Table1[[Item Purchased]:[Subscription Status]],8,FALSE)</f>
        <v>3.1</v>
      </c>
    </row>
    <row r="1588" spans="1:2" x14ac:dyDescent="0.3">
      <c r="A1588" s="5" t="s">
        <v>136</v>
      </c>
      <c r="B1588">
        <f>VLOOKUP(A1588,Table1[[Item Purchased]:[Subscription Status]],8,FALSE)</f>
        <v>4.8</v>
      </c>
    </row>
    <row r="1589" spans="1:2" x14ac:dyDescent="0.3">
      <c r="A1589" s="6" t="s">
        <v>124</v>
      </c>
      <c r="B1589">
        <f>VLOOKUP(A1589,Table1[[Item Purchased]:[Subscription Status]],8,FALSE)</f>
        <v>2.9</v>
      </c>
    </row>
    <row r="1590" spans="1:2" x14ac:dyDescent="0.3">
      <c r="A1590" s="5" t="s">
        <v>132</v>
      </c>
      <c r="B1590">
        <f>VLOOKUP(A1590,Table1[[Item Purchased]:[Subscription Status]],8,FALSE)</f>
        <v>4.5999999999999996</v>
      </c>
    </row>
    <row r="1591" spans="1:2" x14ac:dyDescent="0.3">
      <c r="A1591" s="6" t="s">
        <v>49</v>
      </c>
      <c r="B1591">
        <f>VLOOKUP(A1591,Table1[[Item Purchased]:[Subscription Status]],8,FALSE)</f>
        <v>2.9</v>
      </c>
    </row>
    <row r="1592" spans="1:2" x14ac:dyDescent="0.3">
      <c r="A1592" s="5" t="s">
        <v>33</v>
      </c>
      <c r="B1592">
        <f>VLOOKUP(A1592,Table1[[Item Purchased]:[Subscription Status]],8,FALSE)</f>
        <v>3.1</v>
      </c>
    </row>
    <row r="1593" spans="1:2" x14ac:dyDescent="0.3">
      <c r="A1593" s="6" t="s">
        <v>86</v>
      </c>
      <c r="B1593">
        <f>VLOOKUP(A1593,Table1[[Item Purchased]:[Subscription Status]],8,FALSE)</f>
        <v>2.8</v>
      </c>
    </row>
    <row r="1594" spans="1:2" x14ac:dyDescent="0.3">
      <c r="A1594" s="5" t="s">
        <v>70</v>
      </c>
      <c r="B1594">
        <f>VLOOKUP(A1594,Table1[[Item Purchased]:[Subscription Status]],8,FALSE)</f>
        <v>4.0999999999999996</v>
      </c>
    </row>
    <row r="1595" spans="1:2" x14ac:dyDescent="0.3">
      <c r="A1595" s="6" t="s">
        <v>80</v>
      </c>
      <c r="B1595">
        <f>VLOOKUP(A1595,Table1[[Item Purchased]:[Subscription Status]],8,FALSE)</f>
        <v>4.7</v>
      </c>
    </row>
    <row r="1596" spans="1:2" x14ac:dyDescent="0.3">
      <c r="A1596" s="5" t="s">
        <v>65</v>
      </c>
      <c r="B1596">
        <f>VLOOKUP(A1596,Table1[[Item Purchased]:[Subscription Status]],8,FALSE)</f>
        <v>4.8</v>
      </c>
    </row>
    <row r="1597" spans="1:2" x14ac:dyDescent="0.3">
      <c r="A1597" s="6" t="s">
        <v>131</v>
      </c>
      <c r="B1597">
        <f>VLOOKUP(A1597,Table1[[Item Purchased]:[Subscription Status]],8,FALSE)</f>
        <v>4.7</v>
      </c>
    </row>
    <row r="1598" spans="1:2" x14ac:dyDescent="0.3">
      <c r="A1598" s="5" t="s">
        <v>105</v>
      </c>
      <c r="B1598">
        <f>VLOOKUP(A1598,Table1[[Item Purchased]:[Subscription Status]],8,FALSE)</f>
        <v>3.6</v>
      </c>
    </row>
    <row r="1599" spans="1:2" x14ac:dyDescent="0.3">
      <c r="A1599" s="6" t="s">
        <v>123</v>
      </c>
      <c r="B1599">
        <f>VLOOKUP(A1599,Table1[[Item Purchased]:[Subscription Status]],8,FALSE)</f>
        <v>4.5999999999999996</v>
      </c>
    </row>
    <row r="1600" spans="1:2" x14ac:dyDescent="0.3">
      <c r="A1600" s="5" t="s">
        <v>105</v>
      </c>
      <c r="B1600">
        <f>VLOOKUP(A1600,Table1[[Item Purchased]:[Subscription Status]],8,FALSE)</f>
        <v>3.6</v>
      </c>
    </row>
    <row r="1601" spans="1:2" x14ac:dyDescent="0.3">
      <c r="A1601" s="6" t="s">
        <v>54</v>
      </c>
      <c r="B1601">
        <f>VLOOKUP(A1601,Table1[[Item Purchased]:[Subscription Status]],8,FALSE)</f>
        <v>3.2</v>
      </c>
    </row>
    <row r="1602" spans="1:2" x14ac:dyDescent="0.3">
      <c r="A1602" s="5" t="s">
        <v>136</v>
      </c>
      <c r="B1602">
        <f>VLOOKUP(A1602,Table1[[Item Purchased]:[Subscription Status]],8,FALSE)</f>
        <v>4.8</v>
      </c>
    </row>
    <row r="1603" spans="1:2" x14ac:dyDescent="0.3">
      <c r="A1603" s="6" t="s">
        <v>54</v>
      </c>
      <c r="B1603">
        <f>VLOOKUP(A1603,Table1[[Item Purchased]:[Subscription Status]],8,FALSE)</f>
        <v>3.2</v>
      </c>
    </row>
    <row r="1604" spans="1:2" x14ac:dyDescent="0.3">
      <c r="A1604" s="5" t="s">
        <v>88</v>
      </c>
      <c r="B1604">
        <f>VLOOKUP(A1604,Table1[[Item Purchased]:[Subscription Status]],8,FALSE)</f>
        <v>4.0999999999999996</v>
      </c>
    </row>
    <row r="1605" spans="1:2" x14ac:dyDescent="0.3">
      <c r="A1605" s="6" t="s">
        <v>58</v>
      </c>
      <c r="B1605">
        <f>VLOOKUP(A1605,Table1[[Item Purchased]:[Subscription Status]],8,FALSE)</f>
        <v>3.2</v>
      </c>
    </row>
    <row r="1606" spans="1:2" x14ac:dyDescent="0.3">
      <c r="A1606" s="5" t="s">
        <v>29</v>
      </c>
      <c r="B1606">
        <f>VLOOKUP(A1606,Table1[[Item Purchased]:[Subscription Status]],8,FALSE)</f>
        <v>3.1</v>
      </c>
    </row>
    <row r="1607" spans="1:2" x14ac:dyDescent="0.3">
      <c r="A1607" s="6" t="s">
        <v>132</v>
      </c>
      <c r="B1607">
        <f>VLOOKUP(A1607,Table1[[Item Purchased]:[Subscription Status]],8,FALSE)</f>
        <v>4.5999999999999996</v>
      </c>
    </row>
    <row r="1608" spans="1:2" x14ac:dyDescent="0.3">
      <c r="A1608" s="5" t="s">
        <v>112</v>
      </c>
      <c r="B1608">
        <f>VLOOKUP(A1608,Table1[[Item Purchased]:[Subscription Status]],8,FALSE)</f>
        <v>4.5999999999999996</v>
      </c>
    </row>
    <row r="1609" spans="1:2" x14ac:dyDescent="0.3">
      <c r="A1609" s="6" t="s">
        <v>58</v>
      </c>
      <c r="B1609">
        <f>VLOOKUP(A1609,Table1[[Item Purchased]:[Subscription Status]],8,FALSE)</f>
        <v>3.2</v>
      </c>
    </row>
    <row r="1610" spans="1:2" x14ac:dyDescent="0.3">
      <c r="A1610" s="5" t="s">
        <v>40</v>
      </c>
      <c r="B1610">
        <f>VLOOKUP(A1610,Table1[[Item Purchased]:[Subscription Status]],8,FALSE)</f>
        <v>3.5</v>
      </c>
    </row>
    <row r="1611" spans="1:2" x14ac:dyDescent="0.3">
      <c r="A1611" s="6" t="s">
        <v>54</v>
      </c>
      <c r="B1611">
        <f>VLOOKUP(A1611,Table1[[Item Purchased]:[Subscription Status]],8,FALSE)</f>
        <v>3.2</v>
      </c>
    </row>
    <row r="1612" spans="1:2" x14ac:dyDescent="0.3">
      <c r="A1612" s="5" t="s">
        <v>124</v>
      </c>
      <c r="B1612">
        <f>VLOOKUP(A1612,Table1[[Item Purchased]:[Subscription Status]],8,FALSE)</f>
        <v>2.9</v>
      </c>
    </row>
    <row r="1613" spans="1:2" x14ac:dyDescent="0.3">
      <c r="A1613" s="6" t="s">
        <v>94</v>
      </c>
      <c r="B1613">
        <f>VLOOKUP(A1613,Table1[[Item Purchased]:[Subscription Status]],8,FALSE)</f>
        <v>3.3</v>
      </c>
    </row>
    <row r="1614" spans="1:2" x14ac:dyDescent="0.3">
      <c r="A1614" s="5" t="s">
        <v>86</v>
      </c>
      <c r="B1614">
        <f>VLOOKUP(A1614,Table1[[Item Purchased]:[Subscription Status]],8,FALSE)</f>
        <v>2.8</v>
      </c>
    </row>
    <row r="1615" spans="1:2" x14ac:dyDescent="0.3">
      <c r="A1615" s="6" t="s">
        <v>105</v>
      </c>
      <c r="B1615">
        <f>VLOOKUP(A1615,Table1[[Item Purchased]:[Subscription Status]],8,FALSE)</f>
        <v>3.6</v>
      </c>
    </row>
    <row r="1616" spans="1:2" x14ac:dyDescent="0.3">
      <c r="A1616" s="5" t="s">
        <v>112</v>
      </c>
      <c r="B1616">
        <f>VLOOKUP(A1616,Table1[[Item Purchased]:[Subscription Status]],8,FALSE)</f>
        <v>4.5999999999999996</v>
      </c>
    </row>
    <row r="1617" spans="1:2" x14ac:dyDescent="0.3">
      <c r="A1617" s="6" t="s">
        <v>105</v>
      </c>
      <c r="B1617">
        <f>VLOOKUP(A1617,Table1[[Item Purchased]:[Subscription Status]],8,FALSE)</f>
        <v>3.6</v>
      </c>
    </row>
    <row r="1618" spans="1:2" x14ac:dyDescent="0.3">
      <c r="A1618" s="5" t="s">
        <v>123</v>
      </c>
      <c r="B1618">
        <f>VLOOKUP(A1618,Table1[[Item Purchased]:[Subscription Status]],8,FALSE)</f>
        <v>4.5999999999999996</v>
      </c>
    </row>
    <row r="1619" spans="1:2" x14ac:dyDescent="0.3">
      <c r="A1619" s="6" t="s">
        <v>19</v>
      </c>
      <c r="B1619">
        <f>VLOOKUP(A1619,Table1[[Item Purchased]:[Subscription Status]],8,FALSE)</f>
        <v>3.1</v>
      </c>
    </row>
    <row r="1620" spans="1:2" x14ac:dyDescent="0.3">
      <c r="A1620" s="5" t="s">
        <v>40</v>
      </c>
      <c r="B1620">
        <f>VLOOKUP(A1620,Table1[[Item Purchased]:[Subscription Status]],8,FALSE)</f>
        <v>3.5</v>
      </c>
    </row>
    <row r="1621" spans="1:2" x14ac:dyDescent="0.3">
      <c r="A1621" s="6" t="s">
        <v>65</v>
      </c>
      <c r="B1621">
        <f>VLOOKUP(A1621,Table1[[Item Purchased]:[Subscription Status]],8,FALSE)</f>
        <v>4.8</v>
      </c>
    </row>
    <row r="1622" spans="1:2" x14ac:dyDescent="0.3">
      <c r="A1622" s="5" t="s">
        <v>123</v>
      </c>
      <c r="B1622">
        <f>VLOOKUP(A1622,Table1[[Item Purchased]:[Subscription Status]],8,FALSE)</f>
        <v>4.5999999999999996</v>
      </c>
    </row>
    <row r="1623" spans="1:2" x14ac:dyDescent="0.3">
      <c r="A1623" s="6" t="s">
        <v>118</v>
      </c>
      <c r="B1623">
        <f>VLOOKUP(A1623,Table1[[Item Purchased]:[Subscription Status]],8,FALSE)</f>
        <v>4.5</v>
      </c>
    </row>
    <row r="1624" spans="1:2" x14ac:dyDescent="0.3">
      <c r="A1624" s="5" t="s">
        <v>58</v>
      </c>
      <c r="B1624">
        <f>VLOOKUP(A1624,Table1[[Item Purchased]:[Subscription Status]],8,FALSE)</f>
        <v>3.2</v>
      </c>
    </row>
    <row r="1625" spans="1:2" x14ac:dyDescent="0.3">
      <c r="A1625" s="6" t="s">
        <v>131</v>
      </c>
      <c r="B1625">
        <f>VLOOKUP(A1625,Table1[[Item Purchased]:[Subscription Status]],8,FALSE)</f>
        <v>4.7</v>
      </c>
    </row>
    <row r="1626" spans="1:2" x14ac:dyDescent="0.3">
      <c r="A1626" s="5" t="s">
        <v>29</v>
      </c>
      <c r="B1626">
        <f>VLOOKUP(A1626,Table1[[Item Purchased]:[Subscription Status]],8,FALSE)</f>
        <v>3.1</v>
      </c>
    </row>
    <row r="1627" spans="1:2" x14ac:dyDescent="0.3">
      <c r="A1627" s="6" t="s">
        <v>86</v>
      </c>
      <c r="B1627">
        <f>VLOOKUP(A1627,Table1[[Item Purchased]:[Subscription Status]],8,FALSE)</f>
        <v>2.8</v>
      </c>
    </row>
    <row r="1628" spans="1:2" x14ac:dyDescent="0.3">
      <c r="A1628" s="5" t="s">
        <v>49</v>
      </c>
      <c r="B1628">
        <f>VLOOKUP(A1628,Table1[[Item Purchased]:[Subscription Status]],8,FALSE)</f>
        <v>2.9</v>
      </c>
    </row>
    <row r="1629" spans="1:2" x14ac:dyDescent="0.3">
      <c r="A1629" s="6" t="s">
        <v>88</v>
      </c>
      <c r="B1629">
        <f>VLOOKUP(A1629,Table1[[Item Purchased]:[Subscription Status]],8,FALSE)</f>
        <v>4.0999999999999996</v>
      </c>
    </row>
    <row r="1630" spans="1:2" x14ac:dyDescent="0.3">
      <c r="A1630" s="5" t="s">
        <v>80</v>
      </c>
      <c r="B1630">
        <f>VLOOKUP(A1630,Table1[[Item Purchased]:[Subscription Status]],8,FALSE)</f>
        <v>4.7</v>
      </c>
    </row>
    <row r="1631" spans="1:2" x14ac:dyDescent="0.3">
      <c r="A1631" s="6" t="s">
        <v>19</v>
      </c>
      <c r="B1631">
        <f>VLOOKUP(A1631,Table1[[Item Purchased]:[Subscription Status]],8,FALSE)</f>
        <v>3.1</v>
      </c>
    </row>
    <row r="1632" spans="1:2" x14ac:dyDescent="0.3">
      <c r="A1632" s="5" t="s">
        <v>70</v>
      </c>
      <c r="B1632">
        <f>VLOOKUP(A1632,Table1[[Item Purchased]:[Subscription Status]],8,FALSE)</f>
        <v>4.0999999999999996</v>
      </c>
    </row>
    <row r="1633" spans="1:2" x14ac:dyDescent="0.3">
      <c r="A1633" s="6" t="s">
        <v>29</v>
      </c>
      <c r="B1633">
        <f>VLOOKUP(A1633,Table1[[Item Purchased]:[Subscription Status]],8,FALSE)</f>
        <v>3.1</v>
      </c>
    </row>
    <row r="1634" spans="1:2" x14ac:dyDescent="0.3">
      <c r="A1634" s="5" t="s">
        <v>142</v>
      </c>
      <c r="B1634">
        <f>VLOOKUP(A1634,Table1[[Item Purchased]:[Subscription Status]],8,FALSE)</f>
        <v>4.5</v>
      </c>
    </row>
    <row r="1635" spans="1:2" x14ac:dyDescent="0.3">
      <c r="A1635" s="6" t="s">
        <v>124</v>
      </c>
      <c r="B1635">
        <f>VLOOKUP(A1635,Table1[[Item Purchased]:[Subscription Status]],8,FALSE)</f>
        <v>2.9</v>
      </c>
    </row>
    <row r="1636" spans="1:2" x14ac:dyDescent="0.3">
      <c r="A1636" s="5" t="s">
        <v>61</v>
      </c>
      <c r="B1636">
        <f>VLOOKUP(A1636,Table1[[Item Purchased]:[Subscription Status]],8,FALSE)</f>
        <v>2.6</v>
      </c>
    </row>
    <row r="1637" spans="1:2" x14ac:dyDescent="0.3">
      <c r="A1637" s="6" t="s">
        <v>88</v>
      </c>
      <c r="B1637">
        <f>VLOOKUP(A1637,Table1[[Item Purchased]:[Subscription Status]],8,FALSE)</f>
        <v>4.0999999999999996</v>
      </c>
    </row>
    <row r="1638" spans="1:2" x14ac:dyDescent="0.3">
      <c r="A1638" s="5" t="s">
        <v>136</v>
      </c>
      <c r="B1638">
        <f>VLOOKUP(A1638,Table1[[Item Purchased]:[Subscription Status]],8,FALSE)</f>
        <v>4.8</v>
      </c>
    </row>
    <row r="1639" spans="1:2" x14ac:dyDescent="0.3">
      <c r="A1639" s="6" t="s">
        <v>80</v>
      </c>
      <c r="B1639">
        <f>VLOOKUP(A1639,Table1[[Item Purchased]:[Subscription Status]],8,FALSE)</f>
        <v>4.7</v>
      </c>
    </row>
    <row r="1640" spans="1:2" x14ac:dyDescent="0.3">
      <c r="A1640" s="5" t="s">
        <v>101</v>
      </c>
      <c r="B1640">
        <f>VLOOKUP(A1640,Table1[[Item Purchased]:[Subscription Status]],8,FALSE)</f>
        <v>2.9</v>
      </c>
    </row>
    <row r="1641" spans="1:2" x14ac:dyDescent="0.3">
      <c r="A1641" s="6" t="s">
        <v>142</v>
      </c>
      <c r="B1641">
        <f>VLOOKUP(A1641,Table1[[Item Purchased]:[Subscription Status]],8,FALSE)</f>
        <v>4.5</v>
      </c>
    </row>
    <row r="1642" spans="1:2" x14ac:dyDescent="0.3">
      <c r="A1642" s="5" t="s">
        <v>118</v>
      </c>
      <c r="B1642">
        <f>VLOOKUP(A1642,Table1[[Item Purchased]:[Subscription Status]],8,FALSE)</f>
        <v>4.5</v>
      </c>
    </row>
    <row r="1643" spans="1:2" x14ac:dyDescent="0.3">
      <c r="A1643" s="6" t="s">
        <v>103</v>
      </c>
      <c r="B1643">
        <f>VLOOKUP(A1643,Table1[[Item Purchased]:[Subscription Status]],8,FALSE)</f>
        <v>3.6</v>
      </c>
    </row>
    <row r="1644" spans="1:2" x14ac:dyDescent="0.3">
      <c r="A1644" s="5" t="s">
        <v>61</v>
      </c>
      <c r="B1644">
        <f>VLOOKUP(A1644,Table1[[Item Purchased]:[Subscription Status]],8,FALSE)</f>
        <v>2.6</v>
      </c>
    </row>
    <row r="1645" spans="1:2" x14ac:dyDescent="0.3">
      <c r="A1645" s="6" t="s">
        <v>118</v>
      </c>
      <c r="B1645">
        <f>VLOOKUP(A1645,Table1[[Item Purchased]:[Subscription Status]],8,FALSE)</f>
        <v>4.5</v>
      </c>
    </row>
    <row r="1646" spans="1:2" x14ac:dyDescent="0.3">
      <c r="A1646" s="5" t="s">
        <v>61</v>
      </c>
      <c r="B1646">
        <f>VLOOKUP(A1646,Table1[[Item Purchased]:[Subscription Status]],8,FALSE)</f>
        <v>2.6</v>
      </c>
    </row>
    <row r="1647" spans="1:2" x14ac:dyDescent="0.3">
      <c r="A1647" s="6" t="s">
        <v>118</v>
      </c>
      <c r="B1647">
        <f>VLOOKUP(A1647,Table1[[Item Purchased]:[Subscription Status]],8,FALSE)</f>
        <v>4.5</v>
      </c>
    </row>
    <row r="1648" spans="1:2" x14ac:dyDescent="0.3">
      <c r="A1648" s="5" t="s">
        <v>65</v>
      </c>
      <c r="B1648">
        <f>VLOOKUP(A1648,Table1[[Item Purchased]:[Subscription Status]],8,FALSE)</f>
        <v>4.8</v>
      </c>
    </row>
    <row r="1649" spans="1:2" x14ac:dyDescent="0.3">
      <c r="A1649" s="6" t="s">
        <v>136</v>
      </c>
      <c r="B1649">
        <f>VLOOKUP(A1649,Table1[[Item Purchased]:[Subscription Status]],8,FALSE)</f>
        <v>4.8</v>
      </c>
    </row>
    <row r="1650" spans="1:2" x14ac:dyDescent="0.3">
      <c r="A1650" s="5" t="s">
        <v>94</v>
      </c>
      <c r="B1650">
        <f>VLOOKUP(A1650,Table1[[Item Purchased]:[Subscription Status]],8,FALSE)</f>
        <v>3.3</v>
      </c>
    </row>
    <row r="1651" spans="1:2" x14ac:dyDescent="0.3">
      <c r="A1651" s="6" t="s">
        <v>112</v>
      </c>
      <c r="B1651">
        <f>VLOOKUP(A1651,Table1[[Item Purchased]:[Subscription Status]],8,FALSE)</f>
        <v>4.5999999999999996</v>
      </c>
    </row>
    <row r="1652" spans="1:2" x14ac:dyDescent="0.3">
      <c r="A1652" s="5" t="s">
        <v>118</v>
      </c>
      <c r="B1652">
        <f>VLOOKUP(A1652,Table1[[Item Purchased]:[Subscription Status]],8,FALSE)</f>
        <v>4.5</v>
      </c>
    </row>
    <row r="1653" spans="1:2" x14ac:dyDescent="0.3">
      <c r="A1653" s="6" t="s">
        <v>61</v>
      </c>
      <c r="B1653">
        <f>VLOOKUP(A1653,Table1[[Item Purchased]:[Subscription Status]],8,FALSE)</f>
        <v>2.6</v>
      </c>
    </row>
    <row r="1654" spans="1:2" x14ac:dyDescent="0.3">
      <c r="A1654" s="5" t="s">
        <v>29</v>
      </c>
      <c r="B1654">
        <f>VLOOKUP(A1654,Table1[[Item Purchased]:[Subscription Status]],8,FALSE)</f>
        <v>3.1</v>
      </c>
    </row>
    <row r="1655" spans="1:2" x14ac:dyDescent="0.3">
      <c r="A1655" s="6" t="s">
        <v>132</v>
      </c>
      <c r="B1655">
        <f>VLOOKUP(A1655,Table1[[Item Purchased]:[Subscription Status]],8,FALSE)</f>
        <v>4.5999999999999996</v>
      </c>
    </row>
    <row r="1656" spans="1:2" x14ac:dyDescent="0.3">
      <c r="A1656" s="5" t="s">
        <v>132</v>
      </c>
      <c r="B1656">
        <f>VLOOKUP(A1656,Table1[[Item Purchased]:[Subscription Status]],8,FALSE)</f>
        <v>4.5999999999999996</v>
      </c>
    </row>
    <row r="1657" spans="1:2" x14ac:dyDescent="0.3">
      <c r="A1657" s="6" t="s">
        <v>29</v>
      </c>
      <c r="B1657">
        <f>VLOOKUP(A1657,Table1[[Item Purchased]:[Subscription Status]],8,FALSE)</f>
        <v>3.1</v>
      </c>
    </row>
    <row r="1658" spans="1:2" x14ac:dyDescent="0.3">
      <c r="A1658" s="5" t="s">
        <v>19</v>
      </c>
      <c r="B1658">
        <f>VLOOKUP(A1658,Table1[[Item Purchased]:[Subscription Status]],8,FALSE)</f>
        <v>3.1</v>
      </c>
    </row>
    <row r="1659" spans="1:2" x14ac:dyDescent="0.3">
      <c r="A1659" s="6" t="s">
        <v>86</v>
      </c>
      <c r="B1659">
        <f>VLOOKUP(A1659,Table1[[Item Purchased]:[Subscription Status]],8,FALSE)</f>
        <v>2.8</v>
      </c>
    </row>
    <row r="1660" spans="1:2" x14ac:dyDescent="0.3">
      <c r="A1660" s="5" t="s">
        <v>105</v>
      </c>
      <c r="B1660">
        <f>VLOOKUP(A1660,Table1[[Item Purchased]:[Subscription Status]],8,FALSE)</f>
        <v>3.6</v>
      </c>
    </row>
    <row r="1661" spans="1:2" x14ac:dyDescent="0.3">
      <c r="A1661" s="6" t="s">
        <v>142</v>
      </c>
      <c r="B1661">
        <f>VLOOKUP(A1661,Table1[[Item Purchased]:[Subscription Status]],8,FALSE)</f>
        <v>4.5</v>
      </c>
    </row>
    <row r="1662" spans="1:2" x14ac:dyDescent="0.3">
      <c r="A1662" s="5" t="s">
        <v>112</v>
      </c>
      <c r="B1662">
        <f>VLOOKUP(A1662,Table1[[Item Purchased]:[Subscription Status]],8,FALSE)</f>
        <v>4.5999999999999996</v>
      </c>
    </row>
    <row r="1663" spans="1:2" x14ac:dyDescent="0.3">
      <c r="A1663" s="6" t="s">
        <v>142</v>
      </c>
      <c r="B1663">
        <f>VLOOKUP(A1663,Table1[[Item Purchased]:[Subscription Status]],8,FALSE)</f>
        <v>4.5</v>
      </c>
    </row>
    <row r="1664" spans="1:2" x14ac:dyDescent="0.3">
      <c r="A1664" s="5" t="s">
        <v>88</v>
      </c>
      <c r="B1664">
        <f>VLOOKUP(A1664,Table1[[Item Purchased]:[Subscription Status]],8,FALSE)</f>
        <v>4.0999999999999996</v>
      </c>
    </row>
    <row r="1665" spans="1:2" x14ac:dyDescent="0.3">
      <c r="A1665" s="6" t="s">
        <v>54</v>
      </c>
      <c r="B1665">
        <f>VLOOKUP(A1665,Table1[[Item Purchased]:[Subscription Status]],8,FALSE)</f>
        <v>3.2</v>
      </c>
    </row>
    <row r="1666" spans="1:2" x14ac:dyDescent="0.3">
      <c r="A1666" s="5" t="s">
        <v>65</v>
      </c>
      <c r="B1666">
        <f>VLOOKUP(A1666,Table1[[Item Purchased]:[Subscription Status]],8,FALSE)</f>
        <v>4.8</v>
      </c>
    </row>
    <row r="1667" spans="1:2" x14ac:dyDescent="0.3">
      <c r="A1667" s="6" t="s">
        <v>101</v>
      </c>
      <c r="B1667">
        <f>VLOOKUP(A1667,Table1[[Item Purchased]:[Subscription Status]],8,FALSE)</f>
        <v>2.9</v>
      </c>
    </row>
    <row r="1668" spans="1:2" x14ac:dyDescent="0.3">
      <c r="A1668" s="5" t="s">
        <v>86</v>
      </c>
      <c r="B1668">
        <f>VLOOKUP(A1668,Table1[[Item Purchased]:[Subscription Status]],8,FALSE)</f>
        <v>2.8</v>
      </c>
    </row>
    <row r="1669" spans="1:2" x14ac:dyDescent="0.3">
      <c r="A1669" s="6" t="s">
        <v>65</v>
      </c>
      <c r="B1669">
        <f>VLOOKUP(A1669,Table1[[Item Purchased]:[Subscription Status]],8,FALSE)</f>
        <v>4.8</v>
      </c>
    </row>
    <row r="1670" spans="1:2" x14ac:dyDescent="0.3">
      <c r="A1670" s="5" t="s">
        <v>19</v>
      </c>
      <c r="B1670">
        <f>VLOOKUP(A1670,Table1[[Item Purchased]:[Subscription Status]],8,FALSE)</f>
        <v>3.1</v>
      </c>
    </row>
    <row r="1671" spans="1:2" x14ac:dyDescent="0.3">
      <c r="A1671" s="6" t="s">
        <v>112</v>
      </c>
      <c r="B1671">
        <f>VLOOKUP(A1671,Table1[[Item Purchased]:[Subscription Status]],8,FALSE)</f>
        <v>4.5999999999999996</v>
      </c>
    </row>
    <row r="1672" spans="1:2" x14ac:dyDescent="0.3">
      <c r="A1672" s="5" t="s">
        <v>94</v>
      </c>
      <c r="B1672">
        <f>VLOOKUP(A1672,Table1[[Item Purchased]:[Subscription Status]],8,FALSE)</f>
        <v>3.3</v>
      </c>
    </row>
    <row r="1673" spans="1:2" x14ac:dyDescent="0.3">
      <c r="A1673" s="6" t="s">
        <v>103</v>
      </c>
      <c r="B1673">
        <f>VLOOKUP(A1673,Table1[[Item Purchased]:[Subscription Status]],8,FALSE)</f>
        <v>3.6</v>
      </c>
    </row>
    <row r="1674" spans="1:2" x14ac:dyDescent="0.3">
      <c r="A1674" s="5" t="s">
        <v>136</v>
      </c>
      <c r="B1674">
        <f>VLOOKUP(A1674,Table1[[Item Purchased]:[Subscription Status]],8,FALSE)</f>
        <v>4.8</v>
      </c>
    </row>
    <row r="1675" spans="1:2" x14ac:dyDescent="0.3">
      <c r="A1675" s="6" t="s">
        <v>19</v>
      </c>
      <c r="B1675">
        <f>VLOOKUP(A1675,Table1[[Item Purchased]:[Subscription Status]],8,FALSE)</f>
        <v>3.1</v>
      </c>
    </row>
    <row r="1676" spans="1:2" x14ac:dyDescent="0.3">
      <c r="A1676" s="5" t="s">
        <v>61</v>
      </c>
      <c r="B1676">
        <f>VLOOKUP(A1676,Table1[[Item Purchased]:[Subscription Status]],8,FALSE)</f>
        <v>2.6</v>
      </c>
    </row>
    <row r="1677" spans="1:2" x14ac:dyDescent="0.3">
      <c r="A1677" s="6" t="s">
        <v>94</v>
      </c>
      <c r="B1677">
        <f>VLOOKUP(A1677,Table1[[Item Purchased]:[Subscription Status]],8,FALSE)</f>
        <v>3.3</v>
      </c>
    </row>
    <row r="1678" spans="1:2" x14ac:dyDescent="0.3">
      <c r="A1678" s="5" t="s">
        <v>88</v>
      </c>
      <c r="B1678">
        <f>VLOOKUP(A1678,Table1[[Item Purchased]:[Subscription Status]],8,FALSE)</f>
        <v>4.0999999999999996</v>
      </c>
    </row>
    <row r="1679" spans="1:2" x14ac:dyDescent="0.3">
      <c r="A1679" s="6" t="s">
        <v>33</v>
      </c>
      <c r="B1679">
        <f>VLOOKUP(A1679,Table1[[Item Purchased]:[Subscription Status]],8,FALSE)</f>
        <v>3.1</v>
      </c>
    </row>
    <row r="1680" spans="1:2" x14ac:dyDescent="0.3">
      <c r="A1680" s="5" t="s">
        <v>94</v>
      </c>
      <c r="B1680">
        <f>VLOOKUP(A1680,Table1[[Item Purchased]:[Subscription Status]],8,FALSE)</f>
        <v>3.3</v>
      </c>
    </row>
    <row r="1681" spans="1:2" x14ac:dyDescent="0.3">
      <c r="A1681" s="6" t="s">
        <v>80</v>
      </c>
      <c r="B1681">
        <f>VLOOKUP(A1681,Table1[[Item Purchased]:[Subscription Status]],8,FALSE)</f>
        <v>4.7</v>
      </c>
    </row>
    <row r="1682" spans="1:2" x14ac:dyDescent="0.3">
      <c r="A1682" s="5" t="s">
        <v>70</v>
      </c>
      <c r="B1682">
        <f>VLOOKUP(A1682,Table1[[Item Purchased]:[Subscription Status]],8,FALSE)</f>
        <v>4.0999999999999996</v>
      </c>
    </row>
    <row r="1683" spans="1:2" x14ac:dyDescent="0.3">
      <c r="A1683" s="6" t="s">
        <v>49</v>
      </c>
      <c r="B1683">
        <f>VLOOKUP(A1683,Table1[[Item Purchased]:[Subscription Status]],8,FALSE)</f>
        <v>2.9</v>
      </c>
    </row>
    <row r="1684" spans="1:2" x14ac:dyDescent="0.3">
      <c r="A1684" s="5" t="s">
        <v>124</v>
      </c>
      <c r="B1684">
        <f>VLOOKUP(A1684,Table1[[Item Purchased]:[Subscription Status]],8,FALSE)</f>
        <v>2.9</v>
      </c>
    </row>
    <row r="1685" spans="1:2" x14ac:dyDescent="0.3">
      <c r="A1685" s="6" t="s">
        <v>61</v>
      </c>
      <c r="B1685">
        <f>VLOOKUP(A1685,Table1[[Item Purchased]:[Subscription Status]],8,FALSE)</f>
        <v>2.6</v>
      </c>
    </row>
    <row r="1686" spans="1:2" x14ac:dyDescent="0.3">
      <c r="A1686" s="5" t="s">
        <v>54</v>
      </c>
      <c r="B1686">
        <f>VLOOKUP(A1686,Table1[[Item Purchased]:[Subscription Status]],8,FALSE)</f>
        <v>3.2</v>
      </c>
    </row>
    <row r="1687" spans="1:2" x14ac:dyDescent="0.3">
      <c r="A1687" s="6" t="s">
        <v>19</v>
      </c>
      <c r="B1687">
        <f>VLOOKUP(A1687,Table1[[Item Purchased]:[Subscription Status]],8,FALSE)</f>
        <v>3.1</v>
      </c>
    </row>
    <row r="1688" spans="1:2" x14ac:dyDescent="0.3">
      <c r="A1688" s="5" t="s">
        <v>142</v>
      </c>
      <c r="B1688">
        <f>VLOOKUP(A1688,Table1[[Item Purchased]:[Subscription Status]],8,FALSE)</f>
        <v>4.5</v>
      </c>
    </row>
    <row r="1689" spans="1:2" x14ac:dyDescent="0.3">
      <c r="A1689" s="6" t="s">
        <v>86</v>
      </c>
      <c r="B1689">
        <f>VLOOKUP(A1689,Table1[[Item Purchased]:[Subscription Status]],8,FALSE)</f>
        <v>2.8</v>
      </c>
    </row>
    <row r="1690" spans="1:2" x14ac:dyDescent="0.3">
      <c r="A1690" s="5" t="s">
        <v>65</v>
      </c>
      <c r="B1690">
        <f>VLOOKUP(A1690,Table1[[Item Purchased]:[Subscription Status]],8,FALSE)</f>
        <v>4.8</v>
      </c>
    </row>
    <row r="1691" spans="1:2" x14ac:dyDescent="0.3">
      <c r="A1691" s="6" t="s">
        <v>54</v>
      </c>
      <c r="B1691">
        <f>VLOOKUP(A1691,Table1[[Item Purchased]:[Subscription Status]],8,FALSE)</f>
        <v>3.2</v>
      </c>
    </row>
    <row r="1692" spans="1:2" x14ac:dyDescent="0.3">
      <c r="A1692" s="5" t="s">
        <v>61</v>
      </c>
      <c r="B1692">
        <f>VLOOKUP(A1692,Table1[[Item Purchased]:[Subscription Status]],8,FALSE)</f>
        <v>2.6</v>
      </c>
    </row>
    <row r="1693" spans="1:2" x14ac:dyDescent="0.3">
      <c r="A1693" s="6" t="s">
        <v>70</v>
      </c>
      <c r="B1693">
        <f>VLOOKUP(A1693,Table1[[Item Purchased]:[Subscription Status]],8,FALSE)</f>
        <v>4.0999999999999996</v>
      </c>
    </row>
    <row r="1694" spans="1:2" x14ac:dyDescent="0.3">
      <c r="A1694" s="5" t="s">
        <v>65</v>
      </c>
      <c r="B1694">
        <f>VLOOKUP(A1694,Table1[[Item Purchased]:[Subscription Status]],8,FALSE)</f>
        <v>4.8</v>
      </c>
    </row>
    <row r="1695" spans="1:2" x14ac:dyDescent="0.3">
      <c r="A1695" s="6" t="s">
        <v>101</v>
      </c>
      <c r="B1695">
        <f>VLOOKUP(A1695,Table1[[Item Purchased]:[Subscription Status]],8,FALSE)</f>
        <v>2.9</v>
      </c>
    </row>
    <row r="1696" spans="1:2" x14ac:dyDescent="0.3">
      <c r="A1696" s="5" t="s">
        <v>54</v>
      </c>
      <c r="B1696">
        <f>VLOOKUP(A1696,Table1[[Item Purchased]:[Subscription Status]],8,FALSE)</f>
        <v>3.2</v>
      </c>
    </row>
    <row r="1697" spans="1:2" x14ac:dyDescent="0.3">
      <c r="A1697" s="6" t="s">
        <v>123</v>
      </c>
      <c r="B1697">
        <f>VLOOKUP(A1697,Table1[[Item Purchased]:[Subscription Status]],8,FALSE)</f>
        <v>4.5999999999999996</v>
      </c>
    </row>
    <row r="1698" spans="1:2" x14ac:dyDescent="0.3">
      <c r="A1698" s="5" t="s">
        <v>88</v>
      </c>
      <c r="B1698">
        <f>VLOOKUP(A1698,Table1[[Item Purchased]:[Subscription Status]],8,FALSE)</f>
        <v>4.0999999999999996</v>
      </c>
    </row>
    <row r="1699" spans="1:2" x14ac:dyDescent="0.3">
      <c r="A1699" s="6" t="s">
        <v>54</v>
      </c>
      <c r="B1699">
        <f>VLOOKUP(A1699,Table1[[Item Purchased]:[Subscription Status]],8,FALSE)</f>
        <v>3.2</v>
      </c>
    </row>
    <row r="1700" spans="1:2" x14ac:dyDescent="0.3">
      <c r="A1700" s="5" t="s">
        <v>132</v>
      </c>
      <c r="B1700">
        <f>VLOOKUP(A1700,Table1[[Item Purchased]:[Subscription Status]],8,FALSE)</f>
        <v>4.5999999999999996</v>
      </c>
    </row>
    <row r="1701" spans="1:2" x14ac:dyDescent="0.3">
      <c r="A1701" s="6" t="s">
        <v>29</v>
      </c>
      <c r="B1701">
        <f>VLOOKUP(A1701,Table1[[Item Purchased]:[Subscription Status]],8,FALSE)</f>
        <v>3.1</v>
      </c>
    </row>
    <row r="1702" spans="1:2" x14ac:dyDescent="0.3">
      <c r="A1702" s="5" t="s">
        <v>103</v>
      </c>
      <c r="B1702">
        <f>VLOOKUP(A1702,Table1[[Item Purchased]:[Subscription Status]],8,FALSE)</f>
        <v>3.6</v>
      </c>
    </row>
    <row r="1703" spans="1:2" x14ac:dyDescent="0.3">
      <c r="A1703" s="6" t="s">
        <v>65</v>
      </c>
      <c r="B1703">
        <f>VLOOKUP(A1703,Table1[[Item Purchased]:[Subscription Status]],8,FALSE)</f>
        <v>4.8</v>
      </c>
    </row>
    <row r="1704" spans="1:2" x14ac:dyDescent="0.3">
      <c r="A1704" s="5" t="s">
        <v>33</v>
      </c>
      <c r="B1704">
        <f>VLOOKUP(A1704,Table1[[Item Purchased]:[Subscription Status]],8,FALSE)</f>
        <v>3.1</v>
      </c>
    </row>
    <row r="1705" spans="1:2" x14ac:dyDescent="0.3">
      <c r="A1705" s="6" t="s">
        <v>131</v>
      </c>
      <c r="B1705">
        <f>VLOOKUP(A1705,Table1[[Item Purchased]:[Subscription Status]],8,FALSE)</f>
        <v>4.7</v>
      </c>
    </row>
    <row r="1706" spans="1:2" x14ac:dyDescent="0.3">
      <c r="A1706" s="5" t="s">
        <v>49</v>
      </c>
      <c r="B1706">
        <f>VLOOKUP(A1706,Table1[[Item Purchased]:[Subscription Status]],8,FALSE)</f>
        <v>2.9</v>
      </c>
    </row>
    <row r="1707" spans="1:2" x14ac:dyDescent="0.3">
      <c r="A1707" s="6" t="s">
        <v>105</v>
      </c>
      <c r="B1707">
        <f>VLOOKUP(A1707,Table1[[Item Purchased]:[Subscription Status]],8,FALSE)</f>
        <v>3.6</v>
      </c>
    </row>
    <row r="1708" spans="1:2" x14ac:dyDescent="0.3">
      <c r="A1708" s="5" t="s">
        <v>88</v>
      </c>
      <c r="B1708">
        <f>VLOOKUP(A1708,Table1[[Item Purchased]:[Subscription Status]],8,FALSE)</f>
        <v>4.0999999999999996</v>
      </c>
    </row>
    <row r="1709" spans="1:2" x14ac:dyDescent="0.3">
      <c r="A1709" s="6" t="s">
        <v>58</v>
      </c>
      <c r="B1709">
        <f>VLOOKUP(A1709,Table1[[Item Purchased]:[Subscription Status]],8,FALSE)</f>
        <v>3.2</v>
      </c>
    </row>
    <row r="1710" spans="1:2" x14ac:dyDescent="0.3">
      <c r="A1710" s="5" t="s">
        <v>136</v>
      </c>
      <c r="B1710">
        <f>VLOOKUP(A1710,Table1[[Item Purchased]:[Subscription Status]],8,FALSE)</f>
        <v>4.8</v>
      </c>
    </row>
    <row r="1711" spans="1:2" x14ac:dyDescent="0.3">
      <c r="A1711" s="6" t="s">
        <v>86</v>
      </c>
      <c r="B1711">
        <f>VLOOKUP(A1711,Table1[[Item Purchased]:[Subscription Status]],8,FALSE)</f>
        <v>2.8</v>
      </c>
    </row>
    <row r="1712" spans="1:2" x14ac:dyDescent="0.3">
      <c r="A1712" s="5" t="s">
        <v>94</v>
      </c>
      <c r="B1712">
        <f>VLOOKUP(A1712,Table1[[Item Purchased]:[Subscription Status]],8,FALSE)</f>
        <v>3.3</v>
      </c>
    </row>
    <row r="1713" spans="1:2" x14ac:dyDescent="0.3">
      <c r="A1713" s="6" t="s">
        <v>112</v>
      </c>
      <c r="B1713">
        <f>VLOOKUP(A1713,Table1[[Item Purchased]:[Subscription Status]],8,FALSE)</f>
        <v>4.5999999999999996</v>
      </c>
    </row>
    <row r="1714" spans="1:2" x14ac:dyDescent="0.3">
      <c r="A1714" s="5" t="s">
        <v>112</v>
      </c>
      <c r="B1714">
        <f>VLOOKUP(A1714,Table1[[Item Purchased]:[Subscription Status]],8,FALSE)</f>
        <v>4.5999999999999996</v>
      </c>
    </row>
    <row r="1715" spans="1:2" x14ac:dyDescent="0.3">
      <c r="A1715" s="6" t="s">
        <v>101</v>
      </c>
      <c r="B1715">
        <f>VLOOKUP(A1715,Table1[[Item Purchased]:[Subscription Status]],8,FALSE)</f>
        <v>2.9</v>
      </c>
    </row>
    <row r="1716" spans="1:2" x14ac:dyDescent="0.3">
      <c r="A1716" s="5" t="s">
        <v>33</v>
      </c>
      <c r="B1716">
        <f>VLOOKUP(A1716,Table1[[Item Purchased]:[Subscription Status]],8,FALSE)</f>
        <v>3.1</v>
      </c>
    </row>
    <row r="1717" spans="1:2" x14ac:dyDescent="0.3">
      <c r="A1717" s="6" t="s">
        <v>80</v>
      </c>
      <c r="B1717">
        <f>VLOOKUP(A1717,Table1[[Item Purchased]:[Subscription Status]],8,FALSE)</f>
        <v>4.7</v>
      </c>
    </row>
    <row r="1718" spans="1:2" x14ac:dyDescent="0.3">
      <c r="A1718" s="5" t="s">
        <v>19</v>
      </c>
      <c r="B1718">
        <f>VLOOKUP(A1718,Table1[[Item Purchased]:[Subscription Status]],8,FALSE)</f>
        <v>3.1</v>
      </c>
    </row>
    <row r="1719" spans="1:2" x14ac:dyDescent="0.3">
      <c r="A1719" s="6" t="s">
        <v>103</v>
      </c>
      <c r="B1719">
        <f>VLOOKUP(A1719,Table1[[Item Purchased]:[Subscription Status]],8,FALSE)</f>
        <v>3.6</v>
      </c>
    </row>
    <row r="1720" spans="1:2" x14ac:dyDescent="0.3">
      <c r="A1720" s="5" t="s">
        <v>112</v>
      </c>
      <c r="B1720">
        <f>VLOOKUP(A1720,Table1[[Item Purchased]:[Subscription Status]],8,FALSE)</f>
        <v>4.5999999999999996</v>
      </c>
    </row>
    <row r="1721" spans="1:2" x14ac:dyDescent="0.3">
      <c r="A1721" s="6" t="s">
        <v>29</v>
      </c>
      <c r="B1721">
        <f>VLOOKUP(A1721,Table1[[Item Purchased]:[Subscription Status]],8,FALSE)</f>
        <v>3.1</v>
      </c>
    </row>
    <row r="1722" spans="1:2" x14ac:dyDescent="0.3">
      <c r="A1722" s="5" t="s">
        <v>58</v>
      </c>
      <c r="B1722">
        <f>VLOOKUP(A1722,Table1[[Item Purchased]:[Subscription Status]],8,FALSE)</f>
        <v>3.2</v>
      </c>
    </row>
    <row r="1723" spans="1:2" x14ac:dyDescent="0.3">
      <c r="A1723" s="6" t="s">
        <v>105</v>
      </c>
      <c r="B1723">
        <f>VLOOKUP(A1723,Table1[[Item Purchased]:[Subscription Status]],8,FALSE)</f>
        <v>3.6</v>
      </c>
    </row>
    <row r="1724" spans="1:2" x14ac:dyDescent="0.3">
      <c r="A1724" s="5" t="s">
        <v>112</v>
      </c>
      <c r="B1724">
        <f>VLOOKUP(A1724,Table1[[Item Purchased]:[Subscription Status]],8,FALSE)</f>
        <v>4.5999999999999996</v>
      </c>
    </row>
    <row r="1725" spans="1:2" x14ac:dyDescent="0.3">
      <c r="A1725" s="6" t="s">
        <v>118</v>
      </c>
      <c r="B1725">
        <f>VLOOKUP(A1725,Table1[[Item Purchased]:[Subscription Status]],8,FALSE)</f>
        <v>4.5</v>
      </c>
    </row>
    <row r="1726" spans="1:2" x14ac:dyDescent="0.3">
      <c r="A1726" s="5" t="s">
        <v>70</v>
      </c>
      <c r="B1726">
        <f>VLOOKUP(A1726,Table1[[Item Purchased]:[Subscription Status]],8,FALSE)</f>
        <v>4.0999999999999996</v>
      </c>
    </row>
    <row r="1727" spans="1:2" x14ac:dyDescent="0.3">
      <c r="A1727" s="6" t="s">
        <v>88</v>
      </c>
      <c r="B1727">
        <f>VLOOKUP(A1727,Table1[[Item Purchased]:[Subscription Status]],8,FALSE)</f>
        <v>4.0999999999999996</v>
      </c>
    </row>
    <row r="1728" spans="1:2" x14ac:dyDescent="0.3">
      <c r="A1728" s="5" t="s">
        <v>61</v>
      </c>
      <c r="B1728">
        <f>VLOOKUP(A1728,Table1[[Item Purchased]:[Subscription Status]],8,FALSE)</f>
        <v>2.6</v>
      </c>
    </row>
    <row r="1729" spans="1:2" x14ac:dyDescent="0.3">
      <c r="A1729" s="6" t="s">
        <v>19</v>
      </c>
      <c r="B1729">
        <f>VLOOKUP(A1729,Table1[[Item Purchased]:[Subscription Status]],8,FALSE)</f>
        <v>3.1</v>
      </c>
    </row>
    <row r="1730" spans="1:2" x14ac:dyDescent="0.3">
      <c r="A1730" s="5" t="s">
        <v>33</v>
      </c>
      <c r="B1730">
        <f>VLOOKUP(A1730,Table1[[Item Purchased]:[Subscription Status]],8,FALSE)</f>
        <v>3.1</v>
      </c>
    </row>
    <row r="1731" spans="1:2" x14ac:dyDescent="0.3">
      <c r="A1731" s="6" t="s">
        <v>58</v>
      </c>
      <c r="B1731">
        <f>VLOOKUP(A1731,Table1[[Item Purchased]:[Subscription Status]],8,FALSE)</f>
        <v>3.2</v>
      </c>
    </row>
    <row r="1732" spans="1:2" x14ac:dyDescent="0.3">
      <c r="A1732" s="5" t="s">
        <v>54</v>
      </c>
      <c r="B1732">
        <f>VLOOKUP(A1732,Table1[[Item Purchased]:[Subscription Status]],8,FALSE)</f>
        <v>3.2</v>
      </c>
    </row>
    <row r="1733" spans="1:2" x14ac:dyDescent="0.3">
      <c r="A1733" s="6" t="s">
        <v>131</v>
      </c>
      <c r="B1733">
        <f>VLOOKUP(A1733,Table1[[Item Purchased]:[Subscription Status]],8,FALSE)</f>
        <v>4.7</v>
      </c>
    </row>
    <row r="1734" spans="1:2" x14ac:dyDescent="0.3">
      <c r="A1734" s="5" t="s">
        <v>132</v>
      </c>
      <c r="B1734">
        <f>VLOOKUP(A1734,Table1[[Item Purchased]:[Subscription Status]],8,FALSE)</f>
        <v>4.5999999999999996</v>
      </c>
    </row>
    <row r="1735" spans="1:2" x14ac:dyDescent="0.3">
      <c r="A1735" s="6" t="s">
        <v>19</v>
      </c>
      <c r="B1735">
        <f>VLOOKUP(A1735,Table1[[Item Purchased]:[Subscription Status]],8,FALSE)</f>
        <v>3.1</v>
      </c>
    </row>
    <row r="1736" spans="1:2" x14ac:dyDescent="0.3">
      <c r="A1736" s="5" t="s">
        <v>33</v>
      </c>
      <c r="B1736">
        <f>VLOOKUP(A1736,Table1[[Item Purchased]:[Subscription Status]],8,FALSE)</f>
        <v>3.1</v>
      </c>
    </row>
    <row r="1737" spans="1:2" x14ac:dyDescent="0.3">
      <c r="A1737" s="6" t="s">
        <v>80</v>
      </c>
      <c r="B1737">
        <f>VLOOKUP(A1737,Table1[[Item Purchased]:[Subscription Status]],8,FALSE)</f>
        <v>4.7</v>
      </c>
    </row>
    <row r="1738" spans="1:2" x14ac:dyDescent="0.3">
      <c r="A1738" s="5" t="s">
        <v>58</v>
      </c>
      <c r="B1738">
        <f>VLOOKUP(A1738,Table1[[Item Purchased]:[Subscription Status]],8,FALSE)</f>
        <v>3.2</v>
      </c>
    </row>
    <row r="1739" spans="1:2" x14ac:dyDescent="0.3">
      <c r="A1739" s="6" t="s">
        <v>105</v>
      </c>
      <c r="B1739">
        <f>VLOOKUP(A1739,Table1[[Item Purchased]:[Subscription Status]],8,FALSE)</f>
        <v>3.6</v>
      </c>
    </row>
    <row r="1740" spans="1:2" x14ac:dyDescent="0.3">
      <c r="A1740" s="5" t="s">
        <v>65</v>
      </c>
      <c r="B1740">
        <f>VLOOKUP(A1740,Table1[[Item Purchased]:[Subscription Status]],8,FALSE)</f>
        <v>4.8</v>
      </c>
    </row>
    <row r="1741" spans="1:2" x14ac:dyDescent="0.3">
      <c r="A1741" s="6" t="s">
        <v>105</v>
      </c>
      <c r="B1741">
        <f>VLOOKUP(A1741,Table1[[Item Purchased]:[Subscription Status]],8,FALSE)</f>
        <v>3.6</v>
      </c>
    </row>
    <row r="1742" spans="1:2" x14ac:dyDescent="0.3">
      <c r="A1742" s="5" t="s">
        <v>94</v>
      </c>
      <c r="B1742">
        <f>VLOOKUP(A1742,Table1[[Item Purchased]:[Subscription Status]],8,FALSE)</f>
        <v>3.3</v>
      </c>
    </row>
    <row r="1743" spans="1:2" x14ac:dyDescent="0.3">
      <c r="A1743" s="6" t="s">
        <v>94</v>
      </c>
      <c r="B1743">
        <f>VLOOKUP(A1743,Table1[[Item Purchased]:[Subscription Status]],8,FALSE)</f>
        <v>3.3</v>
      </c>
    </row>
    <row r="1744" spans="1:2" x14ac:dyDescent="0.3">
      <c r="A1744" s="5" t="s">
        <v>40</v>
      </c>
      <c r="B1744">
        <f>VLOOKUP(A1744,Table1[[Item Purchased]:[Subscription Status]],8,FALSE)</f>
        <v>3.5</v>
      </c>
    </row>
    <row r="1745" spans="1:2" x14ac:dyDescent="0.3">
      <c r="A1745" s="6" t="s">
        <v>86</v>
      </c>
      <c r="B1745">
        <f>VLOOKUP(A1745,Table1[[Item Purchased]:[Subscription Status]],8,FALSE)</f>
        <v>2.8</v>
      </c>
    </row>
    <row r="1746" spans="1:2" x14ac:dyDescent="0.3">
      <c r="A1746" s="5" t="s">
        <v>88</v>
      </c>
      <c r="B1746">
        <f>VLOOKUP(A1746,Table1[[Item Purchased]:[Subscription Status]],8,FALSE)</f>
        <v>4.0999999999999996</v>
      </c>
    </row>
    <row r="1747" spans="1:2" x14ac:dyDescent="0.3">
      <c r="A1747" s="6" t="s">
        <v>86</v>
      </c>
      <c r="B1747">
        <f>VLOOKUP(A1747,Table1[[Item Purchased]:[Subscription Status]],8,FALSE)</f>
        <v>2.8</v>
      </c>
    </row>
    <row r="1748" spans="1:2" x14ac:dyDescent="0.3">
      <c r="A1748" s="5" t="s">
        <v>65</v>
      </c>
      <c r="B1748">
        <f>VLOOKUP(A1748,Table1[[Item Purchased]:[Subscription Status]],8,FALSE)</f>
        <v>4.8</v>
      </c>
    </row>
    <row r="1749" spans="1:2" x14ac:dyDescent="0.3">
      <c r="A1749" s="6" t="s">
        <v>61</v>
      </c>
      <c r="B1749">
        <f>VLOOKUP(A1749,Table1[[Item Purchased]:[Subscription Status]],8,FALSE)</f>
        <v>2.6</v>
      </c>
    </row>
    <row r="1750" spans="1:2" x14ac:dyDescent="0.3">
      <c r="A1750" s="5" t="s">
        <v>86</v>
      </c>
      <c r="B1750">
        <f>VLOOKUP(A1750,Table1[[Item Purchased]:[Subscription Status]],8,FALSE)</f>
        <v>2.8</v>
      </c>
    </row>
    <row r="1751" spans="1:2" x14ac:dyDescent="0.3">
      <c r="A1751" s="6" t="s">
        <v>103</v>
      </c>
      <c r="B1751">
        <f>VLOOKUP(A1751,Table1[[Item Purchased]:[Subscription Status]],8,FALSE)</f>
        <v>3.6</v>
      </c>
    </row>
    <row r="1752" spans="1:2" x14ac:dyDescent="0.3">
      <c r="A1752" s="5" t="s">
        <v>88</v>
      </c>
      <c r="B1752">
        <f>VLOOKUP(A1752,Table1[[Item Purchased]:[Subscription Status]],8,FALSE)</f>
        <v>4.0999999999999996</v>
      </c>
    </row>
    <row r="1753" spans="1:2" x14ac:dyDescent="0.3">
      <c r="A1753" s="6" t="s">
        <v>29</v>
      </c>
      <c r="B1753">
        <f>VLOOKUP(A1753,Table1[[Item Purchased]:[Subscription Status]],8,FALSE)</f>
        <v>3.1</v>
      </c>
    </row>
    <row r="1754" spans="1:2" x14ac:dyDescent="0.3">
      <c r="A1754" s="5" t="s">
        <v>136</v>
      </c>
      <c r="B1754">
        <f>VLOOKUP(A1754,Table1[[Item Purchased]:[Subscription Status]],8,FALSE)</f>
        <v>4.8</v>
      </c>
    </row>
    <row r="1755" spans="1:2" x14ac:dyDescent="0.3">
      <c r="A1755" s="6" t="s">
        <v>86</v>
      </c>
      <c r="B1755">
        <f>VLOOKUP(A1755,Table1[[Item Purchased]:[Subscription Status]],8,FALSE)</f>
        <v>2.8</v>
      </c>
    </row>
    <row r="1756" spans="1:2" x14ac:dyDescent="0.3">
      <c r="A1756" s="5" t="s">
        <v>80</v>
      </c>
      <c r="B1756">
        <f>VLOOKUP(A1756,Table1[[Item Purchased]:[Subscription Status]],8,FALSE)</f>
        <v>4.7</v>
      </c>
    </row>
    <row r="1757" spans="1:2" x14ac:dyDescent="0.3">
      <c r="A1757" s="6" t="s">
        <v>132</v>
      </c>
      <c r="B1757">
        <f>VLOOKUP(A1757,Table1[[Item Purchased]:[Subscription Status]],8,FALSE)</f>
        <v>4.5999999999999996</v>
      </c>
    </row>
    <row r="1758" spans="1:2" x14ac:dyDescent="0.3">
      <c r="A1758" s="5" t="s">
        <v>105</v>
      </c>
      <c r="B1758">
        <f>VLOOKUP(A1758,Table1[[Item Purchased]:[Subscription Status]],8,FALSE)</f>
        <v>3.6</v>
      </c>
    </row>
    <row r="1759" spans="1:2" x14ac:dyDescent="0.3">
      <c r="A1759" s="6" t="s">
        <v>80</v>
      </c>
      <c r="B1759">
        <f>VLOOKUP(A1759,Table1[[Item Purchased]:[Subscription Status]],8,FALSE)</f>
        <v>4.7</v>
      </c>
    </row>
    <row r="1760" spans="1:2" x14ac:dyDescent="0.3">
      <c r="A1760" s="5" t="s">
        <v>123</v>
      </c>
      <c r="B1760">
        <f>VLOOKUP(A1760,Table1[[Item Purchased]:[Subscription Status]],8,FALSE)</f>
        <v>4.5999999999999996</v>
      </c>
    </row>
    <row r="1761" spans="1:2" x14ac:dyDescent="0.3">
      <c r="A1761" s="6" t="s">
        <v>29</v>
      </c>
      <c r="B1761">
        <f>VLOOKUP(A1761,Table1[[Item Purchased]:[Subscription Status]],8,FALSE)</f>
        <v>3.1</v>
      </c>
    </row>
    <row r="1762" spans="1:2" x14ac:dyDescent="0.3">
      <c r="A1762" s="5" t="s">
        <v>86</v>
      </c>
      <c r="B1762">
        <f>VLOOKUP(A1762,Table1[[Item Purchased]:[Subscription Status]],8,FALSE)</f>
        <v>2.8</v>
      </c>
    </row>
    <row r="1763" spans="1:2" x14ac:dyDescent="0.3">
      <c r="A1763" s="6" t="s">
        <v>103</v>
      </c>
      <c r="B1763">
        <f>VLOOKUP(A1763,Table1[[Item Purchased]:[Subscription Status]],8,FALSE)</f>
        <v>3.6</v>
      </c>
    </row>
    <row r="1764" spans="1:2" x14ac:dyDescent="0.3">
      <c r="A1764" s="5" t="s">
        <v>40</v>
      </c>
      <c r="B1764">
        <f>VLOOKUP(A1764,Table1[[Item Purchased]:[Subscription Status]],8,FALSE)</f>
        <v>3.5</v>
      </c>
    </row>
    <row r="1765" spans="1:2" x14ac:dyDescent="0.3">
      <c r="A1765" s="6" t="s">
        <v>105</v>
      </c>
      <c r="B1765">
        <f>VLOOKUP(A1765,Table1[[Item Purchased]:[Subscription Status]],8,FALSE)</f>
        <v>3.6</v>
      </c>
    </row>
    <row r="1766" spans="1:2" x14ac:dyDescent="0.3">
      <c r="A1766" s="5" t="s">
        <v>80</v>
      </c>
      <c r="B1766">
        <f>VLOOKUP(A1766,Table1[[Item Purchased]:[Subscription Status]],8,FALSE)</f>
        <v>4.7</v>
      </c>
    </row>
    <row r="1767" spans="1:2" x14ac:dyDescent="0.3">
      <c r="A1767" s="6" t="s">
        <v>103</v>
      </c>
      <c r="B1767">
        <f>VLOOKUP(A1767,Table1[[Item Purchased]:[Subscription Status]],8,FALSE)</f>
        <v>3.6</v>
      </c>
    </row>
    <row r="1768" spans="1:2" x14ac:dyDescent="0.3">
      <c r="A1768" s="5" t="s">
        <v>29</v>
      </c>
      <c r="B1768">
        <f>VLOOKUP(A1768,Table1[[Item Purchased]:[Subscription Status]],8,FALSE)</f>
        <v>3.1</v>
      </c>
    </row>
    <row r="1769" spans="1:2" x14ac:dyDescent="0.3">
      <c r="A1769" s="6" t="s">
        <v>105</v>
      </c>
      <c r="B1769">
        <f>VLOOKUP(A1769,Table1[[Item Purchased]:[Subscription Status]],8,FALSE)</f>
        <v>3.6</v>
      </c>
    </row>
    <row r="1770" spans="1:2" x14ac:dyDescent="0.3">
      <c r="A1770" s="5" t="s">
        <v>40</v>
      </c>
      <c r="B1770">
        <f>VLOOKUP(A1770,Table1[[Item Purchased]:[Subscription Status]],8,FALSE)</f>
        <v>3.5</v>
      </c>
    </row>
    <row r="1771" spans="1:2" x14ac:dyDescent="0.3">
      <c r="A1771" s="6" t="s">
        <v>124</v>
      </c>
      <c r="B1771">
        <f>VLOOKUP(A1771,Table1[[Item Purchased]:[Subscription Status]],8,FALSE)</f>
        <v>2.9</v>
      </c>
    </row>
    <row r="1772" spans="1:2" x14ac:dyDescent="0.3">
      <c r="A1772" s="5" t="s">
        <v>131</v>
      </c>
      <c r="B1772">
        <f>VLOOKUP(A1772,Table1[[Item Purchased]:[Subscription Status]],8,FALSE)</f>
        <v>4.7</v>
      </c>
    </row>
    <row r="1773" spans="1:2" x14ac:dyDescent="0.3">
      <c r="A1773" s="6" t="s">
        <v>54</v>
      </c>
      <c r="B1773">
        <f>VLOOKUP(A1773,Table1[[Item Purchased]:[Subscription Status]],8,FALSE)</f>
        <v>3.2</v>
      </c>
    </row>
    <row r="1774" spans="1:2" x14ac:dyDescent="0.3">
      <c r="A1774" s="5" t="s">
        <v>70</v>
      </c>
      <c r="B1774">
        <f>VLOOKUP(A1774,Table1[[Item Purchased]:[Subscription Status]],8,FALSE)</f>
        <v>4.0999999999999996</v>
      </c>
    </row>
    <row r="1775" spans="1:2" x14ac:dyDescent="0.3">
      <c r="A1775" s="6" t="s">
        <v>61</v>
      </c>
      <c r="B1775">
        <f>VLOOKUP(A1775,Table1[[Item Purchased]:[Subscription Status]],8,FALSE)</f>
        <v>2.6</v>
      </c>
    </row>
    <row r="1776" spans="1:2" x14ac:dyDescent="0.3">
      <c r="A1776" s="5" t="s">
        <v>29</v>
      </c>
      <c r="B1776">
        <f>VLOOKUP(A1776,Table1[[Item Purchased]:[Subscription Status]],8,FALSE)</f>
        <v>3.1</v>
      </c>
    </row>
    <row r="1777" spans="1:2" x14ac:dyDescent="0.3">
      <c r="A1777" s="6" t="s">
        <v>101</v>
      </c>
      <c r="B1777">
        <f>VLOOKUP(A1777,Table1[[Item Purchased]:[Subscription Status]],8,FALSE)</f>
        <v>2.9</v>
      </c>
    </row>
    <row r="1778" spans="1:2" x14ac:dyDescent="0.3">
      <c r="A1778" s="5" t="s">
        <v>101</v>
      </c>
      <c r="B1778">
        <f>VLOOKUP(A1778,Table1[[Item Purchased]:[Subscription Status]],8,FALSE)</f>
        <v>2.9</v>
      </c>
    </row>
    <row r="1779" spans="1:2" x14ac:dyDescent="0.3">
      <c r="A1779" s="6" t="s">
        <v>49</v>
      </c>
      <c r="B1779">
        <f>VLOOKUP(A1779,Table1[[Item Purchased]:[Subscription Status]],8,FALSE)</f>
        <v>2.9</v>
      </c>
    </row>
    <row r="1780" spans="1:2" x14ac:dyDescent="0.3">
      <c r="A1780" s="5" t="s">
        <v>132</v>
      </c>
      <c r="B1780">
        <f>VLOOKUP(A1780,Table1[[Item Purchased]:[Subscription Status]],8,FALSE)</f>
        <v>4.5999999999999996</v>
      </c>
    </row>
    <row r="1781" spans="1:2" x14ac:dyDescent="0.3">
      <c r="A1781" s="6" t="s">
        <v>118</v>
      </c>
      <c r="B1781">
        <f>VLOOKUP(A1781,Table1[[Item Purchased]:[Subscription Status]],8,FALSE)</f>
        <v>4.5</v>
      </c>
    </row>
    <row r="1782" spans="1:2" x14ac:dyDescent="0.3">
      <c r="A1782" s="5" t="s">
        <v>105</v>
      </c>
      <c r="B1782">
        <f>VLOOKUP(A1782,Table1[[Item Purchased]:[Subscription Status]],8,FALSE)</f>
        <v>3.6</v>
      </c>
    </row>
    <row r="1783" spans="1:2" x14ac:dyDescent="0.3">
      <c r="A1783" s="6" t="s">
        <v>112</v>
      </c>
      <c r="B1783">
        <f>VLOOKUP(A1783,Table1[[Item Purchased]:[Subscription Status]],8,FALSE)</f>
        <v>4.5999999999999996</v>
      </c>
    </row>
    <row r="1784" spans="1:2" x14ac:dyDescent="0.3">
      <c r="A1784" s="5" t="s">
        <v>94</v>
      </c>
      <c r="B1784">
        <f>VLOOKUP(A1784,Table1[[Item Purchased]:[Subscription Status]],8,FALSE)</f>
        <v>3.3</v>
      </c>
    </row>
    <row r="1785" spans="1:2" x14ac:dyDescent="0.3">
      <c r="A1785" s="6" t="s">
        <v>65</v>
      </c>
      <c r="B1785">
        <f>VLOOKUP(A1785,Table1[[Item Purchased]:[Subscription Status]],8,FALSE)</f>
        <v>4.8</v>
      </c>
    </row>
    <row r="1786" spans="1:2" x14ac:dyDescent="0.3">
      <c r="A1786" s="5" t="s">
        <v>131</v>
      </c>
      <c r="B1786">
        <f>VLOOKUP(A1786,Table1[[Item Purchased]:[Subscription Status]],8,FALSE)</f>
        <v>4.7</v>
      </c>
    </row>
    <row r="1787" spans="1:2" x14ac:dyDescent="0.3">
      <c r="A1787" s="6" t="s">
        <v>142</v>
      </c>
      <c r="B1787">
        <f>VLOOKUP(A1787,Table1[[Item Purchased]:[Subscription Status]],8,FALSE)</f>
        <v>4.5</v>
      </c>
    </row>
    <row r="1788" spans="1:2" x14ac:dyDescent="0.3">
      <c r="A1788" s="5" t="s">
        <v>101</v>
      </c>
      <c r="B1788">
        <f>VLOOKUP(A1788,Table1[[Item Purchased]:[Subscription Status]],8,FALSE)</f>
        <v>2.9</v>
      </c>
    </row>
    <row r="1789" spans="1:2" x14ac:dyDescent="0.3">
      <c r="A1789" s="6" t="s">
        <v>29</v>
      </c>
      <c r="B1789">
        <f>VLOOKUP(A1789,Table1[[Item Purchased]:[Subscription Status]],8,FALSE)</f>
        <v>3.1</v>
      </c>
    </row>
    <row r="1790" spans="1:2" x14ac:dyDescent="0.3">
      <c r="A1790" s="5" t="s">
        <v>19</v>
      </c>
      <c r="B1790">
        <f>VLOOKUP(A1790,Table1[[Item Purchased]:[Subscription Status]],8,FALSE)</f>
        <v>3.1</v>
      </c>
    </row>
    <row r="1791" spans="1:2" x14ac:dyDescent="0.3">
      <c r="A1791" s="6" t="s">
        <v>19</v>
      </c>
      <c r="B1791">
        <f>VLOOKUP(A1791,Table1[[Item Purchased]:[Subscription Status]],8,FALSE)</f>
        <v>3.1</v>
      </c>
    </row>
    <row r="1792" spans="1:2" x14ac:dyDescent="0.3">
      <c r="A1792" s="5" t="s">
        <v>142</v>
      </c>
      <c r="B1792">
        <f>VLOOKUP(A1792,Table1[[Item Purchased]:[Subscription Status]],8,FALSE)</f>
        <v>4.5</v>
      </c>
    </row>
    <row r="1793" spans="1:2" x14ac:dyDescent="0.3">
      <c r="A1793" s="6" t="s">
        <v>33</v>
      </c>
      <c r="B1793">
        <f>VLOOKUP(A1793,Table1[[Item Purchased]:[Subscription Status]],8,FALSE)</f>
        <v>3.1</v>
      </c>
    </row>
    <row r="1794" spans="1:2" x14ac:dyDescent="0.3">
      <c r="A1794" s="5" t="s">
        <v>49</v>
      </c>
      <c r="B1794">
        <f>VLOOKUP(A1794,Table1[[Item Purchased]:[Subscription Status]],8,FALSE)</f>
        <v>2.9</v>
      </c>
    </row>
    <row r="1795" spans="1:2" x14ac:dyDescent="0.3">
      <c r="A1795" s="6" t="s">
        <v>123</v>
      </c>
      <c r="B1795">
        <f>VLOOKUP(A1795,Table1[[Item Purchased]:[Subscription Status]],8,FALSE)</f>
        <v>4.5999999999999996</v>
      </c>
    </row>
    <row r="1796" spans="1:2" x14ac:dyDescent="0.3">
      <c r="A1796" s="5" t="s">
        <v>131</v>
      </c>
      <c r="B1796">
        <f>VLOOKUP(A1796,Table1[[Item Purchased]:[Subscription Status]],8,FALSE)</f>
        <v>4.7</v>
      </c>
    </row>
    <row r="1797" spans="1:2" x14ac:dyDescent="0.3">
      <c r="A1797" s="6" t="s">
        <v>33</v>
      </c>
      <c r="B1797">
        <f>VLOOKUP(A1797,Table1[[Item Purchased]:[Subscription Status]],8,FALSE)</f>
        <v>3.1</v>
      </c>
    </row>
    <row r="1798" spans="1:2" x14ac:dyDescent="0.3">
      <c r="A1798" s="5" t="s">
        <v>86</v>
      </c>
      <c r="B1798">
        <f>VLOOKUP(A1798,Table1[[Item Purchased]:[Subscription Status]],8,FALSE)</f>
        <v>2.8</v>
      </c>
    </row>
    <row r="1799" spans="1:2" x14ac:dyDescent="0.3">
      <c r="A1799" s="6" t="s">
        <v>132</v>
      </c>
      <c r="B1799">
        <f>VLOOKUP(A1799,Table1[[Item Purchased]:[Subscription Status]],8,FALSE)</f>
        <v>4.5999999999999996</v>
      </c>
    </row>
    <row r="1800" spans="1:2" x14ac:dyDescent="0.3">
      <c r="A1800" s="5" t="s">
        <v>80</v>
      </c>
      <c r="B1800">
        <f>VLOOKUP(A1800,Table1[[Item Purchased]:[Subscription Status]],8,FALSE)</f>
        <v>4.7</v>
      </c>
    </row>
    <row r="1801" spans="1:2" x14ac:dyDescent="0.3">
      <c r="A1801" s="6" t="s">
        <v>103</v>
      </c>
      <c r="B1801">
        <f>VLOOKUP(A1801,Table1[[Item Purchased]:[Subscription Status]],8,FALSE)</f>
        <v>3.6</v>
      </c>
    </row>
    <row r="1802" spans="1:2" x14ac:dyDescent="0.3">
      <c r="A1802" s="5" t="s">
        <v>61</v>
      </c>
      <c r="B1802">
        <f>VLOOKUP(A1802,Table1[[Item Purchased]:[Subscription Status]],8,FALSE)</f>
        <v>2.6</v>
      </c>
    </row>
    <row r="1803" spans="1:2" x14ac:dyDescent="0.3">
      <c r="A1803" s="6" t="s">
        <v>29</v>
      </c>
      <c r="B1803">
        <f>VLOOKUP(A1803,Table1[[Item Purchased]:[Subscription Status]],8,FALSE)</f>
        <v>3.1</v>
      </c>
    </row>
    <row r="1804" spans="1:2" x14ac:dyDescent="0.3">
      <c r="A1804" s="5" t="s">
        <v>58</v>
      </c>
      <c r="B1804">
        <f>VLOOKUP(A1804,Table1[[Item Purchased]:[Subscription Status]],8,FALSE)</f>
        <v>3.2</v>
      </c>
    </row>
    <row r="1805" spans="1:2" x14ac:dyDescent="0.3">
      <c r="A1805" s="6" t="s">
        <v>49</v>
      </c>
      <c r="B1805">
        <f>VLOOKUP(A1805,Table1[[Item Purchased]:[Subscription Status]],8,FALSE)</f>
        <v>2.9</v>
      </c>
    </row>
    <row r="1806" spans="1:2" x14ac:dyDescent="0.3">
      <c r="A1806" s="5" t="s">
        <v>29</v>
      </c>
      <c r="B1806">
        <f>VLOOKUP(A1806,Table1[[Item Purchased]:[Subscription Status]],8,FALSE)</f>
        <v>3.1</v>
      </c>
    </row>
    <row r="1807" spans="1:2" x14ac:dyDescent="0.3">
      <c r="A1807" s="6" t="s">
        <v>112</v>
      </c>
      <c r="B1807">
        <f>VLOOKUP(A1807,Table1[[Item Purchased]:[Subscription Status]],8,FALSE)</f>
        <v>4.5999999999999996</v>
      </c>
    </row>
    <row r="1808" spans="1:2" x14ac:dyDescent="0.3">
      <c r="A1808" s="5" t="s">
        <v>65</v>
      </c>
      <c r="B1808">
        <f>VLOOKUP(A1808,Table1[[Item Purchased]:[Subscription Status]],8,FALSE)</f>
        <v>4.8</v>
      </c>
    </row>
    <row r="1809" spans="1:2" x14ac:dyDescent="0.3">
      <c r="A1809" s="6" t="s">
        <v>49</v>
      </c>
      <c r="B1809">
        <f>VLOOKUP(A1809,Table1[[Item Purchased]:[Subscription Status]],8,FALSE)</f>
        <v>2.9</v>
      </c>
    </row>
    <row r="1810" spans="1:2" x14ac:dyDescent="0.3">
      <c r="A1810" s="5" t="s">
        <v>101</v>
      </c>
      <c r="B1810">
        <f>VLOOKUP(A1810,Table1[[Item Purchased]:[Subscription Status]],8,FALSE)</f>
        <v>2.9</v>
      </c>
    </row>
    <row r="1811" spans="1:2" x14ac:dyDescent="0.3">
      <c r="A1811" s="6" t="s">
        <v>131</v>
      </c>
      <c r="B1811">
        <f>VLOOKUP(A1811,Table1[[Item Purchased]:[Subscription Status]],8,FALSE)</f>
        <v>4.7</v>
      </c>
    </row>
    <row r="1812" spans="1:2" x14ac:dyDescent="0.3">
      <c r="A1812" s="5" t="s">
        <v>33</v>
      </c>
      <c r="B1812">
        <f>VLOOKUP(A1812,Table1[[Item Purchased]:[Subscription Status]],8,FALSE)</f>
        <v>3.1</v>
      </c>
    </row>
    <row r="1813" spans="1:2" x14ac:dyDescent="0.3">
      <c r="A1813" s="6" t="s">
        <v>132</v>
      </c>
      <c r="B1813">
        <f>VLOOKUP(A1813,Table1[[Item Purchased]:[Subscription Status]],8,FALSE)</f>
        <v>4.5999999999999996</v>
      </c>
    </row>
    <row r="1814" spans="1:2" x14ac:dyDescent="0.3">
      <c r="A1814" s="5" t="s">
        <v>136</v>
      </c>
      <c r="B1814">
        <f>VLOOKUP(A1814,Table1[[Item Purchased]:[Subscription Status]],8,FALSE)</f>
        <v>4.8</v>
      </c>
    </row>
    <row r="1815" spans="1:2" x14ac:dyDescent="0.3">
      <c r="A1815" s="6" t="s">
        <v>58</v>
      </c>
      <c r="B1815">
        <f>VLOOKUP(A1815,Table1[[Item Purchased]:[Subscription Status]],8,FALSE)</f>
        <v>3.2</v>
      </c>
    </row>
    <row r="1816" spans="1:2" x14ac:dyDescent="0.3">
      <c r="A1816" s="5" t="s">
        <v>33</v>
      </c>
      <c r="B1816">
        <f>VLOOKUP(A1816,Table1[[Item Purchased]:[Subscription Status]],8,FALSE)</f>
        <v>3.1</v>
      </c>
    </row>
    <row r="1817" spans="1:2" x14ac:dyDescent="0.3">
      <c r="A1817" s="6" t="s">
        <v>70</v>
      </c>
      <c r="B1817">
        <f>VLOOKUP(A1817,Table1[[Item Purchased]:[Subscription Status]],8,FALSE)</f>
        <v>4.0999999999999996</v>
      </c>
    </row>
    <row r="1818" spans="1:2" x14ac:dyDescent="0.3">
      <c r="A1818" s="5" t="s">
        <v>123</v>
      </c>
      <c r="B1818">
        <f>VLOOKUP(A1818,Table1[[Item Purchased]:[Subscription Status]],8,FALSE)</f>
        <v>4.5999999999999996</v>
      </c>
    </row>
    <row r="1819" spans="1:2" x14ac:dyDescent="0.3">
      <c r="A1819" s="6" t="s">
        <v>112</v>
      </c>
      <c r="B1819">
        <f>VLOOKUP(A1819,Table1[[Item Purchased]:[Subscription Status]],8,FALSE)</f>
        <v>4.5999999999999996</v>
      </c>
    </row>
    <row r="1820" spans="1:2" x14ac:dyDescent="0.3">
      <c r="A1820" s="5" t="s">
        <v>88</v>
      </c>
      <c r="B1820">
        <f>VLOOKUP(A1820,Table1[[Item Purchased]:[Subscription Status]],8,FALSE)</f>
        <v>4.0999999999999996</v>
      </c>
    </row>
    <row r="1821" spans="1:2" x14ac:dyDescent="0.3">
      <c r="A1821" s="6" t="s">
        <v>124</v>
      </c>
      <c r="B1821">
        <f>VLOOKUP(A1821,Table1[[Item Purchased]:[Subscription Status]],8,FALSE)</f>
        <v>2.9</v>
      </c>
    </row>
    <row r="1822" spans="1:2" x14ac:dyDescent="0.3">
      <c r="A1822" s="5" t="s">
        <v>54</v>
      </c>
      <c r="B1822">
        <f>VLOOKUP(A1822,Table1[[Item Purchased]:[Subscription Status]],8,FALSE)</f>
        <v>3.2</v>
      </c>
    </row>
    <row r="1823" spans="1:2" x14ac:dyDescent="0.3">
      <c r="A1823" s="6" t="s">
        <v>58</v>
      </c>
      <c r="B1823">
        <f>VLOOKUP(A1823,Table1[[Item Purchased]:[Subscription Status]],8,FALSE)</f>
        <v>3.2</v>
      </c>
    </row>
    <row r="1824" spans="1:2" x14ac:dyDescent="0.3">
      <c r="A1824" s="5" t="s">
        <v>54</v>
      </c>
      <c r="B1824">
        <f>VLOOKUP(A1824,Table1[[Item Purchased]:[Subscription Status]],8,FALSE)</f>
        <v>3.2</v>
      </c>
    </row>
    <row r="1825" spans="1:2" x14ac:dyDescent="0.3">
      <c r="A1825" s="6" t="s">
        <v>124</v>
      </c>
      <c r="B1825">
        <f>VLOOKUP(A1825,Table1[[Item Purchased]:[Subscription Status]],8,FALSE)</f>
        <v>2.9</v>
      </c>
    </row>
    <row r="1826" spans="1:2" x14ac:dyDescent="0.3">
      <c r="A1826" s="5" t="s">
        <v>94</v>
      </c>
      <c r="B1826">
        <f>VLOOKUP(A1826,Table1[[Item Purchased]:[Subscription Status]],8,FALSE)</f>
        <v>3.3</v>
      </c>
    </row>
    <row r="1827" spans="1:2" x14ac:dyDescent="0.3">
      <c r="A1827" s="6" t="s">
        <v>136</v>
      </c>
      <c r="B1827">
        <f>VLOOKUP(A1827,Table1[[Item Purchased]:[Subscription Status]],8,FALSE)</f>
        <v>4.8</v>
      </c>
    </row>
    <row r="1828" spans="1:2" x14ac:dyDescent="0.3">
      <c r="A1828" s="5" t="s">
        <v>112</v>
      </c>
      <c r="B1828">
        <f>VLOOKUP(A1828,Table1[[Item Purchased]:[Subscription Status]],8,FALSE)</f>
        <v>4.5999999999999996</v>
      </c>
    </row>
    <row r="1829" spans="1:2" x14ac:dyDescent="0.3">
      <c r="A1829" s="6" t="s">
        <v>112</v>
      </c>
      <c r="B1829">
        <f>VLOOKUP(A1829,Table1[[Item Purchased]:[Subscription Status]],8,FALSE)</f>
        <v>4.5999999999999996</v>
      </c>
    </row>
    <row r="1830" spans="1:2" x14ac:dyDescent="0.3">
      <c r="A1830" s="5" t="s">
        <v>61</v>
      </c>
      <c r="B1830">
        <f>VLOOKUP(A1830,Table1[[Item Purchased]:[Subscription Status]],8,FALSE)</f>
        <v>2.6</v>
      </c>
    </row>
    <row r="1831" spans="1:2" x14ac:dyDescent="0.3">
      <c r="A1831" s="6" t="s">
        <v>123</v>
      </c>
      <c r="B1831">
        <f>VLOOKUP(A1831,Table1[[Item Purchased]:[Subscription Status]],8,FALSE)</f>
        <v>4.5999999999999996</v>
      </c>
    </row>
    <row r="1832" spans="1:2" x14ac:dyDescent="0.3">
      <c r="A1832" s="5" t="s">
        <v>88</v>
      </c>
      <c r="B1832">
        <f>VLOOKUP(A1832,Table1[[Item Purchased]:[Subscription Status]],8,FALSE)</f>
        <v>4.0999999999999996</v>
      </c>
    </row>
    <row r="1833" spans="1:2" x14ac:dyDescent="0.3">
      <c r="A1833" s="6" t="s">
        <v>19</v>
      </c>
      <c r="B1833">
        <f>VLOOKUP(A1833,Table1[[Item Purchased]:[Subscription Status]],8,FALSE)</f>
        <v>3.1</v>
      </c>
    </row>
    <row r="1834" spans="1:2" x14ac:dyDescent="0.3">
      <c r="A1834" s="5" t="s">
        <v>105</v>
      </c>
      <c r="B1834">
        <f>VLOOKUP(A1834,Table1[[Item Purchased]:[Subscription Status]],8,FALSE)</f>
        <v>3.6</v>
      </c>
    </row>
    <row r="1835" spans="1:2" x14ac:dyDescent="0.3">
      <c r="A1835" s="6" t="s">
        <v>105</v>
      </c>
      <c r="B1835">
        <f>VLOOKUP(A1835,Table1[[Item Purchased]:[Subscription Status]],8,FALSE)</f>
        <v>3.6</v>
      </c>
    </row>
    <row r="1836" spans="1:2" x14ac:dyDescent="0.3">
      <c r="A1836" s="5" t="s">
        <v>86</v>
      </c>
      <c r="B1836">
        <f>VLOOKUP(A1836,Table1[[Item Purchased]:[Subscription Status]],8,FALSE)</f>
        <v>2.8</v>
      </c>
    </row>
    <row r="1837" spans="1:2" x14ac:dyDescent="0.3">
      <c r="A1837" s="6" t="s">
        <v>118</v>
      </c>
      <c r="B1837">
        <f>VLOOKUP(A1837,Table1[[Item Purchased]:[Subscription Status]],8,FALSE)</f>
        <v>4.5</v>
      </c>
    </row>
    <row r="1838" spans="1:2" x14ac:dyDescent="0.3">
      <c r="A1838" s="5" t="s">
        <v>94</v>
      </c>
      <c r="B1838">
        <f>VLOOKUP(A1838,Table1[[Item Purchased]:[Subscription Status]],8,FALSE)</f>
        <v>3.3</v>
      </c>
    </row>
    <row r="1839" spans="1:2" x14ac:dyDescent="0.3">
      <c r="A1839" s="6" t="s">
        <v>123</v>
      </c>
      <c r="B1839">
        <f>VLOOKUP(A1839,Table1[[Item Purchased]:[Subscription Status]],8,FALSE)</f>
        <v>4.5999999999999996</v>
      </c>
    </row>
    <row r="1840" spans="1:2" x14ac:dyDescent="0.3">
      <c r="A1840" s="5" t="s">
        <v>142</v>
      </c>
      <c r="B1840">
        <f>VLOOKUP(A1840,Table1[[Item Purchased]:[Subscription Status]],8,FALSE)</f>
        <v>4.5</v>
      </c>
    </row>
    <row r="1841" spans="1:2" x14ac:dyDescent="0.3">
      <c r="A1841" s="6" t="s">
        <v>54</v>
      </c>
      <c r="B1841">
        <f>VLOOKUP(A1841,Table1[[Item Purchased]:[Subscription Status]],8,FALSE)</f>
        <v>3.2</v>
      </c>
    </row>
    <row r="1842" spans="1:2" x14ac:dyDescent="0.3">
      <c r="A1842" s="5" t="s">
        <v>40</v>
      </c>
      <c r="B1842">
        <f>VLOOKUP(A1842,Table1[[Item Purchased]:[Subscription Status]],8,FALSE)</f>
        <v>3.5</v>
      </c>
    </row>
    <row r="1843" spans="1:2" x14ac:dyDescent="0.3">
      <c r="A1843" s="6" t="s">
        <v>124</v>
      </c>
      <c r="B1843">
        <f>VLOOKUP(A1843,Table1[[Item Purchased]:[Subscription Status]],8,FALSE)</f>
        <v>2.9</v>
      </c>
    </row>
    <row r="1844" spans="1:2" x14ac:dyDescent="0.3">
      <c r="A1844" s="5" t="s">
        <v>65</v>
      </c>
      <c r="B1844">
        <f>VLOOKUP(A1844,Table1[[Item Purchased]:[Subscription Status]],8,FALSE)</f>
        <v>4.8</v>
      </c>
    </row>
    <row r="1845" spans="1:2" x14ac:dyDescent="0.3">
      <c r="A1845" s="6" t="s">
        <v>101</v>
      </c>
      <c r="B1845">
        <f>VLOOKUP(A1845,Table1[[Item Purchased]:[Subscription Status]],8,FALSE)</f>
        <v>2.9</v>
      </c>
    </row>
    <row r="1846" spans="1:2" x14ac:dyDescent="0.3">
      <c r="A1846" s="5" t="s">
        <v>58</v>
      </c>
      <c r="B1846">
        <f>VLOOKUP(A1846,Table1[[Item Purchased]:[Subscription Status]],8,FALSE)</f>
        <v>3.2</v>
      </c>
    </row>
    <row r="1847" spans="1:2" x14ac:dyDescent="0.3">
      <c r="A1847" s="6" t="s">
        <v>40</v>
      </c>
      <c r="B1847">
        <f>VLOOKUP(A1847,Table1[[Item Purchased]:[Subscription Status]],8,FALSE)</f>
        <v>3.5</v>
      </c>
    </row>
    <row r="1848" spans="1:2" x14ac:dyDescent="0.3">
      <c r="A1848" s="5" t="s">
        <v>118</v>
      </c>
      <c r="B1848">
        <f>VLOOKUP(A1848,Table1[[Item Purchased]:[Subscription Status]],8,FALSE)</f>
        <v>4.5</v>
      </c>
    </row>
    <row r="1849" spans="1:2" x14ac:dyDescent="0.3">
      <c r="A1849" s="6" t="s">
        <v>40</v>
      </c>
      <c r="B1849">
        <f>VLOOKUP(A1849,Table1[[Item Purchased]:[Subscription Status]],8,FALSE)</f>
        <v>3.5</v>
      </c>
    </row>
    <row r="1850" spans="1:2" x14ac:dyDescent="0.3">
      <c r="A1850" s="5" t="s">
        <v>33</v>
      </c>
      <c r="B1850">
        <f>VLOOKUP(A1850,Table1[[Item Purchased]:[Subscription Status]],8,FALSE)</f>
        <v>3.1</v>
      </c>
    </row>
    <row r="1851" spans="1:2" x14ac:dyDescent="0.3">
      <c r="A1851" s="6" t="s">
        <v>86</v>
      </c>
      <c r="B1851">
        <f>VLOOKUP(A1851,Table1[[Item Purchased]:[Subscription Status]],8,FALSE)</f>
        <v>2.8</v>
      </c>
    </row>
    <row r="1852" spans="1:2" x14ac:dyDescent="0.3">
      <c r="A1852" s="5" t="s">
        <v>142</v>
      </c>
      <c r="B1852">
        <f>VLOOKUP(A1852,Table1[[Item Purchased]:[Subscription Status]],8,FALSE)</f>
        <v>4.5</v>
      </c>
    </row>
    <row r="1853" spans="1:2" x14ac:dyDescent="0.3">
      <c r="A1853" s="6" t="s">
        <v>86</v>
      </c>
      <c r="B1853">
        <f>VLOOKUP(A1853,Table1[[Item Purchased]:[Subscription Status]],8,FALSE)</f>
        <v>2.8</v>
      </c>
    </row>
    <row r="1854" spans="1:2" x14ac:dyDescent="0.3">
      <c r="A1854" s="5" t="s">
        <v>29</v>
      </c>
      <c r="B1854">
        <f>VLOOKUP(A1854,Table1[[Item Purchased]:[Subscription Status]],8,FALSE)</f>
        <v>3.1</v>
      </c>
    </row>
    <row r="1855" spans="1:2" x14ac:dyDescent="0.3">
      <c r="A1855" s="6" t="s">
        <v>19</v>
      </c>
      <c r="B1855">
        <f>VLOOKUP(A1855,Table1[[Item Purchased]:[Subscription Status]],8,FALSE)</f>
        <v>3.1</v>
      </c>
    </row>
    <row r="1856" spans="1:2" x14ac:dyDescent="0.3">
      <c r="A1856" s="5" t="s">
        <v>29</v>
      </c>
      <c r="B1856">
        <f>VLOOKUP(A1856,Table1[[Item Purchased]:[Subscription Status]],8,FALSE)</f>
        <v>3.1</v>
      </c>
    </row>
    <row r="1857" spans="1:2" x14ac:dyDescent="0.3">
      <c r="A1857" s="6" t="s">
        <v>54</v>
      </c>
      <c r="B1857">
        <f>VLOOKUP(A1857,Table1[[Item Purchased]:[Subscription Status]],8,FALSE)</f>
        <v>3.2</v>
      </c>
    </row>
    <row r="1858" spans="1:2" x14ac:dyDescent="0.3">
      <c r="A1858" s="5" t="s">
        <v>105</v>
      </c>
      <c r="B1858">
        <f>VLOOKUP(A1858,Table1[[Item Purchased]:[Subscription Status]],8,FALSE)</f>
        <v>3.6</v>
      </c>
    </row>
    <row r="1859" spans="1:2" x14ac:dyDescent="0.3">
      <c r="A1859" s="6" t="s">
        <v>112</v>
      </c>
      <c r="B1859">
        <f>VLOOKUP(A1859,Table1[[Item Purchased]:[Subscription Status]],8,FALSE)</f>
        <v>4.5999999999999996</v>
      </c>
    </row>
    <row r="1860" spans="1:2" x14ac:dyDescent="0.3">
      <c r="A1860" s="5" t="s">
        <v>118</v>
      </c>
      <c r="B1860">
        <f>VLOOKUP(A1860,Table1[[Item Purchased]:[Subscription Status]],8,FALSE)</f>
        <v>4.5</v>
      </c>
    </row>
    <row r="1861" spans="1:2" x14ac:dyDescent="0.3">
      <c r="A1861" s="6" t="s">
        <v>132</v>
      </c>
      <c r="B1861">
        <f>VLOOKUP(A1861,Table1[[Item Purchased]:[Subscription Status]],8,FALSE)</f>
        <v>4.5999999999999996</v>
      </c>
    </row>
    <row r="1862" spans="1:2" x14ac:dyDescent="0.3">
      <c r="A1862" s="5" t="s">
        <v>112</v>
      </c>
      <c r="B1862">
        <f>VLOOKUP(A1862,Table1[[Item Purchased]:[Subscription Status]],8,FALSE)</f>
        <v>4.5999999999999996</v>
      </c>
    </row>
    <row r="1863" spans="1:2" x14ac:dyDescent="0.3">
      <c r="A1863" s="6" t="s">
        <v>49</v>
      </c>
      <c r="B1863">
        <f>VLOOKUP(A1863,Table1[[Item Purchased]:[Subscription Status]],8,FALSE)</f>
        <v>2.9</v>
      </c>
    </row>
    <row r="1864" spans="1:2" x14ac:dyDescent="0.3">
      <c r="A1864" s="5" t="s">
        <v>142</v>
      </c>
      <c r="B1864">
        <f>VLOOKUP(A1864,Table1[[Item Purchased]:[Subscription Status]],8,FALSE)</f>
        <v>4.5</v>
      </c>
    </row>
    <row r="1865" spans="1:2" x14ac:dyDescent="0.3">
      <c r="A1865" s="6" t="s">
        <v>40</v>
      </c>
      <c r="B1865">
        <f>VLOOKUP(A1865,Table1[[Item Purchased]:[Subscription Status]],8,FALSE)</f>
        <v>3.5</v>
      </c>
    </row>
    <row r="1866" spans="1:2" x14ac:dyDescent="0.3">
      <c r="A1866" s="5" t="s">
        <v>131</v>
      </c>
      <c r="B1866">
        <f>VLOOKUP(A1866,Table1[[Item Purchased]:[Subscription Status]],8,FALSE)</f>
        <v>4.7</v>
      </c>
    </row>
    <row r="1867" spans="1:2" x14ac:dyDescent="0.3">
      <c r="A1867" s="6" t="s">
        <v>94</v>
      </c>
      <c r="B1867">
        <f>VLOOKUP(A1867,Table1[[Item Purchased]:[Subscription Status]],8,FALSE)</f>
        <v>3.3</v>
      </c>
    </row>
    <row r="1868" spans="1:2" x14ac:dyDescent="0.3">
      <c r="A1868" s="5" t="s">
        <v>112</v>
      </c>
      <c r="B1868">
        <f>VLOOKUP(A1868,Table1[[Item Purchased]:[Subscription Status]],8,FALSE)</f>
        <v>4.5999999999999996</v>
      </c>
    </row>
    <row r="1869" spans="1:2" x14ac:dyDescent="0.3">
      <c r="A1869" s="6" t="s">
        <v>86</v>
      </c>
      <c r="B1869">
        <f>VLOOKUP(A1869,Table1[[Item Purchased]:[Subscription Status]],8,FALSE)</f>
        <v>2.8</v>
      </c>
    </row>
    <row r="1870" spans="1:2" x14ac:dyDescent="0.3">
      <c r="A1870" s="5" t="s">
        <v>142</v>
      </c>
      <c r="B1870">
        <f>VLOOKUP(A1870,Table1[[Item Purchased]:[Subscription Status]],8,FALSE)</f>
        <v>4.5</v>
      </c>
    </row>
    <row r="1871" spans="1:2" x14ac:dyDescent="0.3">
      <c r="A1871" s="6" t="s">
        <v>19</v>
      </c>
      <c r="B1871">
        <f>VLOOKUP(A1871,Table1[[Item Purchased]:[Subscription Status]],8,FALSE)</f>
        <v>3.1</v>
      </c>
    </row>
    <row r="1872" spans="1:2" x14ac:dyDescent="0.3">
      <c r="A1872" s="5" t="s">
        <v>19</v>
      </c>
      <c r="B1872">
        <f>VLOOKUP(A1872,Table1[[Item Purchased]:[Subscription Status]],8,FALSE)</f>
        <v>3.1</v>
      </c>
    </row>
    <row r="1873" spans="1:2" x14ac:dyDescent="0.3">
      <c r="A1873" s="6" t="s">
        <v>33</v>
      </c>
      <c r="B1873">
        <f>VLOOKUP(A1873,Table1[[Item Purchased]:[Subscription Status]],8,FALSE)</f>
        <v>3.1</v>
      </c>
    </row>
    <row r="1874" spans="1:2" x14ac:dyDescent="0.3">
      <c r="A1874" s="5" t="s">
        <v>112</v>
      </c>
      <c r="B1874">
        <f>VLOOKUP(A1874,Table1[[Item Purchased]:[Subscription Status]],8,FALSE)</f>
        <v>4.5999999999999996</v>
      </c>
    </row>
    <row r="1875" spans="1:2" x14ac:dyDescent="0.3">
      <c r="A1875" s="6" t="s">
        <v>29</v>
      </c>
      <c r="B1875">
        <f>VLOOKUP(A1875,Table1[[Item Purchased]:[Subscription Status]],8,FALSE)</f>
        <v>3.1</v>
      </c>
    </row>
    <row r="1876" spans="1:2" x14ac:dyDescent="0.3">
      <c r="A1876" s="5" t="s">
        <v>94</v>
      </c>
      <c r="B1876">
        <f>VLOOKUP(A1876,Table1[[Item Purchased]:[Subscription Status]],8,FALSE)</f>
        <v>3.3</v>
      </c>
    </row>
    <row r="1877" spans="1:2" x14ac:dyDescent="0.3">
      <c r="A1877" s="6" t="s">
        <v>136</v>
      </c>
      <c r="B1877">
        <f>VLOOKUP(A1877,Table1[[Item Purchased]:[Subscription Status]],8,FALSE)</f>
        <v>4.8</v>
      </c>
    </row>
    <row r="1878" spans="1:2" x14ac:dyDescent="0.3">
      <c r="A1878" s="5" t="s">
        <v>86</v>
      </c>
      <c r="B1878">
        <f>VLOOKUP(A1878,Table1[[Item Purchased]:[Subscription Status]],8,FALSE)</f>
        <v>2.8</v>
      </c>
    </row>
    <row r="1879" spans="1:2" x14ac:dyDescent="0.3">
      <c r="A1879" s="6" t="s">
        <v>142</v>
      </c>
      <c r="B1879">
        <f>VLOOKUP(A1879,Table1[[Item Purchased]:[Subscription Status]],8,FALSE)</f>
        <v>4.5</v>
      </c>
    </row>
    <row r="1880" spans="1:2" x14ac:dyDescent="0.3">
      <c r="A1880" s="5" t="s">
        <v>124</v>
      </c>
      <c r="B1880">
        <f>VLOOKUP(A1880,Table1[[Item Purchased]:[Subscription Status]],8,FALSE)</f>
        <v>2.9</v>
      </c>
    </row>
    <row r="1881" spans="1:2" x14ac:dyDescent="0.3">
      <c r="A1881" s="6" t="s">
        <v>112</v>
      </c>
      <c r="B1881">
        <f>VLOOKUP(A1881,Table1[[Item Purchased]:[Subscription Status]],8,FALSE)</f>
        <v>4.5999999999999996</v>
      </c>
    </row>
    <row r="1882" spans="1:2" x14ac:dyDescent="0.3">
      <c r="A1882" s="5" t="s">
        <v>19</v>
      </c>
      <c r="B1882">
        <f>VLOOKUP(A1882,Table1[[Item Purchased]:[Subscription Status]],8,FALSE)</f>
        <v>3.1</v>
      </c>
    </row>
    <row r="1883" spans="1:2" x14ac:dyDescent="0.3">
      <c r="A1883" s="6" t="s">
        <v>19</v>
      </c>
      <c r="B1883">
        <f>VLOOKUP(A1883,Table1[[Item Purchased]:[Subscription Status]],8,FALSE)</f>
        <v>3.1</v>
      </c>
    </row>
    <row r="1884" spans="1:2" x14ac:dyDescent="0.3">
      <c r="A1884" s="5" t="s">
        <v>118</v>
      </c>
      <c r="B1884">
        <f>VLOOKUP(A1884,Table1[[Item Purchased]:[Subscription Status]],8,FALSE)</f>
        <v>4.5</v>
      </c>
    </row>
    <row r="1885" spans="1:2" x14ac:dyDescent="0.3">
      <c r="A1885" s="6" t="s">
        <v>131</v>
      </c>
      <c r="B1885">
        <f>VLOOKUP(A1885,Table1[[Item Purchased]:[Subscription Status]],8,FALSE)</f>
        <v>4.7</v>
      </c>
    </row>
    <row r="1886" spans="1:2" x14ac:dyDescent="0.3">
      <c r="A1886" s="5" t="s">
        <v>58</v>
      </c>
      <c r="B1886">
        <f>VLOOKUP(A1886,Table1[[Item Purchased]:[Subscription Status]],8,FALSE)</f>
        <v>3.2</v>
      </c>
    </row>
    <row r="1887" spans="1:2" x14ac:dyDescent="0.3">
      <c r="A1887" s="6" t="s">
        <v>105</v>
      </c>
      <c r="B1887">
        <f>VLOOKUP(A1887,Table1[[Item Purchased]:[Subscription Status]],8,FALSE)</f>
        <v>3.6</v>
      </c>
    </row>
    <row r="1888" spans="1:2" x14ac:dyDescent="0.3">
      <c r="A1888" s="5" t="s">
        <v>142</v>
      </c>
      <c r="B1888">
        <f>VLOOKUP(A1888,Table1[[Item Purchased]:[Subscription Status]],8,FALSE)</f>
        <v>4.5</v>
      </c>
    </row>
    <row r="1889" spans="1:2" x14ac:dyDescent="0.3">
      <c r="A1889" s="6" t="s">
        <v>103</v>
      </c>
      <c r="B1889">
        <f>VLOOKUP(A1889,Table1[[Item Purchased]:[Subscription Status]],8,FALSE)</f>
        <v>3.6</v>
      </c>
    </row>
    <row r="1890" spans="1:2" x14ac:dyDescent="0.3">
      <c r="A1890" s="5" t="s">
        <v>103</v>
      </c>
      <c r="B1890">
        <f>VLOOKUP(A1890,Table1[[Item Purchased]:[Subscription Status]],8,FALSE)</f>
        <v>3.6</v>
      </c>
    </row>
    <row r="1891" spans="1:2" x14ac:dyDescent="0.3">
      <c r="A1891" s="6" t="s">
        <v>86</v>
      </c>
      <c r="B1891">
        <f>VLOOKUP(A1891,Table1[[Item Purchased]:[Subscription Status]],8,FALSE)</f>
        <v>2.8</v>
      </c>
    </row>
    <row r="1892" spans="1:2" x14ac:dyDescent="0.3">
      <c r="A1892" s="5" t="s">
        <v>88</v>
      </c>
      <c r="B1892">
        <f>VLOOKUP(A1892,Table1[[Item Purchased]:[Subscription Status]],8,FALSE)</f>
        <v>4.0999999999999996</v>
      </c>
    </row>
    <row r="1893" spans="1:2" x14ac:dyDescent="0.3">
      <c r="A1893" s="6" t="s">
        <v>105</v>
      </c>
      <c r="B1893">
        <f>VLOOKUP(A1893,Table1[[Item Purchased]:[Subscription Status]],8,FALSE)</f>
        <v>3.6</v>
      </c>
    </row>
    <row r="1894" spans="1:2" x14ac:dyDescent="0.3">
      <c r="A1894" s="5" t="s">
        <v>101</v>
      </c>
      <c r="B1894">
        <f>VLOOKUP(A1894,Table1[[Item Purchased]:[Subscription Status]],8,FALSE)</f>
        <v>2.9</v>
      </c>
    </row>
    <row r="1895" spans="1:2" x14ac:dyDescent="0.3">
      <c r="A1895" s="6" t="s">
        <v>80</v>
      </c>
      <c r="B1895">
        <f>VLOOKUP(A1895,Table1[[Item Purchased]:[Subscription Status]],8,FALSE)</f>
        <v>4.7</v>
      </c>
    </row>
    <row r="1896" spans="1:2" x14ac:dyDescent="0.3">
      <c r="A1896" s="5" t="s">
        <v>103</v>
      </c>
      <c r="B1896">
        <f>VLOOKUP(A1896,Table1[[Item Purchased]:[Subscription Status]],8,FALSE)</f>
        <v>3.6</v>
      </c>
    </row>
    <row r="1897" spans="1:2" x14ac:dyDescent="0.3">
      <c r="A1897" s="6" t="s">
        <v>33</v>
      </c>
      <c r="B1897">
        <f>VLOOKUP(A1897,Table1[[Item Purchased]:[Subscription Status]],8,FALSE)</f>
        <v>3.1</v>
      </c>
    </row>
    <row r="1898" spans="1:2" x14ac:dyDescent="0.3">
      <c r="A1898" s="5" t="s">
        <v>40</v>
      </c>
      <c r="B1898">
        <f>VLOOKUP(A1898,Table1[[Item Purchased]:[Subscription Status]],8,FALSE)</f>
        <v>3.5</v>
      </c>
    </row>
    <row r="1899" spans="1:2" x14ac:dyDescent="0.3">
      <c r="A1899" s="6" t="s">
        <v>88</v>
      </c>
      <c r="B1899">
        <f>VLOOKUP(A1899,Table1[[Item Purchased]:[Subscription Status]],8,FALSE)</f>
        <v>4.0999999999999996</v>
      </c>
    </row>
    <row r="1900" spans="1:2" x14ac:dyDescent="0.3">
      <c r="A1900" s="5" t="s">
        <v>94</v>
      </c>
      <c r="B1900">
        <f>VLOOKUP(A1900,Table1[[Item Purchased]:[Subscription Status]],8,FALSE)</f>
        <v>3.3</v>
      </c>
    </row>
    <row r="1901" spans="1:2" x14ac:dyDescent="0.3">
      <c r="A1901" s="6" t="s">
        <v>58</v>
      </c>
      <c r="B1901">
        <f>VLOOKUP(A1901,Table1[[Item Purchased]:[Subscription Status]],8,FALSE)</f>
        <v>3.2</v>
      </c>
    </row>
    <row r="1902" spans="1:2" x14ac:dyDescent="0.3">
      <c r="A1902" s="5" t="s">
        <v>105</v>
      </c>
      <c r="B1902">
        <f>VLOOKUP(A1902,Table1[[Item Purchased]:[Subscription Status]],8,FALSE)</f>
        <v>3.6</v>
      </c>
    </row>
    <row r="1903" spans="1:2" x14ac:dyDescent="0.3">
      <c r="A1903" s="6" t="s">
        <v>124</v>
      </c>
      <c r="B1903">
        <f>VLOOKUP(A1903,Table1[[Item Purchased]:[Subscription Status]],8,FALSE)</f>
        <v>2.9</v>
      </c>
    </row>
    <row r="1904" spans="1:2" x14ac:dyDescent="0.3">
      <c r="A1904" s="5" t="s">
        <v>40</v>
      </c>
      <c r="B1904">
        <f>VLOOKUP(A1904,Table1[[Item Purchased]:[Subscription Status]],8,FALSE)</f>
        <v>3.5</v>
      </c>
    </row>
    <row r="1905" spans="1:2" x14ac:dyDescent="0.3">
      <c r="A1905" s="6" t="s">
        <v>94</v>
      </c>
      <c r="B1905">
        <f>VLOOKUP(A1905,Table1[[Item Purchased]:[Subscription Status]],8,FALSE)</f>
        <v>3.3</v>
      </c>
    </row>
    <row r="1906" spans="1:2" x14ac:dyDescent="0.3">
      <c r="A1906" s="5" t="s">
        <v>112</v>
      </c>
      <c r="B1906">
        <f>VLOOKUP(A1906,Table1[[Item Purchased]:[Subscription Status]],8,FALSE)</f>
        <v>4.5999999999999996</v>
      </c>
    </row>
    <row r="1907" spans="1:2" x14ac:dyDescent="0.3">
      <c r="A1907" s="6" t="s">
        <v>136</v>
      </c>
      <c r="B1907">
        <f>VLOOKUP(A1907,Table1[[Item Purchased]:[Subscription Status]],8,FALSE)</f>
        <v>4.8</v>
      </c>
    </row>
    <row r="1908" spans="1:2" x14ac:dyDescent="0.3">
      <c r="A1908" s="5" t="s">
        <v>131</v>
      </c>
      <c r="B1908">
        <f>VLOOKUP(A1908,Table1[[Item Purchased]:[Subscription Status]],8,FALSE)</f>
        <v>4.7</v>
      </c>
    </row>
    <row r="1909" spans="1:2" x14ac:dyDescent="0.3">
      <c r="A1909" s="6" t="s">
        <v>86</v>
      </c>
      <c r="B1909">
        <f>VLOOKUP(A1909,Table1[[Item Purchased]:[Subscription Status]],8,FALSE)</f>
        <v>2.8</v>
      </c>
    </row>
    <row r="1910" spans="1:2" x14ac:dyDescent="0.3">
      <c r="A1910" s="5" t="s">
        <v>118</v>
      </c>
      <c r="B1910">
        <f>VLOOKUP(A1910,Table1[[Item Purchased]:[Subscription Status]],8,FALSE)</f>
        <v>4.5</v>
      </c>
    </row>
    <row r="1911" spans="1:2" x14ac:dyDescent="0.3">
      <c r="A1911" s="6" t="s">
        <v>29</v>
      </c>
      <c r="B1911">
        <f>VLOOKUP(A1911,Table1[[Item Purchased]:[Subscription Status]],8,FALSE)</f>
        <v>3.1</v>
      </c>
    </row>
    <row r="1912" spans="1:2" x14ac:dyDescent="0.3">
      <c r="A1912" s="5" t="s">
        <v>40</v>
      </c>
      <c r="B1912">
        <f>VLOOKUP(A1912,Table1[[Item Purchased]:[Subscription Status]],8,FALSE)</f>
        <v>3.5</v>
      </c>
    </row>
    <row r="1913" spans="1:2" x14ac:dyDescent="0.3">
      <c r="A1913" s="6" t="s">
        <v>105</v>
      </c>
      <c r="B1913">
        <f>VLOOKUP(A1913,Table1[[Item Purchased]:[Subscription Status]],8,FALSE)</f>
        <v>3.6</v>
      </c>
    </row>
    <row r="1914" spans="1:2" x14ac:dyDescent="0.3">
      <c r="A1914" s="5" t="s">
        <v>29</v>
      </c>
      <c r="B1914">
        <f>VLOOKUP(A1914,Table1[[Item Purchased]:[Subscription Status]],8,FALSE)</f>
        <v>3.1</v>
      </c>
    </row>
    <row r="1915" spans="1:2" x14ac:dyDescent="0.3">
      <c r="A1915" s="6" t="s">
        <v>86</v>
      </c>
      <c r="B1915">
        <f>VLOOKUP(A1915,Table1[[Item Purchased]:[Subscription Status]],8,FALSE)</f>
        <v>2.8</v>
      </c>
    </row>
    <row r="1916" spans="1:2" x14ac:dyDescent="0.3">
      <c r="A1916" s="5" t="s">
        <v>58</v>
      </c>
      <c r="B1916">
        <f>VLOOKUP(A1916,Table1[[Item Purchased]:[Subscription Status]],8,FALSE)</f>
        <v>3.2</v>
      </c>
    </row>
    <row r="1917" spans="1:2" x14ac:dyDescent="0.3">
      <c r="A1917" s="6" t="s">
        <v>131</v>
      </c>
      <c r="B1917">
        <f>VLOOKUP(A1917,Table1[[Item Purchased]:[Subscription Status]],8,FALSE)</f>
        <v>4.7</v>
      </c>
    </row>
    <row r="1918" spans="1:2" x14ac:dyDescent="0.3">
      <c r="A1918" s="5" t="s">
        <v>103</v>
      </c>
      <c r="B1918">
        <f>VLOOKUP(A1918,Table1[[Item Purchased]:[Subscription Status]],8,FALSE)</f>
        <v>3.6</v>
      </c>
    </row>
    <row r="1919" spans="1:2" x14ac:dyDescent="0.3">
      <c r="A1919" s="6" t="s">
        <v>86</v>
      </c>
      <c r="B1919">
        <f>VLOOKUP(A1919,Table1[[Item Purchased]:[Subscription Status]],8,FALSE)</f>
        <v>2.8</v>
      </c>
    </row>
    <row r="1920" spans="1:2" x14ac:dyDescent="0.3">
      <c r="A1920" s="5" t="s">
        <v>86</v>
      </c>
      <c r="B1920">
        <f>VLOOKUP(A1920,Table1[[Item Purchased]:[Subscription Status]],8,FALSE)</f>
        <v>2.8</v>
      </c>
    </row>
    <row r="1921" spans="1:2" x14ac:dyDescent="0.3">
      <c r="A1921" s="6" t="s">
        <v>131</v>
      </c>
      <c r="B1921">
        <f>VLOOKUP(A1921,Table1[[Item Purchased]:[Subscription Status]],8,FALSE)</f>
        <v>4.7</v>
      </c>
    </row>
    <row r="1922" spans="1:2" x14ac:dyDescent="0.3">
      <c r="A1922" s="5" t="s">
        <v>19</v>
      </c>
      <c r="B1922">
        <f>VLOOKUP(A1922,Table1[[Item Purchased]:[Subscription Status]],8,FALSE)</f>
        <v>3.1</v>
      </c>
    </row>
    <row r="1923" spans="1:2" x14ac:dyDescent="0.3">
      <c r="A1923" s="6" t="s">
        <v>54</v>
      </c>
      <c r="B1923">
        <f>VLOOKUP(A1923,Table1[[Item Purchased]:[Subscription Status]],8,FALSE)</f>
        <v>3.2</v>
      </c>
    </row>
    <row r="1924" spans="1:2" x14ac:dyDescent="0.3">
      <c r="A1924" s="5" t="s">
        <v>142</v>
      </c>
      <c r="B1924">
        <f>VLOOKUP(A1924,Table1[[Item Purchased]:[Subscription Status]],8,FALSE)</f>
        <v>4.5</v>
      </c>
    </row>
    <row r="1925" spans="1:2" x14ac:dyDescent="0.3">
      <c r="A1925" s="6" t="s">
        <v>40</v>
      </c>
      <c r="B1925">
        <f>VLOOKUP(A1925,Table1[[Item Purchased]:[Subscription Status]],8,FALSE)</f>
        <v>3.5</v>
      </c>
    </row>
    <row r="1926" spans="1:2" x14ac:dyDescent="0.3">
      <c r="A1926" s="5" t="s">
        <v>101</v>
      </c>
      <c r="B1926">
        <f>VLOOKUP(A1926,Table1[[Item Purchased]:[Subscription Status]],8,FALSE)</f>
        <v>2.9</v>
      </c>
    </row>
    <row r="1927" spans="1:2" x14ac:dyDescent="0.3">
      <c r="A1927" s="6" t="s">
        <v>49</v>
      </c>
      <c r="B1927">
        <f>VLOOKUP(A1927,Table1[[Item Purchased]:[Subscription Status]],8,FALSE)</f>
        <v>2.9</v>
      </c>
    </row>
    <row r="1928" spans="1:2" x14ac:dyDescent="0.3">
      <c r="A1928" s="5" t="s">
        <v>131</v>
      </c>
      <c r="B1928">
        <f>VLOOKUP(A1928,Table1[[Item Purchased]:[Subscription Status]],8,FALSE)</f>
        <v>4.7</v>
      </c>
    </row>
    <row r="1929" spans="1:2" x14ac:dyDescent="0.3">
      <c r="A1929" s="6" t="s">
        <v>94</v>
      </c>
      <c r="B1929">
        <f>VLOOKUP(A1929,Table1[[Item Purchased]:[Subscription Status]],8,FALSE)</f>
        <v>3.3</v>
      </c>
    </row>
    <row r="1930" spans="1:2" x14ac:dyDescent="0.3">
      <c r="A1930" s="5" t="s">
        <v>88</v>
      </c>
      <c r="B1930">
        <f>VLOOKUP(A1930,Table1[[Item Purchased]:[Subscription Status]],8,FALSE)</f>
        <v>4.0999999999999996</v>
      </c>
    </row>
    <row r="1931" spans="1:2" x14ac:dyDescent="0.3">
      <c r="A1931" s="6" t="s">
        <v>33</v>
      </c>
      <c r="B1931">
        <f>VLOOKUP(A1931,Table1[[Item Purchased]:[Subscription Status]],8,FALSE)</f>
        <v>3.1</v>
      </c>
    </row>
    <row r="1932" spans="1:2" x14ac:dyDescent="0.3">
      <c r="A1932" s="5" t="s">
        <v>94</v>
      </c>
      <c r="B1932">
        <f>VLOOKUP(A1932,Table1[[Item Purchased]:[Subscription Status]],8,FALSE)</f>
        <v>3.3</v>
      </c>
    </row>
    <row r="1933" spans="1:2" x14ac:dyDescent="0.3">
      <c r="A1933" s="6" t="s">
        <v>105</v>
      </c>
      <c r="B1933">
        <f>VLOOKUP(A1933,Table1[[Item Purchased]:[Subscription Status]],8,FALSE)</f>
        <v>3.6</v>
      </c>
    </row>
    <row r="1934" spans="1:2" x14ac:dyDescent="0.3">
      <c r="A1934" s="5" t="s">
        <v>103</v>
      </c>
      <c r="B1934">
        <f>VLOOKUP(A1934,Table1[[Item Purchased]:[Subscription Status]],8,FALSE)</f>
        <v>3.6</v>
      </c>
    </row>
    <row r="1935" spans="1:2" x14ac:dyDescent="0.3">
      <c r="A1935" s="6" t="s">
        <v>40</v>
      </c>
      <c r="B1935">
        <f>VLOOKUP(A1935,Table1[[Item Purchased]:[Subscription Status]],8,FALSE)</f>
        <v>3.5</v>
      </c>
    </row>
    <row r="1936" spans="1:2" x14ac:dyDescent="0.3">
      <c r="A1936" s="5" t="s">
        <v>101</v>
      </c>
      <c r="B1936">
        <f>VLOOKUP(A1936,Table1[[Item Purchased]:[Subscription Status]],8,FALSE)</f>
        <v>2.9</v>
      </c>
    </row>
    <row r="1937" spans="1:2" x14ac:dyDescent="0.3">
      <c r="A1937" s="6" t="s">
        <v>19</v>
      </c>
      <c r="B1937">
        <f>VLOOKUP(A1937,Table1[[Item Purchased]:[Subscription Status]],8,FALSE)</f>
        <v>3.1</v>
      </c>
    </row>
    <row r="1938" spans="1:2" x14ac:dyDescent="0.3">
      <c r="A1938" s="5" t="s">
        <v>105</v>
      </c>
      <c r="B1938">
        <f>VLOOKUP(A1938,Table1[[Item Purchased]:[Subscription Status]],8,FALSE)</f>
        <v>3.6</v>
      </c>
    </row>
    <row r="1939" spans="1:2" x14ac:dyDescent="0.3">
      <c r="A1939" s="6" t="s">
        <v>124</v>
      </c>
      <c r="B1939">
        <f>VLOOKUP(A1939,Table1[[Item Purchased]:[Subscription Status]],8,FALSE)</f>
        <v>2.9</v>
      </c>
    </row>
    <row r="1940" spans="1:2" x14ac:dyDescent="0.3">
      <c r="A1940" s="5" t="s">
        <v>33</v>
      </c>
      <c r="B1940">
        <f>VLOOKUP(A1940,Table1[[Item Purchased]:[Subscription Status]],8,FALSE)</f>
        <v>3.1</v>
      </c>
    </row>
    <row r="1941" spans="1:2" x14ac:dyDescent="0.3">
      <c r="A1941" s="6" t="s">
        <v>142</v>
      </c>
      <c r="B1941">
        <f>VLOOKUP(A1941,Table1[[Item Purchased]:[Subscription Status]],8,FALSE)</f>
        <v>4.5</v>
      </c>
    </row>
    <row r="1942" spans="1:2" x14ac:dyDescent="0.3">
      <c r="A1942" s="5" t="s">
        <v>123</v>
      </c>
      <c r="B1942">
        <f>VLOOKUP(A1942,Table1[[Item Purchased]:[Subscription Status]],8,FALSE)</f>
        <v>4.5999999999999996</v>
      </c>
    </row>
    <row r="1943" spans="1:2" x14ac:dyDescent="0.3">
      <c r="A1943" s="6" t="s">
        <v>70</v>
      </c>
      <c r="B1943">
        <f>VLOOKUP(A1943,Table1[[Item Purchased]:[Subscription Status]],8,FALSE)</f>
        <v>4.0999999999999996</v>
      </c>
    </row>
    <row r="1944" spans="1:2" x14ac:dyDescent="0.3">
      <c r="A1944" s="5" t="s">
        <v>94</v>
      </c>
      <c r="B1944">
        <f>VLOOKUP(A1944,Table1[[Item Purchased]:[Subscription Status]],8,FALSE)</f>
        <v>3.3</v>
      </c>
    </row>
    <row r="1945" spans="1:2" x14ac:dyDescent="0.3">
      <c r="A1945" s="6" t="s">
        <v>124</v>
      </c>
      <c r="B1945">
        <f>VLOOKUP(A1945,Table1[[Item Purchased]:[Subscription Status]],8,FALSE)</f>
        <v>2.9</v>
      </c>
    </row>
    <row r="1946" spans="1:2" x14ac:dyDescent="0.3">
      <c r="A1946" s="5" t="s">
        <v>103</v>
      </c>
      <c r="B1946">
        <f>VLOOKUP(A1946,Table1[[Item Purchased]:[Subscription Status]],8,FALSE)</f>
        <v>3.6</v>
      </c>
    </row>
    <row r="1947" spans="1:2" x14ac:dyDescent="0.3">
      <c r="A1947" s="6" t="s">
        <v>103</v>
      </c>
      <c r="B1947">
        <f>VLOOKUP(A1947,Table1[[Item Purchased]:[Subscription Status]],8,FALSE)</f>
        <v>3.6</v>
      </c>
    </row>
    <row r="1948" spans="1:2" x14ac:dyDescent="0.3">
      <c r="A1948" s="5" t="s">
        <v>94</v>
      </c>
      <c r="B1948">
        <f>VLOOKUP(A1948,Table1[[Item Purchased]:[Subscription Status]],8,FALSE)</f>
        <v>3.3</v>
      </c>
    </row>
    <row r="1949" spans="1:2" x14ac:dyDescent="0.3">
      <c r="A1949" s="6" t="s">
        <v>54</v>
      </c>
      <c r="B1949">
        <f>VLOOKUP(A1949,Table1[[Item Purchased]:[Subscription Status]],8,FALSE)</f>
        <v>3.2</v>
      </c>
    </row>
    <row r="1950" spans="1:2" x14ac:dyDescent="0.3">
      <c r="A1950" s="5" t="s">
        <v>112</v>
      </c>
      <c r="B1950">
        <f>VLOOKUP(A1950,Table1[[Item Purchased]:[Subscription Status]],8,FALSE)</f>
        <v>4.5999999999999996</v>
      </c>
    </row>
    <row r="1951" spans="1:2" x14ac:dyDescent="0.3">
      <c r="A1951" s="6" t="s">
        <v>80</v>
      </c>
      <c r="B1951">
        <f>VLOOKUP(A1951,Table1[[Item Purchased]:[Subscription Status]],8,FALSE)</f>
        <v>4.7</v>
      </c>
    </row>
    <row r="1952" spans="1:2" x14ac:dyDescent="0.3">
      <c r="A1952" s="5" t="s">
        <v>131</v>
      </c>
      <c r="B1952">
        <f>VLOOKUP(A1952,Table1[[Item Purchased]:[Subscription Status]],8,FALSE)</f>
        <v>4.7</v>
      </c>
    </row>
    <row r="1953" spans="1:2" x14ac:dyDescent="0.3">
      <c r="A1953" s="6" t="s">
        <v>142</v>
      </c>
      <c r="B1953">
        <f>VLOOKUP(A1953,Table1[[Item Purchased]:[Subscription Status]],8,FALSE)</f>
        <v>4.5</v>
      </c>
    </row>
    <row r="1954" spans="1:2" x14ac:dyDescent="0.3">
      <c r="A1954" s="5" t="s">
        <v>70</v>
      </c>
      <c r="B1954">
        <f>VLOOKUP(A1954,Table1[[Item Purchased]:[Subscription Status]],8,FALSE)</f>
        <v>4.0999999999999996</v>
      </c>
    </row>
    <row r="1955" spans="1:2" x14ac:dyDescent="0.3">
      <c r="A1955" s="6" t="s">
        <v>86</v>
      </c>
      <c r="B1955">
        <f>VLOOKUP(A1955,Table1[[Item Purchased]:[Subscription Status]],8,FALSE)</f>
        <v>2.8</v>
      </c>
    </row>
    <row r="1956" spans="1:2" x14ac:dyDescent="0.3">
      <c r="A1956" s="5" t="s">
        <v>142</v>
      </c>
      <c r="B1956">
        <f>VLOOKUP(A1956,Table1[[Item Purchased]:[Subscription Status]],8,FALSE)</f>
        <v>4.5</v>
      </c>
    </row>
    <row r="1957" spans="1:2" x14ac:dyDescent="0.3">
      <c r="A1957" s="6" t="s">
        <v>103</v>
      </c>
      <c r="B1957">
        <f>VLOOKUP(A1957,Table1[[Item Purchased]:[Subscription Status]],8,FALSE)</f>
        <v>3.6</v>
      </c>
    </row>
    <row r="1958" spans="1:2" x14ac:dyDescent="0.3">
      <c r="A1958" s="5" t="s">
        <v>124</v>
      </c>
      <c r="B1958">
        <f>VLOOKUP(A1958,Table1[[Item Purchased]:[Subscription Status]],8,FALSE)</f>
        <v>2.9</v>
      </c>
    </row>
    <row r="1959" spans="1:2" x14ac:dyDescent="0.3">
      <c r="A1959" s="6" t="s">
        <v>142</v>
      </c>
      <c r="B1959">
        <f>VLOOKUP(A1959,Table1[[Item Purchased]:[Subscription Status]],8,FALSE)</f>
        <v>4.5</v>
      </c>
    </row>
    <row r="1960" spans="1:2" x14ac:dyDescent="0.3">
      <c r="A1960" s="5" t="s">
        <v>58</v>
      </c>
      <c r="B1960">
        <f>VLOOKUP(A1960,Table1[[Item Purchased]:[Subscription Status]],8,FALSE)</f>
        <v>3.2</v>
      </c>
    </row>
    <row r="1961" spans="1:2" x14ac:dyDescent="0.3">
      <c r="A1961" s="6" t="s">
        <v>70</v>
      </c>
      <c r="B1961">
        <f>VLOOKUP(A1961,Table1[[Item Purchased]:[Subscription Status]],8,FALSE)</f>
        <v>4.0999999999999996</v>
      </c>
    </row>
    <row r="1962" spans="1:2" x14ac:dyDescent="0.3">
      <c r="A1962" s="5" t="s">
        <v>33</v>
      </c>
      <c r="B1962">
        <f>VLOOKUP(A1962,Table1[[Item Purchased]:[Subscription Status]],8,FALSE)</f>
        <v>3.1</v>
      </c>
    </row>
    <row r="1963" spans="1:2" x14ac:dyDescent="0.3">
      <c r="A1963" s="6" t="s">
        <v>136</v>
      </c>
      <c r="B1963">
        <f>VLOOKUP(A1963,Table1[[Item Purchased]:[Subscription Status]],8,FALSE)</f>
        <v>4.8</v>
      </c>
    </row>
    <row r="1964" spans="1:2" x14ac:dyDescent="0.3">
      <c r="A1964" s="5" t="s">
        <v>123</v>
      </c>
      <c r="B1964">
        <f>VLOOKUP(A1964,Table1[[Item Purchased]:[Subscription Status]],8,FALSE)</f>
        <v>4.5999999999999996</v>
      </c>
    </row>
    <row r="1965" spans="1:2" x14ac:dyDescent="0.3">
      <c r="A1965" s="6" t="s">
        <v>58</v>
      </c>
      <c r="B1965">
        <f>VLOOKUP(A1965,Table1[[Item Purchased]:[Subscription Status]],8,FALSE)</f>
        <v>3.2</v>
      </c>
    </row>
    <row r="1966" spans="1:2" x14ac:dyDescent="0.3">
      <c r="A1966" s="5" t="s">
        <v>94</v>
      </c>
      <c r="B1966">
        <f>VLOOKUP(A1966,Table1[[Item Purchased]:[Subscription Status]],8,FALSE)</f>
        <v>3.3</v>
      </c>
    </row>
    <row r="1967" spans="1:2" x14ac:dyDescent="0.3">
      <c r="A1967" s="6" t="s">
        <v>29</v>
      </c>
      <c r="B1967">
        <f>VLOOKUP(A1967,Table1[[Item Purchased]:[Subscription Status]],8,FALSE)</f>
        <v>3.1</v>
      </c>
    </row>
    <row r="1968" spans="1:2" x14ac:dyDescent="0.3">
      <c r="A1968" s="5" t="s">
        <v>101</v>
      </c>
      <c r="B1968">
        <f>VLOOKUP(A1968,Table1[[Item Purchased]:[Subscription Status]],8,FALSE)</f>
        <v>2.9</v>
      </c>
    </row>
    <row r="1969" spans="1:2" x14ac:dyDescent="0.3">
      <c r="A1969" s="6" t="s">
        <v>80</v>
      </c>
      <c r="B1969">
        <f>VLOOKUP(A1969,Table1[[Item Purchased]:[Subscription Status]],8,FALSE)</f>
        <v>4.7</v>
      </c>
    </row>
    <row r="1970" spans="1:2" x14ac:dyDescent="0.3">
      <c r="A1970" s="5" t="s">
        <v>54</v>
      </c>
      <c r="B1970">
        <f>VLOOKUP(A1970,Table1[[Item Purchased]:[Subscription Status]],8,FALSE)</f>
        <v>3.2</v>
      </c>
    </row>
    <row r="1971" spans="1:2" x14ac:dyDescent="0.3">
      <c r="A1971" s="6" t="s">
        <v>80</v>
      </c>
      <c r="B1971">
        <f>VLOOKUP(A1971,Table1[[Item Purchased]:[Subscription Status]],8,FALSE)</f>
        <v>4.7</v>
      </c>
    </row>
    <row r="1972" spans="1:2" x14ac:dyDescent="0.3">
      <c r="A1972" s="5" t="s">
        <v>132</v>
      </c>
      <c r="B1972">
        <f>VLOOKUP(A1972,Table1[[Item Purchased]:[Subscription Status]],8,FALSE)</f>
        <v>4.5999999999999996</v>
      </c>
    </row>
    <row r="1973" spans="1:2" x14ac:dyDescent="0.3">
      <c r="A1973" s="6" t="s">
        <v>123</v>
      </c>
      <c r="B1973">
        <f>VLOOKUP(A1973,Table1[[Item Purchased]:[Subscription Status]],8,FALSE)</f>
        <v>4.5999999999999996</v>
      </c>
    </row>
    <row r="1974" spans="1:2" x14ac:dyDescent="0.3">
      <c r="A1974" s="5" t="s">
        <v>131</v>
      </c>
      <c r="B1974">
        <f>VLOOKUP(A1974,Table1[[Item Purchased]:[Subscription Status]],8,FALSE)</f>
        <v>4.7</v>
      </c>
    </row>
    <row r="1975" spans="1:2" x14ac:dyDescent="0.3">
      <c r="A1975" s="6" t="s">
        <v>86</v>
      </c>
      <c r="B1975">
        <f>VLOOKUP(A1975,Table1[[Item Purchased]:[Subscription Status]],8,FALSE)</f>
        <v>2.8</v>
      </c>
    </row>
    <row r="1976" spans="1:2" x14ac:dyDescent="0.3">
      <c r="A1976" s="5" t="s">
        <v>142</v>
      </c>
      <c r="B1976">
        <f>VLOOKUP(A1976,Table1[[Item Purchased]:[Subscription Status]],8,FALSE)</f>
        <v>4.5</v>
      </c>
    </row>
    <row r="1977" spans="1:2" x14ac:dyDescent="0.3">
      <c r="A1977" s="6" t="s">
        <v>101</v>
      </c>
      <c r="B1977">
        <f>VLOOKUP(A1977,Table1[[Item Purchased]:[Subscription Status]],8,FALSE)</f>
        <v>2.9</v>
      </c>
    </row>
    <row r="1978" spans="1:2" x14ac:dyDescent="0.3">
      <c r="A1978" s="5" t="s">
        <v>65</v>
      </c>
      <c r="B1978">
        <f>VLOOKUP(A1978,Table1[[Item Purchased]:[Subscription Status]],8,FALSE)</f>
        <v>4.8</v>
      </c>
    </row>
    <row r="1979" spans="1:2" x14ac:dyDescent="0.3">
      <c r="A1979" s="6" t="s">
        <v>40</v>
      </c>
      <c r="B1979">
        <f>VLOOKUP(A1979,Table1[[Item Purchased]:[Subscription Status]],8,FALSE)</f>
        <v>3.5</v>
      </c>
    </row>
    <row r="1980" spans="1:2" x14ac:dyDescent="0.3">
      <c r="A1980" s="5" t="s">
        <v>88</v>
      </c>
      <c r="B1980">
        <f>VLOOKUP(A1980,Table1[[Item Purchased]:[Subscription Status]],8,FALSE)</f>
        <v>4.0999999999999996</v>
      </c>
    </row>
    <row r="1981" spans="1:2" x14ac:dyDescent="0.3">
      <c r="A1981" s="6" t="s">
        <v>33</v>
      </c>
      <c r="B1981">
        <f>VLOOKUP(A1981,Table1[[Item Purchased]:[Subscription Status]],8,FALSE)</f>
        <v>3.1</v>
      </c>
    </row>
    <row r="1982" spans="1:2" x14ac:dyDescent="0.3">
      <c r="A1982" s="5" t="s">
        <v>40</v>
      </c>
      <c r="B1982">
        <f>VLOOKUP(A1982,Table1[[Item Purchased]:[Subscription Status]],8,FALSE)</f>
        <v>3.5</v>
      </c>
    </row>
    <row r="1983" spans="1:2" x14ac:dyDescent="0.3">
      <c r="A1983" s="6" t="s">
        <v>70</v>
      </c>
      <c r="B1983">
        <f>VLOOKUP(A1983,Table1[[Item Purchased]:[Subscription Status]],8,FALSE)</f>
        <v>4.0999999999999996</v>
      </c>
    </row>
    <row r="1984" spans="1:2" x14ac:dyDescent="0.3">
      <c r="A1984" s="5" t="s">
        <v>88</v>
      </c>
      <c r="B1984">
        <f>VLOOKUP(A1984,Table1[[Item Purchased]:[Subscription Status]],8,FALSE)</f>
        <v>4.0999999999999996</v>
      </c>
    </row>
    <row r="1985" spans="1:2" x14ac:dyDescent="0.3">
      <c r="A1985" s="6" t="s">
        <v>118</v>
      </c>
      <c r="B1985">
        <f>VLOOKUP(A1985,Table1[[Item Purchased]:[Subscription Status]],8,FALSE)</f>
        <v>4.5</v>
      </c>
    </row>
    <row r="1986" spans="1:2" x14ac:dyDescent="0.3">
      <c r="A1986" s="5" t="s">
        <v>86</v>
      </c>
      <c r="B1986">
        <f>VLOOKUP(A1986,Table1[[Item Purchased]:[Subscription Status]],8,FALSE)</f>
        <v>2.8</v>
      </c>
    </row>
    <row r="1987" spans="1:2" x14ac:dyDescent="0.3">
      <c r="A1987" s="6" t="s">
        <v>142</v>
      </c>
      <c r="B1987">
        <f>VLOOKUP(A1987,Table1[[Item Purchased]:[Subscription Status]],8,FALSE)</f>
        <v>4.5</v>
      </c>
    </row>
    <row r="1988" spans="1:2" x14ac:dyDescent="0.3">
      <c r="A1988" s="5" t="s">
        <v>61</v>
      </c>
      <c r="B1988">
        <f>VLOOKUP(A1988,Table1[[Item Purchased]:[Subscription Status]],8,FALSE)</f>
        <v>2.6</v>
      </c>
    </row>
    <row r="1989" spans="1:2" x14ac:dyDescent="0.3">
      <c r="A1989" s="6" t="s">
        <v>132</v>
      </c>
      <c r="B1989">
        <f>VLOOKUP(A1989,Table1[[Item Purchased]:[Subscription Status]],8,FALSE)</f>
        <v>4.5999999999999996</v>
      </c>
    </row>
    <row r="1990" spans="1:2" x14ac:dyDescent="0.3">
      <c r="A1990" s="5" t="s">
        <v>94</v>
      </c>
      <c r="B1990">
        <f>VLOOKUP(A1990,Table1[[Item Purchased]:[Subscription Status]],8,FALSE)</f>
        <v>3.3</v>
      </c>
    </row>
    <row r="1991" spans="1:2" x14ac:dyDescent="0.3">
      <c r="A1991" s="6" t="s">
        <v>105</v>
      </c>
      <c r="B1991">
        <f>VLOOKUP(A1991,Table1[[Item Purchased]:[Subscription Status]],8,FALSE)</f>
        <v>3.6</v>
      </c>
    </row>
    <row r="1992" spans="1:2" x14ac:dyDescent="0.3">
      <c r="A1992" s="5" t="s">
        <v>131</v>
      </c>
      <c r="B1992">
        <f>VLOOKUP(A1992,Table1[[Item Purchased]:[Subscription Status]],8,FALSE)</f>
        <v>4.7</v>
      </c>
    </row>
    <row r="1993" spans="1:2" x14ac:dyDescent="0.3">
      <c r="A1993" s="6" t="s">
        <v>49</v>
      </c>
      <c r="B1993">
        <f>VLOOKUP(A1993,Table1[[Item Purchased]:[Subscription Status]],8,FALSE)</f>
        <v>2.9</v>
      </c>
    </row>
    <row r="1994" spans="1:2" x14ac:dyDescent="0.3">
      <c r="A1994" s="5" t="s">
        <v>103</v>
      </c>
      <c r="B1994">
        <f>VLOOKUP(A1994,Table1[[Item Purchased]:[Subscription Status]],8,FALSE)</f>
        <v>3.6</v>
      </c>
    </row>
    <row r="1995" spans="1:2" x14ac:dyDescent="0.3">
      <c r="A1995" s="6" t="s">
        <v>19</v>
      </c>
      <c r="B1995">
        <f>VLOOKUP(A1995,Table1[[Item Purchased]:[Subscription Status]],8,FALSE)</f>
        <v>3.1</v>
      </c>
    </row>
    <row r="1996" spans="1:2" x14ac:dyDescent="0.3">
      <c r="A1996" s="5" t="s">
        <v>88</v>
      </c>
      <c r="B1996">
        <f>VLOOKUP(A1996,Table1[[Item Purchased]:[Subscription Status]],8,FALSE)</f>
        <v>4.0999999999999996</v>
      </c>
    </row>
    <row r="1997" spans="1:2" x14ac:dyDescent="0.3">
      <c r="A1997" s="6" t="s">
        <v>136</v>
      </c>
      <c r="B1997">
        <f>VLOOKUP(A1997,Table1[[Item Purchased]:[Subscription Status]],8,FALSE)</f>
        <v>4.8</v>
      </c>
    </row>
    <row r="1998" spans="1:2" x14ac:dyDescent="0.3">
      <c r="A1998" s="5" t="s">
        <v>49</v>
      </c>
      <c r="B1998">
        <f>VLOOKUP(A1998,Table1[[Item Purchased]:[Subscription Status]],8,FALSE)</f>
        <v>2.9</v>
      </c>
    </row>
    <row r="1999" spans="1:2" x14ac:dyDescent="0.3">
      <c r="A1999" s="6" t="s">
        <v>131</v>
      </c>
      <c r="B1999">
        <f>VLOOKUP(A1999,Table1[[Item Purchased]:[Subscription Status]],8,FALSE)</f>
        <v>4.7</v>
      </c>
    </row>
    <row r="2000" spans="1:2" x14ac:dyDescent="0.3">
      <c r="A2000" s="5" t="s">
        <v>94</v>
      </c>
      <c r="B2000">
        <f>VLOOKUP(A2000,Table1[[Item Purchased]:[Subscription Status]],8,FALSE)</f>
        <v>3.3</v>
      </c>
    </row>
    <row r="2001" spans="1:2" x14ac:dyDescent="0.3">
      <c r="A2001" s="6" t="s">
        <v>124</v>
      </c>
      <c r="B2001">
        <f>VLOOKUP(A2001,Table1[[Item Purchased]:[Subscription Status]],8,FALSE)</f>
        <v>2.9</v>
      </c>
    </row>
    <row r="2002" spans="1:2" x14ac:dyDescent="0.3">
      <c r="A2002" s="5" t="s">
        <v>132</v>
      </c>
      <c r="B2002">
        <f>VLOOKUP(A2002,Table1[[Item Purchased]:[Subscription Status]],8,FALSE)</f>
        <v>4.5999999999999996</v>
      </c>
    </row>
    <row r="2003" spans="1:2" x14ac:dyDescent="0.3">
      <c r="A2003" s="6" t="s">
        <v>88</v>
      </c>
      <c r="B2003">
        <f>VLOOKUP(A2003,Table1[[Item Purchased]:[Subscription Status]],8,FALSE)</f>
        <v>4.0999999999999996</v>
      </c>
    </row>
    <row r="2004" spans="1:2" x14ac:dyDescent="0.3">
      <c r="A2004" s="5" t="s">
        <v>54</v>
      </c>
      <c r="B2004">
        <f>VLOOKUP(A2004,Table1[[Item Purchased]:[Subscription Status]],8,FALSE)</f>
        <v>3.2</v>
      </c>
    </row>
    <row r="2005" spans="1:2" x14ac:dyDescent="0.3">
      <c r="A2005" s="6" t="s">
        <v>49</v>
      </c>
      <c r="B2005">
        <f>VLOOKUP(A2005,Table1[[Item Purchased]:[Subscription Status]],8,FALSE)</f>
        <v>2.9</v>
      </c>
    </row>
    <row r="2006" spans="1:2" x14ac:dyDescent="0.3">
      <c r="A2006" s="5" t="s">
        <v>70</v>
      </c>
      <c r="B2006">
        <f>VLOOKUP(A2006,Table1[[Item Purchased]:[Subscription Status]],8,FALSE)</f>
        <v>4.0999999999999996</v>
      </c>
    </row>
    <row r="2007" spans="1:2" x14ac:dyDescent="0.3">
      <c r="A2007" s="6" t="s">
        <v>40</v>
      </c>
      <c r="B2007">
        <f>VLOOKUP(A2007,Table1[[Item Purchased]:[Subscription Status]],8,FALSE)</f>
        <v>3.5</v>
      </c>
    </row>
    <row r="2008" spans="1:2" x14ac:dyDescent="0.3">
      <c r="A2008" s="5" t="s">
        <v>118</v>
      </c>
      <c r="B2008">
        <f>VLOOKUP(A2008,Table1[[Item Purchased]:[Subscription Status]],8,FALSE)</f>
        <v>4.5</v>
      </c>
    </row>
    <row r="2009" spans="1:2" x14ac:dyDescent="0.3">
      <c r="A2009" s="6" t="s">
        <v>54</v>
      </c>
      <c r="B2009">
        <f>VLOOKUP(A2009,Table1[[Item Purchased]:[Subscription Status]],8,FALSE)</f>
        <v>3.2</v>
      </c>
    </row>
    <row r="2010" spans="1:2" x14ac:dyDescent="0.3">
      <c r="A2010" s="5" t="s">
        <v>86</v>
      </c>
      <c r="B2010">
        <f>VLOOKUP(A2010,Table1[[Item Purchased]:[Subscription Status]],8,FALSE)</f>
        <v>2.8</v>
      </c>
    </row>
    <row r="2011" spans="1:2" x14ac:dyDescent="0.3">
      <c r="A2011" s="6" t="s">
        <v>136</v>
      </c>
      <c r="B2011">
        <f>VLOOKUP(A2011,Table1[[Item Purchased]:[Subscription Status]],8,FALSE)</f>
        <v>4.8</v>
      </c>
    </row>
    <row r="2012" spans="1:2" x14ac:dyDescent="0.3">
      <c r="A2012" s="5" t="s">
        <v>29</v>
      </c>
      <c r="B2012">
        <f>VLOOKUP(A2012,Table1[[Item Purchased]:[Subscription Status]],8,FALSE)</f>
        <v>3.1</v>
      </c>
    </row>
    <row r="2013" spans="1:2" x14ac:dyDescent="0.3">
      <c r="A2013" s="6" t="s">
        <v>40</v>
      </c>
      <c r="B2013">
        <f>VLOOKUP(A2013,Table1[[Item Purchased]:[Subscription Status]],8,FALSE)</f>
        <v>3.5</v>
      </c>
    </row>
    <row r="2014" spans="1:2" x14ac:dyDescent="0.3">
      <c r="A2014" s="5" t="s">
        <v>33</v>
      </c>
      <c r="B2014">
        <f>VLOOKUP(A2014,Table1[[Item Purchased]:[Subscription Status]],8,FALSE)</f>
        <v>3.1</v>
      </c>
    </row>
    <row r="2015" spans="1:2" x14ac:dyDescent="0.3">
      <c r="A2015" s="6" t="s">
        <v>131</v>
      </c>
      <c r="B2015">
        <f>VLOOKUP(A2015,Table1[[Item Purchased]:[Subscription Status]],8,FALSE)</f>
        <v>4.7</v>
      </c>
    </row>
    <row r="2016" spans="1:2" x14ac:dyDescent="0.3">
      <c r="A2016" s="5" t="s">
        <v>86</v>
      </c>
      <c r="B2016">
        <f>VLOOKUP(A2016,Table1[[Item Purchased]:[Subscription Status]],8,FALSE)</f>
        <v>2.8</v>
      </c>
    </row>
    <row r="2017" spans="1:2" x14ac:dyDescent="0.3">
      <c r="A2017" s="6" t="s">
        <v>132</v>
      </c>
      <c r="B2017">
        <f>VLOOKUP(A2017,Table1[[Item Purchased]:[Subscription Status]],8,FALSE)</f>
        <v>4.5999999999999996</v>
      </c>
    </row>
    <row r="2018" spans="1:2" x14ac:dyDescent="0.3">
      <c r="A2018" s="5" t="s">
        <v>70</v>
      </c>
      <c r="B2018">
        <f>VLOOKUP(A2018,Table1[[Item Purchased]:[Subscription Status]],8,FALSE)</f>
        <v>4.0999999999999996</v>
      </c>
    </row>
    <row r="2019" spans="1:2" x14ac:dyDescent="0.3">
      <c r="A2019" s="6" t="s">
        <v>124</v>
      </c>
      <c r="B2019">
        <f>VLOOKUP(A2019,Table1[[Item Purchased]:[Subscription Status]],8,FALSE)</f>
        <v>2.9</v>
      </c>
    </row>
    <row r="2020" spans="1:2" x14ac:dyDescent="0.3">
      <c r="A2020" s="5" t="s">
        <v>131</v>
      </c>
      <c r="B2020">
        <f>VLOOKUP(A2020,Table1[[Item Purchased]:[Subscription Status]],8,FALSE)</f>
        <v>4.7</v>
      </c>
    </row>
    <row r="2021" spans="1:2" x14ac:dyDescent="0.3">
      <c r="A2021" s="6" t="s">
        <v>54</v>
      </c>
      <c r="B2021">
        <f>VLOOKUP(A2021,Table1[[Item Purchased]:[Subscription Status]],8,FALSE)</f>
        <v>3.2</v>
      </c>
    </row>
    <row r="2022" spans="1:2" x14ac:dyDescent="0.3">
      <c r="A2022" s="5" t="s">
        <v>29</v>
      </c>
      <c r="B2022">
        <f>VLOOKUP(A2022,Table1[[Item Purchased]:[Subscription Status]],8,FALSE)</f>
        <v>3.1</v>
      </c>
    </row>
    <row r="2023" spans="1:2" x14ac:dyDescent="0.3">
      <c r="A2023" s="6" t="s">
        <v>65</v>
      </c>
      <c r="B2023">
        <f>VLOOKUP(A2023,Table1[[Item Purchased]:[Subscription Status]],8,FALSE)</f>
        <v>4.8</v>
      </c>
    </row>
    <row r="2024" spans="1:2" x14ac:dyDescent="0.3">
      <c r="A2024" s="5" t="s">
        <v>105</v>
      </c>
      <c r="B2024">
        <f>VLOOKUP(A2024,Table1[[Item Purchased]:[Subscription Status]],8,FALSE)</f>
        <v>3.6</v>
      </c>
    </row>
    <row r="2025" spans="1:2" x14ac:dyDescent="0.3">
      <c r="A2025" s="6" t="s">
        <v>124</v>
      </c>
      <c r="B2025">
        <f>VLOOKUP(A2025,Table1[[Item Purchased]:[Subscription Status]],8,FALSE)</f>
        <v>2.9</v>
      </c>
    </row>
    <row r="2026" spans="1:2" x14ac:dyDescent="0.3">
      <c r="A2026" s="5" t="s">
        <v>124</v>
      </c>
      <c r="B2026">
        <f>VLOOKUP(A2026,Table1[[Item Purchased]:[Subscription Status]],8,FALSE)</f>
        <v>2.9</v>
      </c>
    </row>
    <row r="2027" spans="1:2" x14ac:dyDescent="0.3">
      <c r="A2027" s="6" t="s">
        <v>54</v>
      </c>
      <c r="B2027">
        <f>VLOOKUP(A2027,Table1[[Item Purchased]:[Subscription Status]],8,FALSE)</f>
        <v>3.2</v>
      </c>
    </row>
    <row r="2028" spans="1:2" x14ac:dyDescent="0.3">
      <c r="A2028" s="5" t="s">
        <v>118</v>
      </c>
      <c r="B2028">
        <f>VLOOKUP(A2028,Table1[[Item Purchased]:[Subscription Status]],8,FALSE)</f>
        <v>4.5</v>
      </c>
    </row>
    <row r="2029" spans="1:2" x14ac:dyDescent="0.3">
      <c r="A2029" s="6" t="s">
        <v>70</v>
      </c>
      <c r="B2029">
        <f>VLOOKUP(A2029,Table1[[Item Purchased]:[Subscription Status]],8,FALSE)</f>
        <v>4.0999999999999996</v>
      </c>
    </row>
    <row r="2030" spans="1:2" x14ac:dyDescent="0.3">
      <c r="A2030" s="5" t="s">
        <v>70</v>
      </c>
      <c r="B2030">
        <f>VLOOKUP(A2030,Table1[[Item Purchased]:[Subscription Status]],8,FALSE)</f>
        <v>4.0999999999999996</v>
      </c>
    </row>
    <row r="2031" spans="1:2" x14ac:dyDescent="0.3">
      <c r="A2031" s="6" t="s">
        <v>118</v>
      </c>
      <c r="B2031">
        <f>VLOOKUP(A2031,Table1[[Item Purchased]:[Subscription Status]],8,FALSE)</f>
        <v>4.5</v>
      </c>
    </row>
    <row r="2032" spans="1:2" x14ac:dyDescent="0.3">
      <c r="A2032" s="5" t="s">
        <v>88</v>
      </c>
      <c r="B2032">
        <f>VLOOKUP(A2032,Table1[[Item Purchased]:[Subscription Status]],8,FALSE)</f>
        <v>4.0999999999999996</v>
      </c>
    </row>
    <row r="2033" spans="1:2" x14ac:dyDescent="0.3">
      <c r="A2033" s="6" t="s">
        <v>124</v>
      </c>
      <c r="B2033">
        <f>VLOOKUP(A2033,Table1[[Item Purchased]:[Subscription Status]],8,FALSE)</f>
        <v>2.9</v>
      </c>
    </row>
    <row r="2034" spans="1:2" x14ac:dyDescent="0.3">
      <c r="A2034" s="5" t="s">
        <v>19</v>
      </c>
      <c r="B2034">
        <f>VLOOKUP(A2034,Table1[[Item Purchased]:[Subscription Status]],8,FALSE)</f>
        <v>3.1</v>
      </c>
    </row>
    <row r="2035" spans="1:2" x14ac:dyDescent="0.3">
      <c r="A2035" s="6" t="s">
        <v>33</v>
      </c>
      <c r="B2035">
        <f>VLOOKUP(A2035,Table1[[Item Purchased]:[Subscription Status]],8,FALSE)</f>
        <v>3.1</v>
      </c>
    </row>
    <row r="2036" spans="1:2" x14ac:dyDescent="0.3">
      <c r="A2036" s="5" t="s">
        <v>58</v>
      </c>
      <c r="B2036">
        <f>VLOOKUP(A2036,Table1[[Item Purchased]:[Subscription Status]],8,FALSE)</f>
        <v>3.2</v>
      </c>
    </row>
    <row r="2037" spans="1:2" x14ac:dyDescent="0.3">
      <c r="A2037" s="6" t="s">
        <v>112</v>
      </c>
      <c r="B2037">
        <f>VLOOKUP(A2037,Table1[[Item Purchased]:[Subscription Status]],8,FALSE)</f>
        <v>4.5999999999999996</v>
      </c>
    </row>
    <row r="2038" spans="1:2" x14ac:dyDescent="0.3">
      <c r="A2038" s="5" t="s">
        <v>19</v>
      </c>
      <c r="B2038">
        <f>VLOOKUP(A2038,Table1[[Item Purchased]:[Subscription Status]],8,FALSE)</f>
        <v>3.1</v>
      </c>
    </row>
    <row r="2039" spans="1:2" x14ac:dyDescent="0.3">
      <c r="A2039" s="6" t="s">
        <v>132</v>
      </c>
      <c r="B2039">
        <f>VLOOKUP(A2039,Table1[[Item Purchased]:[Subscription Status]],8,FALSE)</f>
        <v>4.5999999999999996</v>
      </c>
    </row>
    <row r="2040" spans="1:2" x14ac:dyDescent="0.3">
      <c r="A2040" s="5" t="s">
        <v>19</v>
      </c>
      <c r="B2040">
        <f>VLOOKUP(A2040,Table1[[Item Purchased]:[Subscription Status]],8,FALSE)</f>
        <v>3.1</v>
      </c>
    </row>
    <row r="2041" spans="1:2" x14ac:dyDescent="0.3">
      <c r="A2041" s="6" t="s">
        <v>112</v>
      </c>
      <c r="B2041">
        <f>VLOOKUP(A2041,Table1[[Item Purchased]:[Subscription Status]],8,FALSE)</f>
        <v>4.5999999999999996</v>
      </c>
    </row>
    <row r="2042" spans="1:2" x14ac:dyDescent="0.3">
      <c r="A2042" s="5" t="s">
        <v>105</v>
      </c>
      <c r="B2042">
        <f>VLOOKUP(A2042,Table1[[Item Purchased]:[Subscription Status]],8,FALSE)</f>
        <v>3.6</v>
      </c>
    </row>
    <row r="2043" spans="1:2" x14ac:dyDescent="0.3">
      <c r="A2043" s="6" t="s">
        <v>101</v>
      </c>
      <c r="B2043">
        <f>VLOOKUP(A2043,Table1[[Item Purchased]:[Subscription Status]],8,FALSE)</f>
        <v>2.9</v>
      </c>
    </row>
    <row r="2044" spans="1:2" x14ac:dyDescent="0.3">
      <c r="A2044" s="5" t="s">
        <v>70</v>
      </c>
      <c r="B2044">
        <f>VLOOKUP(A2044,Table1[[Item Purchased]:[Subscription Status]],8,FALSE)</f>
        <v>4.0999999999999996</v>
      </c>
    </row>
    <row r="2045" spans="1:2" x14ac:dyDescent="0.3">
      <c r="A2045" s="6" t="s">
        <v>142</v>
      </c>
      <c r="B2045">
        <f>VLOOKUP(A2045,Table1[[Item Purchased]:[Subscription Status]],8,FALSE)</f>
        <v>4.5</v>
      </c>
    </row>
    <row r="2046" spans="1:2" x14ac:dyDescent="0.3">
      <c r="A2046" s="5" t="s">
        <v>33</v>
      </c>
      <c r="B2046">
        <f>VLOOKUP(A2046,Table1[[Item Purchased]:[Subscription Status]],8,FALSE)</f>
        <v>3.1</v>
      </c>
    </row>
    <row r="2047" spans="1:2" x14ac:dyDescent="0.3">
      <c r="A2047" s="6" t="s">
        <v>105</v>
      </c>
      <c r="B2047">
        <f>VLOOKUP(A2047,Table1[[Item Purchased]:[Subscription Status]],8,FALSE)</f>
        <v>3.6</v>
      </c>
    </row>
    <row r="2048" spans="1:2" x14ac:dyDescent="0.3">
      <c r="A2048" s="5" t="s">
        <v>94</v>
      </c>
      <c r="B2048">
        <f>VLOOKUP(A2048,Table1[[Item Purchased]:[Subscription Status]],8,FALSE)</f>
        <v>3.3</v>
      </c>
    </row>
    <row r="2049" spans="1:2" x14ac:dyDescent="0.3">
      <c r="A2049" s="6" t="s">
        <v>105</v>
      </c>
      <c r="B2049">
        <f>VLOOKUP(A2049,Table1[[Item Purchased]:[Subscription Status]],8,FALSE)</f>
        <v>3.6</v>
      </c>
    </row>
    <row r="2050" spans="1:2" x14ac:dyDescent="0.3">
      <c r="A2050" s="5" t="s">
        <v>49</v>
      </c>
      <c r="B2050">
        <f>VLOOKUP(A2050,Table1[[Item Purchased]:[Subscription Status]],8,FALSE)</f>
        <v>2.9</v>
      </c>
    </row>
    <row r="2051" spans="1:2" x14ac:dyDescent="0.3">
      <c r="A2051" s="6" t="s">
        <v>136</v>
      </c>
      <c r="B2051">
        <f>VLOOKUP(A2051,Table1[[Item Purchased]:[Subscription Status]],8,FALSE)</f>
        <v>4.8</v>
      </c>
    </row>
    <row r="2052" spans="1:2" x14ac:dyDescent="0.3">
      <c r="A2052" s="5" t="s">
        <v>123</v>
      </c>
      <c r="B2052">
        <f>VLOOKUP(A2052,Table1[[Item Purchased]:[Subscription Status]],8,FALSE)</f>
        <v>4.5999999999999996</v>
      </c>
    </row>
    <row r="2053" spans="1:2" x14ac:dyDescent="0.3">
      <c r="A2053" s="6" t="s">
        <v>112</v>
      </c>
      <c r="B2053">
        <f>VLOOKUP(A2053,Table1[[Item Purchased]:[Subscription Status]],8,FALSE)</f>
        <v>4.5999999999999996</v>
      </c>
    </row>
    <row r="2054" spans="1:2" x14ac:dyDescent="0.3">
      <c r="A2054" s="5" t="s">
        <v>131</v>
      </c>
      <c r="B2054">
        <f>VLOOKUP(A2054,Table1[[Item Purchased]:[Subscription Status]],8,FALSE)</f>
        <v>4.7</v>
      </c>
    </row>
    <row r="2055" spans="1:2" x14ac:dyDescent="0.3">
      <c r="A2055" s="6" t="s">
        <v>88</v>
      </c>
      <c r="B2055">
        <f>VLOOKUP(A2055,Table1[[Item Purchased]:[Subscription Status]],8,FALSE)</f>
        <v>4.0999999999999996</v>
      </c>
    </row>
    <row r="2056" spans="1:2" x14ac:dyDescent="0.3">
      <c r="A2056" s="5" t="s">
        <v>29</v>
      </c>
      <c r="B2056">
        <f>VLOOKUP(A2056,Table1[[Item Purchased]:[Subscription Status]],8,FALSE)</f>
        <v>3.1</v>
      </c>
    </row>
    <row r="2057" spans="1:2" x14ac:dyDescent="0.3">
      <c r="A2057" s="6" t="s">
        <v>65</v>
      </c>
      <c r="B2057">
        <f>VLOOKUP(A2057,Table1[[Item Purchased]:[Subscription Status]],8,FALSE)</f>
        <v>4.8</v>
      </c>
    </row>
    <row r="2058" spans="1:2" x14ac:dyDescent="0.3">
      <c r="A2058" s="5" t="s">
        <v>131</v>
      </c>
      <c r="B2058">
        <f>VLOOKUP(A2058,Table1[[Item Purchased]:[Subscription Status]],8,FALSE)</f>
        <v>4.7</v>
      </c>
    </row>
    <row r="2059" spans="1:2" x14ac:dyDescent="0.3">
      <c r="A2059" s="6" t="s">
        <v>124</v>
      </c>
      <c r="B2059">
        <f>VLOOKUP(A2059,Table1[[Item Purchased]:[Subscription Status]],8,FALSE)</f>
        <v>2.9</v>
      </c>
    </row>
    <row r="2060" spans="1:2" x14ac:dyDescent="0.3">
      <c r="A2060" s="5" t="s">
        <v>54</v>
      </c>
      <c r="B2060">
        <f>VLOOKUP(A2060,Table1[[Item Purchased]:[Subscription Status]],8,FALSE)</f>
        <v>3.2</v>
      </c>
    </row>
    <row r="2061" spans="1:2" x14ac:dyDescent="0.3">
      <c r="A2061" s="6" t="s">
        <v>58</v>
      </c>
      <c r="B2061">
        <f>VLOOKUP(A2061,Table1[[Item Purchased]:[Subscription Status]],8,FALSE)</f>
        <v>3.2</v>
      </c>
    </row>
    <row r="2062" spans="1:2" x14ac:dyDescent="0.3">
      <c r="A2062" s="5" t="s">
        <v>132</v>
      </c>
      <c r="B2062">
        <f>VLOOKUP(A2062,Table1[[Item Purchased]:[Subscription Status]],8,FALSE)</f>
        <v>4.5999999999999996</v>
      </c>
    </row>
    <row r="2063" spans="1:2" x14ac:dyDescent="0.3">
      <c r="A2063" s="6" t="s">
        <v>29</v>
      </c>
      <c r="B2063">
        <f>VLOOKUP(A2063,Table1[[Item Purchased]:[Subscription Status]],8,FALSE)</f>
        <v>3.1</v>
      </c>
    </row>
    <row r="2064" spans="1:2" x14ac:dyDescent="0.3">
      <c r="A2064" s="5" t="s">
        <v>61</v>
      </c>
      <c r="B2064">
        <f>VLOOKUP(A2064,Table1[[Item Purchased]:[Subscription Status]],8,FALSE)</f>
        <v>2.6</v>
      </c>
    </row>
    <row r="2065" spans="1:2" x14ac:dyDescent="0.3">
      <c r="A2065" s="6" t="s">
        <v>58</v>
      </c>
      <c r="B2065">
        <f>VLOOKUP(A2065,Table1[[Item Purchased]:[Subscription Status]],8,FALSE)</f>
        <v>3.2</v>
      </c>
    </row>
    <row r="2066" spans="1:2" x14ac:dyDescent="0.3">
      <c r="A2066" s="5" t="s">
        <v>70</v>
      </c>
      <c r="B2066">
        <f>VLOOKUP(A2066,Table1[[Item Purchased]:[Subscription Status]],8,FALSE)</f>
        <v>4.0999999999999996</v>
      </c>
    </row>
    <row r="2067" spans="1:2" x14ac:dyDescent="0.3">
      <c r="A2067" s="6" t="s">
        <v>49</v>
      </c>
      <c r="B2067">
        <f>VLOOKUP(A2067,Table1[[Item Purchased]:[Subscription Status]],8,FALSE)</f>
        <v>2.9</v>
      </c>
    </row>
    <row r="2068" spans="1:2" x14ac:dyDescent="0.3">
      <c r="A2068" s="5" t="s">
        <v>49</v>
      </c>
      <c r="B2068">
        <f>VLOOKUP(A2068,Table1[[Item Purchased]:[Subscription Status]],8,FALSE)</f>
        <v>2.9</v>
      </c>
    </row>
    <row r="2069" spans="1:2" x14ac:dyDescent="0.3">
      <c r="A2069" s="6" t="s">
        <v>94</v>
      </c>
      <c r="B2069">
        <f>VLOOKUP(A2069,Table1[[Item Purchased]:[Subscription Status]],8,FALSE)</f>
        <v>3.3</v>
      </c>
    </row>
    <row r="2070" spans="1:2" x14ac:dyDescent="0.3">
      <c r="A2070" s="5" t="s">
        <v>105</v>
      </c>
      <c r="B2070">
        <f>VLOOKUP(A2070,Table1[[Item Purchased]:[Subscription Status]],8,FALSE)</f>
        <v>3.6</v>
      </c>
    </row>
    <row r="2071" spans="1:2" x14ac:dyDescent="0.3">
      <c r="A2071" s="6" t="s">
        <v>112</v>
      </c>
      <c r="B2071">
        <f>VLOOKUP(A2071,Table1[[Item Purchased]:[Subscription Status]],8,FALSE)</f>
        <v>4.5999999999999996</v>
      </c>
    </row>
    <row r="2072" spans="1:2" x14ac:dyDescent="0.3">
      <c r="A2072" s="5" t="s">
        <v>105</v>
      </c>
      <c r="B2072">
        <f>VLOOKUP(A2072,Table1[[Item Purchased]:[Subscription Status]],8,FALSE)</f>
        <v>3.6</v>
      </c>
    </row>
    <row r="2073" spans="1:2" x14ac:dyDescent="0.3">
      <c r="A2073" s="6" t="s">
        <v>101</v>
      </c>
      <c r="B2073">
        <f>VLOOKUP(A2073,Table1[[Item Purchased]:[Subscription Status]],8,FALSE)</f>
        <v>2.9</v>
      </c>
    </row>
    <row r="2074" spans="1:2" x14ac:dyDescent="0.3">
      <c r="A2074" s="5" t="s">
        <v>131</v>
      </c>
      <c r="B2074">
        <f>VLOOKUP(A2074,Table1[[Item Purchased]:[Subscription Status]],8,FALSE)</f>
        <v>4.7</v>
      </c>
    </row>
    <row r="2075" spans="1:2" x14ac:dyDescent="0.3">
      <c r="A2075" s="6" t="s">
        <v>132</v>
      </c>
      <c r="B2075">
        <f>VLOOKUP(A2075,Table1[[Item Purchased]:[Subscription Status]],8,FALSE)</f>
        <v>4.5999999999999996</v>
      </c>
    </row>
    <row r="2076" spans="1:2" x14ac:dyDescent="0.3">
      <c r="A2076" s="5" t="s">
        <v>118</v>
      </c>
      <c r="B2076">
        <f>VLOOKUP(A2076,Table1[[Item Purchased]:[Subscription Status]],8,FALSE)</f>
        <v>4.5</v>
      </c>
    </row>
    <row r="2077" spans="1:2" x14ac:dyDescent="0.3">
      <c r="A2077" s="6" t="s">
        <v>29</v>
      </c>
      <c r="B2077">
        <f>VLOOKUP(A2077,Table1[[Item Purchased]:[Subscription Status]],8,FALSE)</f>
        <v>3.1</v>
      </c>
    </row>
    <row r="2078" spans="1:2" x14ac:dyDescent="0.3">
      <c r="A2078" s="5" t="s">
        <v>142</v>
      </c>
      <c r="B2078">
        <f>VLOOKUP(A2078,Table1[[Item Purchased]:[Subscription Status]],8,FALSE)</f>
        <v>4.5</v>
      </c>
    </row>
    <row r="2079" spans="1:2" x14ac:dyDescent="0.3">
      <c r="A2079" s="6" t="s">
        <v>118</v>
      </c>
      <c r="B2079">
        <f>VLOOKUP(A2079,Table1[[Item Purchased]:[Subscription Status]],8,FALSE)</f>
        <v>4.5</v>
      </c>
    </row>
    <row r="2080" spans="1:2" x14ac:dyDescent="0.3">
      <c r="A2080" s="5" t="s">
        <v>80</v>
      </c>
      <c r="B2080">
        <f>VLOOKUP(A2080,Table1[[Item Purchased]:[Subscription Status]],8,FALSE)</f>
        <v>4.7</v>
      </c>
    </row>
    <row r="2081" spans="1:2" x14ac:dyDescent="0.3">
      <c r="A2081" s="6" t="s">
        <v>33</v>
      </c>
      <c r="B2081">
        <f>VLOOKUP(A2081,Table1[[Item Purchased]:[Subscription Status]],8,FALSE)</f>
        <v>3.1</v>
      </c>
    </row>
    <row r="2082" spans="1:2" x14ac:dyDescent="0.3">
      <c r="A2082" s="5" t="s">
        <v>88</v>
      </c>
      <c r="B2082">
        <f>VLOOKUP(A2082,Table1[[Item Purchased]:[Subscription Status]],8,FALSE)</f>
        <v>4.0999999999999996</v>
      </c>
    </row>
    <row r="2083" spans="1:2" x14ac:dyDescent="0.3">
      <c r="A2083" s="6" t="s">
        <v>61</v>
      </c>
      <c r="B2083">
        <f>VLOOKUP(A2083,Table1[[Item Purchased]:[Subscription Status]],8,FALSE)</f>
        <v>2.6</v>
      </c>
    </row>
    <row r="2084" spans="1:2" x14ac:dyDescent="0.3">
      <c r="A2084" s="5" t="s">
        <v>33</v>
      </c>
      <c r="B2084">
        <f>VLOOKUP(A2084,Table1[[Item Purchased]:[Subscription Status]],8,FALSE)</f>
        <v>3.1</v>
      </c>
    </row>
    <row r="2085" spans="1:2" x14ac:dyDescent="0.3">
      <c r="A2085" s="6" t="s">
        <v>118</v>
      </c>
      <c r="B2085">
        <f>VLOOKUP(A2085,Table1[[Item Purchased]:[Subscription Status]],8,FALSE)</f>
        <v>4.5</v>
      </c>
    </row>
    <row r="2086" spans="1:2" x14ac:dyDescent="0.3">
      <c r="A2086" s="5" t="s">
        <v>19</v>
      </c>
      <c r="B2086">
        <f>VLOOKUP(A2086,Table1[[Item Purchased]:[Subscription Status]],8,FALSE)</f>
        <v>3.1</v>
      </c>
    </row>
    <row r="2087" spans="1:2" x14ac:dyDescent="0.3">
      <c r="A2087" s="6" t="s">
        <v>33</v>
      </c>
      <c r="B2087">
        <f>VLOOKUP(A2087,Table1[[Item Purchased]:[Subscription Status]],8,FALSE)</f>
        <v>3.1</v>
      </c>
    </row>
    <row r="2088" spans="1:2" x14ac:dyDescent="0.3">
      <c r="A2088" s="5" t="s">
        <v>80</v>
      </c>
      <c r="B2088">
        <f>VLOOKUP(A2088,Table1[[Item Purchased]:[Subscription Status]],8,FALSE)</f>
        <v>4.7</v>
      </c>
    </row>
    <row r="2089" spans="1:2" x14ac:dyDescent="0.3">
      <c r="A2089" s="6" t="s">
        <v>123</v>
      </c>
      <c r="B2089">
        <f>VLOOKUP(A2089,Table1[[Item Purchased]:[Subscription Status]],8,FALSE)</f>
        <v>4.5999999999999996</v>
      </c>
    </row>
    <row r="2090" spans="1:2" x14ac:dyDescent="0.3">
      <c r="A2090" s="5" t="s">
        <v>40</v>
      </c>
      <c r="B2090">
        <f>VLOOKUP(A2090,Table1[[Item Purchased]:[Subscription Status]],8,FALSE)</f>
        <v>3.5</v>
      </c>
    </row>
    <row r="2091" spans="1:2" x14ac:dyDescent="0.3">
      <c r="A2091" s="6" t="s">
        <v>101</v>
      </c>
      <c r="B2091">
        <f>VLOOKUP(A2091,Table1[[Item Purchased]:[Subscription Status]],8,FALSE)</f>
        <v>2.9</v>
      </c>
    </row>
    <row r="2092" spans="1:2" x14ac:dyDescent="0.3">
      <c r="A2092" s="5" t="s">
        <v>124</v>
      </c>
      <c r="B2092">
        <f>VLOOKUP(A2092,Table1[[Item Purchased]:[Subscription Status]],8,FALSE)</f>
        <v>2.9</v>
      </c>
    </row>
    <row r="2093" spans="1:2" x14ac:dyDescent="0.3">
      <c r="A2093" s="6" t="s">
        <v>33</v>
      </c>
      <c r="B2093">
        <f>VLOOKUP(A2093,Table1[[Item Purchased]:[Subscription Status]],8,FALSE)</f>
        <v>3.1</v>
      </c>
    </row>
    <row r="2094" spans="1:2" x14ac:dyDescent="0.3">
      <c r="A2094" s="5" t="s">
        <v>40</v>
      </c>
      <c r="B2094">
        <f>VLOOKUP(A2094,Table1[[Item Purchased]:[Subscription Status]],8,FALSE)</f>
        <v>3.5</v>
      </c>
    </row>
    <row r="2095" spans="1:2" x14ac:dyDescent="0.3">
      <c r="A2095" s="6" t="s">
        <v>80</v>
      </c>
      <c r="B2095">
        <f>VLOOKUP(A2095,Table1[[Item Purchased]:[Subscription Status]],8,FALSE)</f>
        <v>4.7</v>
      </c>
    </row>
    <row r="2096" spans="1:2" x14ac:dyDescent="0.3">
      <c r="A2096" s="5" t="s">
        <v>124</v>
      </c>
      <c r="B2096">
        <f>VLOOKUP(A2096,Table1[[Item Purchased]:[Subscription Status]],8,FALSE)</f>
        <v>2.9</v>
      </c>
    </row>
    <row r="2097" spans="1:2" x14ac:dyDescent="0.3">
      <c r="A2097" s="6" t="s">
        <v>103</v>
      </c>
      <c r="B2097">
        <f>VLOOKUP(A2097,Table1[[Item Purchased]:[Subscription Status]],8,FALSE)</f>
        <v>3.6</v>
      </c>
    </row>
    <row r="2098" spans="1:2" x14ac:dyDescent="0.3">
      <c r="A2098" s="5" t="s">
        <v>80</v>
      </c>
      <c r="B2098">
        <f>VLOOKUP(A2098,Table1[[Item Purchased]:[Subscription Status]],8,FALSE)</f>
        <v>4.7</v>
      </c>
    </row>
    <row r="2099" spans="1:2" x14ac:dyDescent="0.3">
      <c r="A2099" s="6" t="s">
        <v>49</v>
      </c>
      <c r="B2099">
        <f>VLOOKUP(A2099,Table1[[Item Purchased]:[Subscription Status]],8,FALSE)</f>
        <v>2.9</v>
      </c>
    </row>
    <row r="2100" spans="1:2" x14ac:dyDescent="0.3">
      <c r="A2100" s="5" t="s">
        <v>112</v>
      </c>
      <c r="B2100">
        <f>VLOOKUP(A2100,Table1[[Item Purchased]:[Subscription Status]],8,FALSE)</f>
        <v>4.5999999999999996</v>
      </c>
    </row>
    <row r="2101" spans="1:2" x14ac:dyDescent="0.3">
      <c r="A2101" s="6" t="s">
        <v>112</v>
      </c>
      <c r="B2101">
        <f>VLOOKUP(A2101,Table1[[Item Purchased]:[Subscription Status]],8,FALSE)</f>
        <v>4.5999999999999996</v>
      </c>
    </row>
    <row r="2102" spans="1:2" x14ac:dyDescent="0.3">
      <c r="A2102" s="5" t="s">
        <v>29</v>
      </c>
      <c r="B2102">
        <f>VLOOKUP(A2102,Table1[[Item Purchased]:[Subscription Status]],8,FALSE)</f>
        <v>3.1</v>
      </c>
    </row>
    <row r="2103" spans="1:2" x14ac:dyDescent="0.3">
      <c r="A2103" s="6" t="s">
        <v>54</v>
      </c>
      <c r="B2103">
        <f>VLOOKUP(A2103,Table1[[Item Purchased]:[Subscription Status]],8,FALSE)</f>
        <v>3.2</v>
      </c>
    </row>
    <row r="2104" spans="1:2" x14ac:dyDescent="0.3">
      <c r="A2104" s="5" t="s">
        <v>123</v>
      </c>
      <c r="B2104">
        <f>VLOOKUP(A2104,Table1[[Item Purchased]:[Subscription Status]],8,FALSE)</f>
        <v>4.5999999999999996</v>
      </c>
    </row>
    <row r="2105" spans="1:2" x14ac:dyDescent="0.3">
      <c r="A2105" s="6" t="s">
        <v>94</v>
      </c>
      <c r="B2105">
        <f>VLOOKUP(A2105,Table1[[Item Purchased]:[Subscription Status]],8,FALSE)</f>
        <v>3.3</v>
      </c>
    </row>
    <row r="2106" spans="1:2" x14ac:dyDescent="0.3">
      <c r="A2106" s="5" t="s">
        <v>70</v>
      </c>
      <c r="B2106">
        <f>VLOOKUP(A2106,Table1[[Item Purchased]:[Subscription Status]],8,FALSE)</f>
        <v>4.0999999999999996</v>
      </c>
    </row>
    <row r="2107" spans="1:2" x14ac:dyDescent="0.3">
      <c r="A2107" s="6" t="s">
        <v>142</v>
      </c>
      <c r="B2107">
        <f>VLOOKUP(A2107,Table1[[Item Purchased]:[Subscription Status]],8,FALSE)</f>
        <v>4.5</v>
      </c>
    </row>
    <row r="2108" spans="1:2" x14ac:dyDescent="0.3">
      <c r="A2108" s="5" t="s">
        <v>105</v>
      </c>
      <c r="B2108">
        <f>VLOOKUP(A2108,Table1[[Item Purchased]:[Subscription Status]],8,FALSE)</f>
        <v>3.6</v>
      </c>
    </row>
    <row r="2109" spans="1:2" x14ac:dyDescent="0.3">
      <c r="A2109" s="6" t="s">
        <v>94</v>
      </c>
      <c r="B2109">
        <f>VLOOKUP(A2109,Table1[[Item Purchased]:[Subscription Status]],8,FALSE)</f>
        <v>3.3</v>
      </c>
    </row>
    <row r="2110" spans="1:2" x14ac:dyDescent="0.3">
      <c r="A2110" s="5" t="s">
        <v>103</v>
      </c>
      <c r="B2110">
        <f>VLOOKUP(A2110,Table1[[Item Purchased]:[Subscription Status]],8,FALSE)</f>
        <v>3.6</v>
      </c>
    </row>
    <row r="2111" spans="1:2" x14ac:dyDescent="0.3">
      <c r="A2111" s="6" t="s">
        <v>105</v>
      </c>
      <c r="B2111">
        <f>VLOOKUP(A2111,Table1[[Item Purchased]:[Subscription Status]],8,FALSE)</f>
        <v>3.6</v>
      </c>
    </row>
    <row r="2112" spans="1:2" x14ac:dyDescent="0.3">
      <c r="A2112" s="5" t="s">
        <v>124</v>
      </c>
      <c r="B2112">
        <f>VLOOKUP(A2112,Table1[[Item Purchased]:[Subscription Status]],8,FALSE)</f>
        <v>2.9</v>
      </c>
    </row>
    <row r="2113" spans="1:2" x14ac:dyDescent="0.3">
      <c r="A2113" s="6" t="s">
        <v>88</v>
      </c>
      <c r="B2113">
        <f>VLOOKUP(A2113,Table1[[Item Purchased]:[Subscription Status]],8,FALSE)</f>
        <v>4.0999999999999996</v>
      </c>
    </row>
    <row r="2114" spans="1:2" x14ac:dyDescent="0.3">
      <c r="A2114" s="5" t="s">
        <v>132</v>
      </c>
      <c r="B2114">
        <f>VLOOKUP(A2114,Table1[[Item Purchased]:[Subscription Status]],8,FALSE)</f>
        <v>4.5999999999999996</v>
      </c>
    </row>
    <row r="2115" spans="1:2" x14ac:dyDescent="0.3">
      <c r="A2115" s="6" t="s">
        <v>80</v>
      </c>
      <c r="B2115">
        <f>VLOOKUP(A2115,Table1[[Item Purchased]:[Subscription Status]],8,FALSE)</f>
        <v>4.7</v>
      </c>
    </row>
    <row r="2116" spans="1:2" x14ac:dyDescent="0.3">
      <c r="A2116" s="5" t="s">
        <v>54</v>
      </c>
      <c r="B2116">
        <f>VLOOKUP(A2116,Table1[[Item Purchased]:[Subscription Status]],8,FALSE)</f>
        <v>3.2</v>
      </c>
    </row>
    <row r="2117" spans="1:2" x14ac:dyDescent="0.3">
      <c r="A2117" s="6" t="s">
        <v>118</v>
      </c>
      <c r="B2117">
        <f>VLOOKUP(A2117,Table1[[Item Purchased]:[Subscription Status]],8,FALSE)</f>
        <v>4.5</v>
      </c>
    </row>
    <row r="2118" spans="1:2" x14ac:dyDescent="0.3">
      <c r="A2118" s="5" t="s">
        <v>101</v>
      </c>
      <c r="B2118">
        <f>VLOOKUP(A2118,Table1[[Item Purchased]:[Subscription Status]],8,FALSE)</f>
        <v>2.9</v>
      </c>
    </row>
    <row r="2119" spans="1:2" x14ac:dyDescent="0.3">
      <c r="A2119" s="6" t="s">
        <v>80</v>
      </c>
      <c r="B2119">
        <f>VLOOKUP(A2119,Table1[[Item Purchased]:[Subscription Status]],8,FALSE)</f>
        <v>4.7</v>
      </c>
    </row>
    <row r="2120" spans="1:2" x14ac:dyDescent="0.3">
      <c r="A2120" s="5" t="s">
        <v>124</v>
      </c>
      <c r="B2120">
        <f>VLOOKUP(A2120,Table1[[Item Purchased]:[Subscription Status]],8,FALSE)</f>
        <v>2.9</v>
      </c>
    </row>
    <row r="2121" spans="1:2" x14ac:dyDescent="0.3">
      <c r="A2121" s="6" t="s">
        <v>105</v>
      </c>
      <c r="B2121">
        <f>VLOOKUP(A2121,Table1[[Item Purchased]:[Subscription Status]],8,FALSE)</f>
        <v>3.6</v>
      </c>
    </row>
    <row r="2122" spans="1:2" x14ac:dyDescent="0.3">
      <c r="A2122" s="5" t="s">
        <v>118</v>
      </c>
      <c r="B2122">
        <f>VLOOKUP(A2122,Table1[[Item Purchased]:[Subscription Status]],8,FALSE)</f>
        <v>4.5</v>
      </c>
    </row>
    <row r="2123" spans="1:2" x14ac:dyDescent="0.3">
      <c r="A2123" s="6" t="s">
        <v>131</v>
      </c>
      <c r="B2123">
        <f>VLOOKUP(A2123,Table1[[Item Purchased]:[Subscription Status]],8,FALSE)</f>
        <v>4.7</v>
      </c>
    </row>
    <row r="2124" spans="1:2" x14ac:dyDescent="0.3">
      <c r="A2124" s="5" t="s">
        <v>101</v>
      </c>
      <c r="B2124">
        <f>VLOOKUP(A2124,Table1[[Item Purchased]:[Subscription Status]],8,FALSE)</f>
        <v>2.9</v>
      </c>
    </row>
    <row r="2125" spans="1:2" x14ac:dyDescent="0.3">
      <c r="A2125" s="6" t="s">
        <v>61</v>
      </c>
      <c r="B2125">
        <f>VLOOKUP(A2125,Table1[[Item Purchased]:[Subscription Status]],8,FALSE)</f>
        <v>2.6</v>
      </c>
    </row>
    <row r="2126" spans="1:2" x14ac:dyDescent="0.3">
      <c r="A2126" s="5" t="s">
        <v>86</v>
      </c>
      <c r="B2126">
        <f>VLOOKUP(A2126,Table1[[Item Purchased]:[Subscription Status]],8,FALSE)</f>
        <v>2.8</v>
      </c>
    </row>
    <row r="2127" spans="1:2" x14ac:dyDescent="0.3">
      <c r="A2127" s="6" t="s">
        <v>61</v>
      </c>
      <c r="B2127">
        <f>VLOOKUP(A2127,Table1[[Item Purchased]:[Subscription Status]],8,FALSE)</f>
        <v>2.6</v>
      </c>
    </row>
    <row r="2128" spans="1:2" x14ac:dyDescent="0.3">
      <c r="A2128" s="5" t="s">
        <v>70</v>
      </c>
      <c r="B2128">
        <f>VLOOKUP(A2128,Table1[[Item Purchased]:[Subscription Status]],8,FALSE)</f>
        <v>4.0999999999999996</v>
      </c>
    </row>
    <row r="2129" spans="1:2" x14ac:dyDescent="0.3">
      <c r="A2129" s="6" t="s">
        <v>136</v>
      </c>
      <c r="B2129">
        <f>VLOOKUP(A2129,Table1[[Item Purchased]:[Subscription Status]],8,FALSE)</f>
        <v>4.8</v>
      </c>
    </row>
    <row r="2130" spans="1:2" x14ac:dyDescent="0.3">
      <c r="A2130" s="5" t="s">
        <v>61</v>
      </c>
      <c r="B2130">
        <f>VLOOKUP(A2130,Table1[[Item Purchased]:[Subscription Status]],8,FALSE)</f>
        <v>2.6</v>
      </c>
    </row>
    <row r="2131" spans="1:2" x14ac:dyDescent="0.3">
      <c r="A2131" s="6" t="s">
        <v>86</v>
      </c>
      <c r="B2131">
        <f>VLOOKUP(A2131,Table1[[Item Purchased]:[Subscription Status]],8,FALSE)</f>
        <v>2.8</v>
      </c>
    </row>
    <row r="2132" spans="1:2" x14ac:dyDescent="0.3">
      <c r="A2132" s="5" t="s">
        <v>131</v>
      </c>
      <c r="B2132">
        <f>VLOOKUP(A2132,Table1[[Item Purchased]:[Subscription Status]],8,FALSE)</f>
        <v>4.7</v>
      </c>
    </row>
    <row r="2133" spans="1:2" x14ac:dyDescent="0.3">
      <c r="A2133" s="6" t="s">
        <v>58</v>
      </c>
      <c r="B2133">
        <f>VLOOKUP(A2133,Table1[[Item Purchased]:[Subscription Status]],8,FALSE)</f>
        <v>3.2</v>
      </c>
    </row>
    <row r="2134" spans="1:2" x14ac:dyDescent="0.3">
      <c r="A2134" s="5" t="s">
        <v>86</v>
      </c>
      <c r="B2134">
        <f>VLOOKUP(A2134,Table1[[Item Purchased]:[Subscription Status]],8,FALSE)</f>
        <v>2.8</v>
      </c>
    </row>
    <row r="2135" spans="1:2" x14ac:dyDescent="0.3">
      <c r="A2135" s="6" t="s">
        <v>123</v>
      </c>
      <c r="B2135">
        <f>VLOOKUP(A2135,Table1[[Item Purchased]:[Subscription Status]],8,FALSE)</f>
        <v>4.5999999999999996</v>
      </c>
    </row>
    <row r="2136" spans="1:2" x14ac:dyDescent="0.3">
      <c r="A2136" s="5" t="s">
        <v>40</v>
      </c>
      <c r="B2136">
        <f>VLOOKUP(A2136,Table1[[Item Purchased]:[Subscription Status]],8,FALSE)</f>
        <v>3.5</v>
      </c>
    </row>
    <row r="2137" spans="1:2" x14ac:dyDescent="0.3">
      <c r="A2137" s="6" t="s">
        <v>88</v>
      </c>
      <c r="B2137">
        <f>VLOOKUP(A2137,Table1[[Item Purchased]:[Subscription Status]],8,FALSE)</f>
        <v>4.0999999999999996</v>
      </c>
    </row>
    <row r="2138" spans="1:2" x14ac:dyDescent="0.3">
      <c r="A2138" s="5" t="s">
        <v>88</v>
      </c>
      <c r="B2138">
        <f>VLOOKUP(A2138,Table1[[Item Purchased]:[Subscription Status]],8,FALSE)</f>
        <v>4.0999999999999996</v>
      </c>
    </row>
    <row r="2139" spans="1:2" x14ac:dyDescent="0.3">
      <c r="A2139" s="6" t="s">
        <v>124</v>
      </c>
      <c r="B2139">
        <f>VLOOKUP(A2139,Table1[[Item Purchased]:[Subscription Status]],8,FALSE)</f>
        <v>2.9</v>
      </c>
    </row>
    <row r="2140" spans="1:2" x14ac:dyDescent="0.3">
      <c r="A2140" s="5" t="s">
        <v>29</v>
      </c>
      <c r="B2140">
        <f>VLOOKUP(A2140,Table1[[Item Purchased]:[Subscription Status]],8,FALSE)</f>
        <v>3.1</v>
      </c>
    </row>
    <row r="2141" spans="1:2" x14ac:dyDescent="0.3">
      <c r="A2141" s="6" t="s">
        <v>136</v>
      </c>
      <c r="B2141">
        <f>VLOOKUP(A2141,Table1[[Item Purchased]:[Subscription Status]],8,FALSE)</f>
        <v>4.8</v>
      </c>
    </row>
    <row r="2142" spans="1:2" x14ac:dyDescent="0.3">
      <c r="A2142" s="5" t="s">
        <v>65</v>
      </c>
      <c r="B2142">
        <f>VLOOKUP(A2142,Table1[[Item Purchased]:[Subscription Status]],8,FALSE)</f>
        <v>4.8</v>
      </c>
    </row>
    <row r="2143" spans="1:2" x14ac:dyDescent="0.3">
      <c r="A2143" s="6" t="s">
        <v>80</v>
      </c>
      <c r="B2143">
        <f>VLOOKUP(A2143,Table1[[Item Purchased]:[Subscription Status]],8,FALSE)</f>
        <v>4.7</v>
      </c>
    </row>
    <row r="2144" spans="1:2" x14ac:dyDescent="0.3">
      <c r="A2144" s="5" t="s">
        <v>123</v>
      </c>
      <c r="B2144">
        <f>VLOOKUP(A2144,Table1[[Item Purchased]:[Subscription Status]],8,FALSE)</f>
        <v>4.5999999999999996</v>
      </c>
    </row>
    <row r="2145" spans="1:2" x14ac:dyDescent="0.3">
      <c r="A2145" s="6" t="s">
        <v>40</v>
      </c>
      <c r="B2145">
        <f>VLOOKUP(A2145,Table1[[Item Purchased]:[Subscription Status]],8,FALSE)</f>
        <v>3.5</v>
      </c>
    </row>
    <row r="2146" spans="1:2" x14ac:dyDescent="0.3">
      <c r="A2146" s="5" t="s">
        <v>70</v>
      </c>
      <c r="B2146">
        <f>VLOOKUP(A2146,Table1[[Item Purchased]:[Subscription Status]],8,FALSE)</f>
        <v>4.0999999999999996</v>
      </c>
    </row>
    <row r="2147" spans="1:2" x14ac:dyDescent="0.3">
      <c r="A2147" s="6" t="s">
        <v>86</v>
      </c>
      <c r="B2147">
        <f>VLOOKUP(A2147,Table1[[Item Purchased]:[Subscription Status]],8,FALSE)</f>
        <v>2.8</v>
      </c>
    </row>
    <row r="2148" spans="1:2" x14ac:dyDescent="0.3">
      <c r="A2148" s="5" t="s">
        <v>88</v>
      </c>
      <c r="B2148">
        <f>VLOOKUP(A2148,Table1[[Item Purchased]:[Subscription Status]],8,FALSE)</f>
        <v>4.0999999999999996</v>
      </c>
    </row>
    <row r="2149" spans="1:2" x14ac:dyDescent="0.3">
      <c r="A2149" s="6" t="s">
        <v>86</v>
      </c>
      <c r="B2149">
        <f>VLOOKUP(A2149,Table1[[Item Purchased]:[Subscription Status]],8,FALSE)</f>
        <v>2.8</v>
      </c>
    </row>
    <row r="2150" spans="1:2" x14ac:dyDescent="0.3">
      <c r="A2150" s="5" t="s">
        <v>112</v>
      </c>
      <c r="B2150">
        <f>VLOOKUP(A2150,Table1[[Item Purchased]:[Subscription Status]],8,FALSE)</f>
        <v>4.5999999999999996</v>
      </c>
    </row>
    <row r="2151" spans="1:2" x14ac:dyDescent="0.3">
      <c r="A2151" s="6" t="s">
        <v>40</v>
      </c>
      <c r="B2151">
        <f>VLOOKUP(A2151,Table1[[Item Purchased]:[Subscription Status]],8,FALSE)</f>
        <v>3.5</v>
      </c>
    </row>
    <row r="2152" spans="1:2" x14ac:dyDescent="0.3">
      <c r="A2152" s="5" t="s">
        <v>54</v>
      </c>
      <c r="B2152">
        <f>VLOOKUP(A2152,Table1[[Item Purchased]:[Subscription Status]],8,FALSE)</f>
        <v>3.2</v>
      </c>
    </row>
    <row r="2153" spans="1:2" x14ac:dyDescent="0.3">
      <c r="A2153" s="6" t="s">
        <v>33</v>
      </c>
      <c r="B2153">
        <f>VLOOKUP(A2153,Table1[[Item Purchased]:[Subscription Status]],8,FALSE)</f>
        <v>3.1</v>
      </c>
    </row>
    <row r="2154" spans="1:2" x14ac:dyDescent="0.3">
      <c r="A2154" s="5" t="s">
        <v>58</v>
      </c>
      <c r="B2154">
        <f>VLOOKUP(A2154,Table1[[Item Purchased]:[Subscription Status]],8,FALSE)</f>
        <v>3.2</v>
      </c>
    </row>
    <row r="2155" spans="1:2" x14ac:dyDescent="0.3">
      <c r="A2155" s="6" t="s">
        <v>54</v>
      </c>
      <c r="B2155">
        <f>VLOOKUP(A2155,Table1[[Item Purchased]:[Subscription Status]],8,FALSE)</f>
        <v>3.2</v>
      </c>
    </row>
    <row r="2156" spans="1:2" x14ac:dyDescent="0.3">
      <c r="A2156" s="5" t="s">
        <v>118</v>
      </c>
      <c r="B2156">
        <f>VLOOKUP(A2156,Table1[[Item Purchased]:[Subscription Status]],8,FALSE)</f>
        <v>4.5</v>
      </c>
    </row>
    <row r="2157" spans="1:2" x14ac:dyDescent="0.3">
      <c r="A2157" s="6" t="s">
        <v>65</v>
      </c>
      <c r="B2157">
        <f>VLOOKUP(A2157,Table1[[Item Purchased]:[Subscription Status]],8,FALSE)</f>
        <v>4.8</v>
      </c>
    </row>
    <row r="2158" spans="1:2" x14ac:dyDescent="0.3">
      <c r="A2158" s="5" t="s">
        <v>86</v>
      </c>
      <c r="B2158">
        <f>VLOOKUP(A2158,Table1[[Item Purchased]:[Subscription Status]],8,FALSE)</f>
        <v>2.8</v>
      </c>
    </row>
    <row r="2159" spans="1:2" x14ac:dyDescent="0.3">
      <c r="A2159" s="6" t="s">
        <v>65</v>
      </c>
      <c r="B2159">
        <f>VLOOKUP(A2159,Table1[[Item Purchased]:[Subscription Status]],8,FALSE)</f>
        <v>4.8</v>
      </c>
    </row>
    <row r="2160" spans="1:2" x14ac:dyDescent="0.3">
      <c r="A2160" s="5" t="s">
        <v>142</v>
      </c>
      <c r="B2160">
        <f>VLOOKUP(A2160,Table1[[Item Purchased]:[Subscription Status]],8,FALSE)</f>
        <v>4.5</v>
      </c>
    </row>
    <row r="2161" spans="1:2" x14ac:dyDescent="0.3">
      <c r="A2161" s="6" t="s">
        <v>54</v>
      </c>
      <c r="B2161">
        <f>VLOOKUP(A2161,Table1[[Item Purchased]:[Subscription Status]],8,FALSE)</f>
        <v>3.2</v>
      </c>
    </row>
    <row r="2162" spans="1:2" x14ac:dyDescent="0.3">
      <c r="A2162" s="5" t="s">
        <v>19</v>
      </c>
      <c r="B2162">
        <f>VLOOKUP(A2162,Table1[[Item Purchased]:[Subscription Status]],8,FALSE)</f>
        <v>3.1</v>
      </c>
    </row>
    <row r="2163" spans="1:2" x14ac:dyDescent="0.3">
      <c r="A2163" s="6" t="s">
        <v>80</v>
      </c>
      <c r="B2163">
        <f>VLOOKUP(A2163,Table1[[Item Purchased]:[Subscription Status]],8,FALSE)</f>
        <v>4.7</v>
      </c>
    </row>
    <row r="2164" spans="1:2" x14ac:dyDescent="0.3">
      <c r="A2164" s="5" t="s">
        <v>58</v>
      </c>
      <c r="B2164">
        <f>VLOOKUP(A2164,Table1[[Item Purchased]:[Subscription Status]],8,FALSE)</f>
        <v>3.2</v>
      </c>
    </row>
    <row r="2165" spans="1:2" x14ac:dyDescent="0.3">
      <c r="A2165" s="6" t="s">
        <v>70</v>
      </c>
      <c r="B2165">
        <f>VLOOKUP(A2165,Table1[[Item Purchased]:[Subscription Status]],8,FALSE)</f>
        <v>4.0999999999999996</v>
      </c>
    </row>
    <row r="2166" spans="1:2" x14ac:dyDescent="0.3">
      <c r="A2166" s="5" t="s">
        <v>40</v>
      </c>
      <c r="B2166">
        <f>VLOOKUP(A2166,Table1[[Item Purchased]:[Subscription Status]],8,FALSE)</f>
        <v>3.5</v>
      </c>
    </row>
    <row r="2167" spans="1:2" x14ac:dyDescent="0.3">
      <c r="A2167" s="6" t="s">
        <v>94</v>
      </c>
      <c r="B2167">
        <f>VLOOKUP(A2167,Table1[[Item Purchased]:[Subscription Status]],8,FALSE)</f>
        <v>3.3</v>
      </c>
    </row>
    <row r="2168" spans="1:2" x14ac:dyDescent="0.3">
      <c r="A2168" s="5" t="s">
        <v>101</v>
      </c>
      <c r="B2168">
        <f>VLOOKUP(A2168,Table1[[Item Purchased]:[Subscription Status]],8,FALSE)</f>
        <v>2.9</v>
      </c>
    </row>
    <row r="2169" spans="1:2" x14ac:dyDescent="0.3">
      <c r="A2169" s="6" t="s">
        <v>86</v>
      </c>
      <c r="B2169">
        <f>VLOOKUP(A2169,Table1[[Item Purchased]:[Subscription Status]],8,FALSE)</f>
        <v>2.8</v>
      </c>
    </row>
    <row r="2170" spans="1:2" x14ac:dyDescent="0.3">
      <c r="A2170" s="5" t="s">
        <v>65</v>
      </c>
      <c r="B2170">
        <f>VLOOKUP(A2170,Table1[[Item Purchased]:[Subscription Status]],8,FALSE)</f>
        <v>4.8</v>
      </c>
    </row>
    <row r="2171" spans="1:2" x14ac:dyDescent="0.3">
      <c r="A2171" s="6" t="s">
        <v>61</v>
      </c>
      <c r="B2171">
        <f>VLOOKUP(A2171,Table1[[Item Purchased]:[Subscription Status]],8,FALSE)</f>
        <v>2.6</v>
      </c>
    </row>
    <row r="2172" spans="1:2" x14ac:dyDescent="0.3">
      <c r="A2172" s="5" t="s">
        <v>29</v>
      </c>
      <c r="B2172">
        <f>VLOOKUP(A2172,Table1[[Item Purchased]:[Subscription Status]],8,FALSE)</f>
        <v>3.1</v>
      </c>
    </row>
    <row r="2173" spans="1:2" x14ac:dyDescent="0.3">
      <c r="A2173" s="6" t="s">
        <v>58</v>
      </c>
      <c r="B2173">
        <f>VLOOKUP(A2173,Table1[[Item Purchased]:[Subscription Status]],8,FALSE)</f>
        <v>3.2</v>
      </c>
    </row>
    <row r="2174" spans="1:2" x14ac:dyDescent="0.3">
      <c r="A2174" s="5" t="s">
        <v>86</v>
      </c>
      <c r="B2174">
        <f>VLOOKUP(A2174,Table1[[Item Purchased]:[Subscription Status]],8,FALSE)</f>
        <v>2.8</v>
      </c>
    </row>
    <row r="2175" spans="1:2" x14ac:dyDescent="0.3">
      <c r="A2175" s="6" t="s">
        <v>142</v>
      </c>
      <c r="B2175">
        <f>VLOOKUP(A2175,Table1[[Item Purchased]:[Subscription Status]],8,FALSE)</f>
        <v>4.5</v>
      </c>
    </row>
    <row r="2176" spans="1:2" x14ac:dyDescent="0.3">
      <c r="A2176" s="5" t="s">
        <v>131</v>
      </c>
      <c r="B2176">
        <f>VLOOKUP(A2176,Table1[[Item Purchased]:[Subscription Status]],8,FALSE)</f>
        <v>4.7</v>
      </c>
    </row>
    <row r="2177" spans="1:2" x14ac:dyDescent="0.3">
      <c r="A2177" s="6" t="s">
        <v>80</v>
      </c>
      <c r="B2177">
        <f>VLOOKUP(A2177,Table1[[Item Purchased]:[Subscription Status]],8,FALSE)</f>
        <v>4.7</v>
      </c>
    </row>
    <row r="2178" spans="1:2" x14ac:dyDescent="0.3">
      <c r="A2178" s="5" t="s">
        <v>132</v>
      </c>
      <c r="B2178">
        <f>VLOOKUP(A2178,Table1[[Item Purchased]:[Subscription Status]],8,FALSE)</f>
        <v>4.5999999999999996</v>
      </c>
    </row>
    <row r="2179" spans="1:2" x14ac:dyDescent="0.3">
      <c r="A2179" s="6" t="s">
        <v>142</v>
      </c>
      <c r="B2179">
        <f>VLOOKUP(A2179,Table1[[Item Purchased]:[Subscription Status]],8,FALSE)</f>
        <v>4.5</v>
      </c>
    </row>
    <row r="2180" spans="1:2" x14ac:dyDescent="0.3">
      <c r="A2180" s="5" t="s">
        <v>105</v>
      </c>
      <c r="B2180">
        <f>VLOOKUP(A2180,Table1[[Item Purchased]:[Subscription Status]],8,FALSE)</f>
        <v>3.6</v>
      </c>
    </row>
    <row r="2181" spans="1:2" x14ac:dyDescent="0.3">
      <c r="A2181" s="6" t="s">
        <v>124</v>
      </c>
      <c r="B2181">
        <f>VLOOKUP(A2181,Table1[[Item Purchased]:[Subscription Status]],8,FALSE)</f>
        <v>2.9</v>
      </c>
    </row>
    <row r="2182" spans="1:2" x14ac:dyDescent="0.3">
      <c r="A2182" s="5" t="s">
        <v>61</v>
      </c>
      <c r="B2182">
        <f>VLOOKUP(A2182,Table1[[Item Purchased]:[Subscription Status]],8,FALSE)</f>
        <v>2.6</v>
      </c>
    </row>
    <row r="2183" spans="1:2" x14ac:dyDescent="0.3">
      <c r="A2183" s="6" t="s">
        <v>65</v>
      </c>
      <c r="B2183">
        <f>VLOOKUP(A2183,Table1[[Item Purchased]:[Subscription Status]],8,FALSE)</f>
        <v>4.8</v>
      </c>
    </row>
    <row r="2184" spans="1:2" x14ac:dyDescent="0.3">
      <c r="A2184" s="5" t="s">
        <v>19</v>
      </c>
      <c r="B2184">
        <f>VLOOKUP(A2184,Table1[[Item Purchased]:[Subscription Status]],8,FALSE)</f>
        <v>3.1</v>
      </c>
    </row>
    <row r="2185" spans="1:2" x14ac:dyDescent="0.3">
      <c r="A2185" s="6" t="s">
        <v>58</v>
      </c>
      <c r="B2185">
        <f>VLOOKUP(A2185,Table1[[Item Purchased]:[Subscription Status]],8,FALSE)</f>
        <v>3.2</v>
      </c>
    </row>
    <row r="2186" spans="1:2" x14ac:dyDescent="0.3">
      <c r="A2186" s="5" t="s">
        <v>70</v>
      </c>
      <c r="B2186">
        <f>VLOOKUP(A2186,Table1[[Item Purchased]:[Subscription Status]],8,FALSE)</f>
        <v>4.0999999999999996</v>
      </c>
    </row>
    <row r="2187" spans="1:2" x14ac:dyDescent="0.3">
      <c r="A2187" s="6" t="s">
        <v>58</v>
      </c>
      <c r="B2187">
        <f>VLOOKUP(A2187,Table1[[Item Purchased]:[Subscription Status]],8,FALSE)</f>
        <v>3.2</v>
      </c>
    </row>
    <row r="2188" spans="1:2" x14ac:dyDescent="0.3">
      <c r="A2188" s="5" t="s">
        <v>40</v>
      </c>
      <c r="B2188">
        <f>VLOOKUP(A2188,Table1[[Item Purchased]:[Subscription Status]],8,FALSE)</f>
        <v>3.5</v>
      </c>
    </row>
    <row r="2189" spans="1:2" x14ac:dyDescent="0.3">
      <c r="A2189" s="6" t="s">
        <v>19</v>
      </c>
      <c r="B2189">
        <f>VLOOKUP(A2189,Table1[[Item Purchased]:[Subscription Status]],8,FALSE)</f>
        <v>3.1</v>
      </c>
    </row>
    <row r="2190" spans="1:2" x14ac:dyDescent="0.3">
      <c r="A2190" s="5" t="s">
        <v>61</v>
      </c>
      <c r="B2190">
        <f>VLOOKUP(A2190,Table1[[Item Purchased]:[Subscription Status]],8,FALSE)</f>
        <v>2.6</v>
      </c>
    </row>
    <row r="2191" spans="1:2" x14ac:dyDescent="0.3">
      <c r="A2191" s="6" t="s">
        <v>19</v>
      </c>
      <c r="B2191">
        <f>VLOOKUP(A2191,Table1[[Item Purchased]:[Subscription Status]],8,FALSE)</f>
        <v>3.1</v>
      </c>
    </row>
    <row r="2192" spans="1:2" x14ac:dyDescent="0.3">
      <c r="A2192" s="5" t="s">
        <v>132</v>
      </c>
      <c r="B2192">
        <f>VLOOKUP(A2192,Table1[[Item Purchased]:[Subscription Status]],8,FALSE)</f>
        <v>4.5999999999999996</v>
      </c>
    </row>
    <row r="2193" spans="1:2" x14ac:dyDescent="0.3">
      <c r="A2193" s="6" t="s">
        <v>19</v>
      </c>
      <c r="B2193">
        <f>VLOOKUP(A2193,Table1[[Item Purchased]:[Subscription Status]],8,FALSE)</f>
        <v>3.1</v>
      </c>
    </row>
    <row r="2194" spans="1:2" x14ac:dyDescent="0.3">
      <c r="A2194" s="5" t="s">
        <v>118</v>
      </c>
      <c r="B2194">
        <f>VLOOKUP(A2194,Table1[[Item Purchased]:[Subscription Status]],8,FALSE)</f>
        <v>4.5</v>
      </c>
    </row>
    <row r="2195" spans="1:2" x14ac:dyDescent="0.3">
      <c r="A2195" s="6" t="s">
        <v>54</v>
      </c>
      <c r="B2195">
        <f>VLOOKUP(A2195,Table1[[Item Purchased]:[Subscription Status]],8,FALSE)</f>
        <v>3.2</v>
      </c>
    </row>
    <row r="2196" spans="1:2" x14ac:dyDescent="0.3">
      <c r="A2196" s="5" t="s">
        <v>124</v>
      </c>
      <c r="B2196">
        <f>VLOOKUP(A2196,Table1[[Item Purchased]:[Subscription Status]],8,FALSE)</f>
        <v>2.9</v>
      </c>
    </row>
    <row r="2197" spans="1:2" x14ac:dyDescent="0.3">
      <c r="A2197" s="6" t="s">
        <v>33</v>
      </c>
      <c r="B2197">
        <f>VLOOKUP(A2197,Table1[[Item Purchased]:[Subscription Status]],8,FALSE)</f>
        <v>3.1</v>
      </c>
    </row>
    <row r="2198" spans="1:2" x14ac:dyDescent="0.3">
      <c r="A2198" s="5" t="s">
        <v>80</v>
      </c>
      <c r="B2198">
        <f>VLOOKUP(A2198,Table1[[Item Purchased]:[Subscription Status]],8,FALSE)</f>
        <v>4.7</v>
      </c>
    </row>
    <row r="2199" spans="1:2" x14ac:dyDescent="0.3">
      <c r="A2199" s="6" t="s">
        <v>136</v>
      </c>
      <c r="B2199">
        <f>VLOOKUP(A2199,Table1[[Item Purchased]:[Subscription Status]],8,FALSE)</f>
        <v>4.8</v>
      </c>
    </row>
    <row r="2200" spans="1:2" x14ac:dyDescent="0.3">
      <c r="A2200" s="5" t="s">
        <v>118</v>
      </c>
      <c r="B2200">
        <f>VLOOKUP(A2200,Table1[[Item Purchased]:[Subscription Status]],8,FALSE)</f>
        <v>4.5</v>
      </c>
    </row>
    <row r="2201" spans="1:2" x14ac:dyDescent="0.3">
      <c r="A2201" s="6" t="s">
        <v>118</v>
      </c>
      <c r="B2201">
        <f>VLOOKUP(A2201,Table1[[Item Purchased]:[Subscription Status]],8,FALSE)</f>
        <v>4.5</v>
      </c>
    </row>
    <row r="2202" spans="1:2" x14ac:dyDescent="0.3">
      <c r="A2202" s="5" t="s">
        <v>142</v>
      </c>
      <c r="B2202">
        <f>VLOOKUP(A2202,Table1[[Item Purchased]:[Subscription Status]],8,FALSE)</f>
        <v>4.5</v>
      </c>
    </row>
    <row r="2203" spans="1:2" x14ac:dyDescent="0.3">
      <c r="A2203" s="6" t="s">
        <v>94</v>
      </c>
      <c r="B2203">
        <f>VLOOKUP(A2203,Table1[[Item Purchased]:[Subscription Status]],8,FALSE)</f>
        <v>3.3</v>
      </c>
    </row>
    <row r="2204" spans="1:2" x14ac:dyDescent="0.3">
      <c r="A2204" s="5" t="s">
        <v>80</v>
      </c>
      <c r="B2204">
        <f>VLOOKUP(A2204,Table1[[Item Purchased]:[Subscription Status]],8,FALSE)</f>
        <v>4.7</v>
      </c>
    </row>
    <row r="2205" spans="1:2" x14ac:dyDescent="0.3">
      <c r="A2205" s="6" t="s">
        <v>80</v>
      </c>
      <c r="B2205">
        <f>VLOOKUP(A2205,Table1[[Item Purchased]:[Subscription Status]],8,FALSE)</f>
        <v>4.7</v>
      </c>
    </row>
    <row r="2206" spans="1:2" x14ac:dyDescent="0.3">
      <c r="A2206" s="5" t="s">
        <v>33</v>
      </c>
      <c r="B2206">
        <f>VLOOKUP(A2206,Table1[[Item Purchased]:[Subscription Status]],8,FALSE)</f>
        <v>3.1</v>
      </c>
    </row>
    <row r="2207" spans="1:2" x14ac:dyDescent="0.3">
      <c r="A2207" s="6" t="s">
        <v>29</v>
      </c>
      <c r="B2207">
        <f>VLOOKUP(A2207,Table1[[Item Purchased]:[Subscription Status]],8,FALSE)</f>
        <v>3.1</v>
      </c>
    </row>
    <row r="2208" spans="1:2" x14ac:dyDescent="0.3">
      <c r="A2208" s="5" t="s">
        <v>40</v>
      </c>
      <c r="B2208">
        <f>VLOOKUP(A2208,Table1[[Item Purchased]:[Subscription Status]],8,FALSE)</f>
        <v>3.5</v>
      </c>
    </row>
    <row r="2209" spans="1:2" x14ac:dyDescent="0.3">
      <c r="A2209" s="6" t="s">
        <v>65</v>
      </c>
      <c r="B2209">
        <f>VLOOKUP(A2209,Table1[[Item Purchased]:[Subscription Status]],8,FALSE)</f>
        <v>4.8</v>
      </c>
    </row>
    <row r="2210" spans="1:2" x14ac:dyDescent="0.3">
      <c r="A2210" s="5" t="s">
        <v>118</v>
      </c>
      <c r="B2210">
        <f>VLOOKUP(A2210,Table1[[Item Purchased]:[Subscription Status]],8,FALSE)</f>
        <v>4.5</v>
      </c>
    </row>
    <row r="2211" spans="1:2" x14ac:dyDescent="0.3">
      <c r="A2211" s="6" t="s">
        <v>40</v>
      </c>
      <c r="B2211">
        <f>VLOOKUP(A2211,Table1[[Item Purchased]:[Subscription Status]],8,FALSE)</f>
        <v>3.5</v>
      </c>
    </row>
    <row r="2212" spans="1:2" x14ac:dyDescent="0.3">
      <c r="A2212" s="5" t="s">
        <v>88</v>
      </c>
      <c r="B2212">
        <f>VLOOKUP(A2212,Table1[[Item Purchased]:[Subscription Status]],8,FALSE)</f>
        <v>4.0999999999999996</v>
      </c>
    </row>
    <row r="2213" spans="1:2" x14ac:dyDescent="0.3">
      <c r="A2213" s="6" t="s">
        <v>29</v>
      </c>
      <c r="B2213">
        <f>VLOOKUP(A2213,Table1[[Item Purchased]:[Subscription Status]],8,FALSE)</f>
        <v>3.1</v>
      </c>
    </row>
    <row r="2214" spans="1:2" x14ac:dyDescent="0.3">
      <c r="A2214" s="5" t="s">
        <v>94</v>
      </c>
      <c r="B2214">
        <f>VLOOKUP(A2214,Table1[[Item Purchased]:[Subscription Status]],8,FALSE)</f>
        <v>3.3</v>
      </c>
    </row>
    <row r="2215" spans="1:2" x14ac:dyDescent="0.3">
      <c r="A2215" s="6" t="s">
        <v>123</v>
      </c>
      <c r="B2215">
        <f>VLOOKUP(A2215,Table1[[Item Purchased]:[Subscription Status]],8,FALSE)</f>
        <v>4.5999999999999996</v>
      </c>
    </row>
    <row r="2216" spans="1:2" x14ac:dyDescent="0.3">
      <c r="A2216" s="5" t="s">
        <v>132</v>
      </c>
      <c r="B2216">
        <f>VLOOKUP(A2216,Table1[[Item Purchased]:[Subscription Status]],8,FALSE)</f>
        <v>4.5999999999999996</v>
      </c>
    </row>
    <row r="2217" spans="1:2" x14ac:dyDescent="0.3">
      <c r="A2217" s="6" t="s">
        <v>40</v>
      </c>
      <c r="B2217">
        <f>VLOOKUP(A2217,Table1[[Item Purchased]:[Subscription Status]],8,FALSE)</f>
        <v>3.5</v>
      </c>
    </row>
    <row r="2218" spans="1:2" x14ac:dyDescent="0.3">
      <c r="A2218" s="5" t="s">
        <v>94</v>
      </c>
      <c r="B2218">
        <f>VLOOKUP(A2218,Table1[[Item Purchased]:[Subscription Status]],8,FALSE)</f>
        <v>3.3</v>
      </c>
    </row>
    <row r="2219" spans="1:2" x14ac:dyDescent="0.3">
      <c r="A2219" s="6" t="s">
        <v>105</v>
      </c>
      <c r="B2219">
        <f>VLOOKUP(A2219,Table1[[Item Purchased]:[Subscription Status]],8,FALSE)</f>
        <v>3.6</v>
      </c>
    </row>
    <row r="2220" spans="1:2" x14ac:dyDescent="0.3">
      <c r="A2220" s="5" t="s">
        <v>88</v>
      </c>
      <c r="B2220">
        <f>VLOOKUP(A2220,Table1[[Item Purchased]:[Subscription Status]],8,FALSE)</f>
        <v>4.0999999999999996</v>
      </c>
    </row>
    <row r="2221" spans="1:2" x14ac:dyDescent="0.3">
      <c r="A2221" s="6" t="s">
        <v>19</v>
      </c>
      <c r="B2221">
        <f>VLOOKUP(A2221,Table1[[Item Purchased]:[Subscription Status]],8,FALSE)</f>
        <v>3.1</v>
      </c>
    </row>
    <row r="2222" spans="1:2" x14ac:dyDescent="0.3">
      <c r="A2222" s="5" t="s">
        <v>132</v>
      </c>
      <c r="B2222">
        <f>VLOOKUP(A2222,Table1[[Item Purchased]:[Subscription Status]],8,FALSE)</f>
        <v>4.5999999999999996</v>
      </c>
    </row>
    <row r="2223" spans="1:2" x14ac:dyDescent="0.3">
      <c r="A2223" s="6" t="s">
        <v>58</v>
      </c>
      <c r="B2223">
        <f>VLOOKUP(A2223,Table1[[Item Purchased]:[Subscription Status]],8,FALSE)</f>
        <v>3.2</v>
      </c>
    </row>
    <row r="2224" spans="1:2" x14ac:dyDescent="0.3">
      <c r="A2224" s="5" t="s">
        <v>94</v>
      </c>
      <c r="B2224">
        <f>VLOOKUP(A2224,Table1[[Item Purchased]:[Subscription Status]],8,FALSE)</f>
        <v>3.3</v>
      </c>
    </row>
    <row r="2225" spans="1:2" x14ac:dyDescent="0.3">
      <c r="A2225" s="6" t="s">
        <v>40</v>
      </c>
      <c r="B2225">
        <f>VLOOKUP(A2225,Table1[[Item Purchased]:[Subscription Status]],8,FALSE)</f>
        <v>3.5</v>
      </c>
    </row>
    <row r="2226" spans="1:2" x14ac:dyDescent="0.3">
      <c r="A2226" s="5" t="s">
        <v>142</v>
      </c>
      <c r="B2226">
        <f>VLOOKUP(A2226,Table1[[Item Purchased]:[Subscription Status]],8,FALSE)</f>
        <v>4.5</v>
      </c>
    </row>
    <row r="2227" spans="1:2" x14ac:dyDescent="0.3">
      <c r="A2227" s="6" t="s">
        <v>132</v>
      </c>
      <c r="B2227">
        <f>VLOOKUP(A2227,Table1[[Item Purchased]:[Subscription Status]],8,FALSE)</f>
        <v>4.5999999999999996</v>
      </c>
    </row>
    <row r="2228" spans="1:2" x14ac:dyDescent="0.3">
      <c r="A2228" s="5" t="s">
        <v>54</v>
      </c>
      <c r="B2228">
        <f>VLOOKUP(A2228,Table1[[Item Purchased]:[Subscription Status]],8,FALSE)</f>
        <v>3.2</v>
      </c>
    </row>
    <row r="2229" spans="1:2" x14ac:dyDescent="0.3">
      <c r="A2229" s="6" t="s">
        <v>118</v>
      </c>
      <c r="B2229">
        <f>VLOOKUP(A2229,Table1[[Item Purchased]:[Subscription Status]],8,FALSE)</f>
        <v>4.5</v>
      </c>
    </row>
    <row r="2230" spans="1:2" x14ac:dyDescent="0.3">
      <c r="A2230" s="5" t="s">
        <v>142</v>
      </c>
      <c r="B2230">
        <f>VLOOKUP(A2230,Table1[[Item Purchased]:[Subscription Status]],8,FALSE)</f>
        <v>4.5</v>
      </c>
    </row>
    <row r="2231" spans="1:2" x14ac:dyDescent="0.3">
      <c r="A2231" s="6" t="s">
        <v>94</v>
      </c>
      <c r="B2231">
        <f>VLOOKUP(A2231,Table1[[Item Purchased]:[Subscription Status]],8,FALSE)</f>
        <v>3.3</v>
      </c>
    </row>
    <row r="2232" spans="1:2" x14ac:dyDescent="0.3">
      <c r="A2232" s="5" t="s">
        <v>49</v>
      </c>
      <c r="B2232">
        <f>VLOOKUP(A2232,Table1[[Item Purchased]:[Subscription Status]],8,FALSE)</f>
        <v>2.9</v>
      </c>
    </row>
    <row r="2233" spans="1:2" x14ac:dyDescent="0.3">
      <c r="A2233" s="6" t="s">
        <v>101</v>
      </c>
      <c r="B2233">
        <f>VLOOKUP(A2233,Table1[[Item Purchased]:[Subscription Status]],8,FALSE)</f>
        <v>2.9</v>
      </c>
    </row>
    <row r="2234" spans="1:2" x14ac:dyDescent="0.3">
      <c r="A2234" s="5" t="s">
        <v>70</v>
      </c>
      <c r="B2234">
        <f>VLOOKUP(A2234,Table1[[Item Purchased]:[Subscription Status]],8,FALSE)</f>
        <v>4.0999999999999996</v>
      </c>
    </row>
    <row r="2235" spans="1:2" x14ac:dyDescent="0.3">
      <c r="A2235" s="6" t="s">
        <v>19</v>
      </c>
      <c r="B2235">
        <f>VLOOKUP(A2235,Table1[[Item Purchased]:[Subscription Status]],8,FALSE)</f>
        <v>3.1</v>
      </c>
    </row>
    <row r="2236" spans="1:2" x14ac:dyDescent="0.3">
      <c r="A2236" s="5" t="s">
        <v>136</v>
      </c>
      <c r="B2236">
        <f>VLOOKUP(A2236,Table1[[Item Purchased]:[Subscription Status]],8,FALSE)</f>
        <v>4.8</v>
      </c>
    </row>
    <row r="2237" spans="1:2" x14ac:dyDescent="0.3">
      <c r="A2237" s="6" t="s">
        <v>124</v>
      </c>
      <c r="B2237">
        <f>VLOOKUP(A2237,Table1[[Item Purchased]:[Subscription Status]],8,FALSE)</f>
        <v>2.9</v>
      </c>
    </row>
    <row r="2238" spans="1:2" x14ac:dyDescent="0.3">
      <c r="A2238" s="5" t="s">
        <v>112</v>
      </c>
      <c r="B2238">
        <f>VLOOKUP(A2238,Table1[[Item Purchased]:[Subscription Status]],8,FALSE)</f>
        <v>4.5999999999999996</v>
      </c>
    </row>
    <row r="2239" spans="1:2" x14ac:dyDescent="0.3">
      <c r="A2239" s="6" t="s">
        <v>40</v>
      </c>
      <c r="B2239">
        <f>VLOOKUP(A2239,Table1[[Item Purchased]:[Subscription Status]],8,FALSE)</f>
        <v>3.5</v>
      </c>
    </row>
    <row r="2240" spans="1:2" x14ac:dyDescent="0.3">
      <c r="A2240" s="5" t="s">
        <v>49</v>
      </c>
      <c r="B2240">
        <f>VLOOKUP(A2240,Table1[[Item Purchased]:[Subscription Status]],8,FALSE)</f>
        <v>2.9</v>
      </c>
    </row>
    <row r="2241" spans="1:2" x14ac:dyDescent="0.3">
      <c r="A2241" s="6" t="s">
        <v>105</v>
      </c>
      <c r="B2241">
        <f>VLOOKUP(A2241,Table1[[Item Purchased]:[Subscription Status]],8,FALSE)</f>
        <v>3.6</v>
      </c>
    </row>
    <row r="2242" spans="1:2" x14ac:dyDescent="0.3">
      <c r="A2242" s="5" t="s">
        <v>40</v>
      </c>
      <c r="B2242">
        <f>VLOOKUP(A2242,Table1[[Item Purchased]:[Subscription Status]],8,FALSE)</f>
        <v>3.5</v>
      </c>
    </row>
    <row r="2243" spans="1:2" x14ac:dyDescent="0.3">
      <c r="A2243" s="6" t="s">
        <v>101</v>
      </c>
      <c r="B2243">
        <f>VLOOKUP(A2243,Table1[[Item Purchased]:[Subscription Status]],8,FALSE)</f>
        <v>2.9</v>
      </c>
    </row>
    <row r="2244" spans="1:2" x14ac:dyDescent="0.3">
      <c r="A2244" s="5" t="s">
        <v>86</v>
      </c>
      <c r="B2244">
        <f>VLOOKUP(A2244,Table1[[Item Purchased]:[Subscription Status]],8,FALSE)</f>
        <v>2.8</v>
      </c>
    </row>
    <row r="2245" spans="1:2" x14ac:dyDescent="0.3">
      <c r="A2245" s="6" t="s">
        <v>54</v>
      </c>
      <c r="B2245">
        <f>VLOOKUP(A2245,Table1[[Item Purchased]:[Subscription Status]],8,FALSE)</f>
        <v>3.2</v>
      </c>
    </row>
    <row r="2246" spans="1:2" x14ac:dyDescent="0.3">
      <c r="A2246" s="5" t="s">
        <v>58</v>
      </c>
      <c r="B2246">
        <f>VLOOKUP(A2246,Table1[[Item Purchased]:[Subscription Status]],8,FALSE)</f>
        <v>3.2</v>
      </c>
    </row>
    <row r="2247" spans="1:2" x14ac:dyDescent="0.3">
      <c r="A2247" s="6" t="s">
        <v>124</v>
      </c>
      <c r="B2247">
        <f>VLOOKUP(A2247,Table1[[Item Purchased]:[Subscription Status]],8,FALSE)</f>
        <v>2.9</v>
      </c>
    </row>
    <row r="2248" spans="1:2" x14ac:dyDescent="0.3">
      <c r="A2248" s="5" t="s">
        <v>101</v>
      </c>
      <c r="B2248">
        <f>VLOOKUP(A2248,Table1[[Item Purchased]:[Subscription Status]],8,FALSE)</f>
        <v>2.9</v>
      </c>
    </row>
    <row r="2249" spans="1:2" x14ac:dyDescent="0.3">
      <c r="A2249" s="6" t="s">
        <v>105</v>
      </c>
      <c r="B2249">
        <f>VLOOKUP(A2249,Table1[[Item Purchased]:[Subscription Status]],8,FALSE)</f>
        <v>3.6</v>
      </c>
    </row>
    <row r="2250" spans="1:2" x14ac:dyDescent="0.3">
      <c r="A2250" s="5" t="s">
        <v>112</v>
      </c>
      <c r="B2250">
        <f>VLOOKUP(A2250,Table1[[Item Purchased]:[Subscription Status]],8,FALSE)</f>
        <v>4.5999999999999996</v>
      </c>
    </row>
    <row r="2251" spans="1:2" x14ac:dyDescent="0.3">
      <c r="A2251" s="6" t="s">
        <v>142</v>
      </c>
      <c r="B2251">
        <f>VLOOKUP(A2251,Table1[[Item Purchased]:[Subscription Status]],8,FALSE)</f>
        <v>4.5</v>
      </c>
    </row>
    <row r="2252" spans="1:2" x14ac:dyDescent="0.3">
      <c r="A2252" s="5" t="s">
        <v>70</v>
      </c>
      <c r="B2252">
        <f>VLOOKUP(A2252,Table1[[Item Purchased]:[Subscription Status]],8,FALSE)</f>
        <v>4.0999999999999996</v>
      </c>
    </row>
    <row r="2253" spans="1:2" x14ac:dyDescent="0.3">
      <c r="A2253" s="6" t="s">
        <v>70</v>
      </c>
      <c r="B2253">
        <f>VLOOKUP(A2253,Table1[[Item Purchased]:[Subscription Status]],8,FALSE)</f>
        <v>4.0999999999999996</v>
      </c>
    </row>
    <row r="2254" spans="1:2" x14ac:dyDescent="0.3">
      <c r="A2254" s="5" t="s">
        <v>70</v>
      </c>
      <c r="B2254">
        <f>VLOOKUP(A2254,Table1[[Item Purchased]:[Subscription Status]],8,FALSE)</f>
        <v>4.0999999999999996</v>
      </c>
    </row>
    <row r="2255" spans="1:2" x14ac:dyDescent="0.3">
      <c r="A2255" s="6" t="s">
        <v>103</v>
      </c>
      <c r="B2255">
        <f>VLOOKUP(A2255,Table1[[Item Purchased]:[Subscription Status]],8,FALSE)</f>
        <v>3.6</v>
      </c>
    </row>
    <row r="2256" spans="1:2" x14ac:dyDescent="0.3">
      <c r="A2256" s="5" t="s">
        <v>132</v>
      </c>
      <c r="B2256">
        <f>VLOOKUP(A2256,Table1[[Item Purchased]:[Subscription Status]],8,FALSE)</f>
        <v>4.5999999999999996</v>
      </c>
    </row>
    <row r="2257" spans="1:2" x14ac:dyDescent="0.3">
      <c r="A2257" s="6" t="s">
        <v>61</v>
      </c>
      <c r="B2257">
        <f>VLOOKUP(A2257,Table1[[Item Purchased]:[Subscription Status]],8,FALSE)</f>
        <v>2.6</v>
      </c>
    </row>
    <row r="2258" spans="1:2" x14ac:dyDescent="0.3">
      <c r="A2258" s="5" t="s">
        <v>19</v>
      </c>
      <c r="B2258">
        <f>VLOOKUP(A2258,Table1[[Item Purchased]:[Subscription Status]],8,FALSE)</f>
        <v>3.1</v>
      </c>
    </row>
    <row r="2259" spans="1:2" x14ac:dyDescent="0.3">
      <c r="A2259" s="6" t="s">
        <v>86</v>
      </c>
      <c r="B2259">
        <f>VLOOKUP(A2259,Table1[[Item Purchased]:[Subscription Status]],8,FALSE)</f>
        <v>2.8</v>
      </c>
    </row>
    <row r="2260" spans="1:2" x14ac:dyDescent="0.3">
      <c r="A2260" s="5" t="s">
        <v>112</v>
      </c>
      <c r="B2260">
        <f>VLOOKUP(A2260,Table1[[Item Purchased]:[Subscription Status]],8,FALSE)</f>
        <v>4.5999999999999996</v>
      </c>
    </row>
    <row r="2261" spans="1:2" x14ac:dyDescent="0.3">
      <c r="A2261" s="6" t="s">
        <v>33</v>
      </c>
      <c r="B2261">
        <f>VLOOKUP(A2261,Table1[[Item Purchased]:[Subscription Status]],8,FALSE)</f>
        <v>3.1</v>
      </c>
    </row>
    <row r="2262" spans="1:2" x14ac:dyDescent="0.3">
      <c r="A2262" s="5" t="s">
        <v>118</v>
      </c>
      <c r="B2262">
        <f>VLOOKUP(A2262,Table1[[Item Purchased]:[Subscription Status]],8,FALSE)</f>
        <v>4.5</v>
      </c>
    </row>
    <row r="2263" spans="1:2" x14ac:dyDescent="0.3">
      <c r="A2263" s="6" t="s">
        <v>131</v>
      </c>
      <c r="B2263">
        <f>VLOOKUP(A2263,Table1[[Item Purchased]:[Subscription Status]],8,FALSE)</f>
        <v>4.7</v>
      </c>
    </row>
    <row r="2264" spans="1:2" x14ac:dyDescent="0.3">
      <c r="A2264" s="5" t="s">
        <v>131</v>
      </c>
      <c r="B2264">
        <f>VLOOKUP(A2264,Table1[[Item Purchased]:[Subscription Status]],8,FALSE)</f>
        <v>4.7</v>
      </c>
    </row>
    <row r="2265" spans="1:2" x14ac:dyDescent="0.3">
      <c r="A2265" s="6" t="s">
        <v>118</v>
      </c>
      <c r="B2265">
        <f>VLOOKUP(A2265,Table1[[Item Purchased]:[Subscription Status]],8,FALSE)</f>
        <v>4.5</v>
      </c>
    </row>
    <row r="2266" spans="1:2" x14ac:dyDescent="0.3">
      <c r="A2266" s="5" t="s">
        <v>123</v>
      </c>
      <c r="B2266">
        <f>VLOOKUP(A2266,Table1[[Item Purchased]:[Subscription Status]],8,FALSE)</f>
        <v>4.5999999999999996</v>
      </c>
    </row>
    <row r="2267" spans="1:2" x14ac:dyDescent="0.3">
      <c r="A2267" s="6" t="s">
        <v>61</v>
      </c>
      <c r="B2267">
        <f>VLOOKUP(A2267,Table1[[Item Purchased]:[Subscription Status]],8,FALSE)</f>
        <v>2.6</v>
      </c>
    </row>
    <row r="2268" spans="1:2" x14ac:dyDescent="0.3">
      <c r="A2268" s="5" t="s">
        <v>80</v>
      </c>
      <c r="B2268">
        <f>VLOOKUP(A2268,Table1[[Item Purchased]:[Subscription Status]],8,FALSE)</f>
        <v>4.7</v>
      </c>
    </row>
    <row r="2269" spans="1:2" x14ac:dyDescent="0.3">
      <c r="A2269" s="6" t="s">
        <v>142</v>
      </c>
      <c r="B2269">
        <f>VLOOKUP(A2269,Table1[[Item Purchased]:[Subscription Status]],8,FALSE)</f>
        <v>4.5</v>
      </c>
    </row>
    <row r="2270" spans="1:2" x14ac:dyDescent="0.3">
      <c r="A2270" s="5" t="s">
        <v>29</v>
      </c>
      <c r="B2270">
        <f>VLOOKUP(A2270,Table1[[Item Purchased]:[Subscription Status]],8,FALSE)</f>
        <v>3.1</v>
      </c>
    </row>
    <row r="2271" spans="1:2" x14ac:dyDescent="0.3">
      <c r="A2271" s="6" t="s">
        <v>86</v>
      </c>
      <c r="B2271">
        <f>VLOOKUP(A2271,Table1[[Item Purchased]:[Subscription Status]],8,FALSE)</f>
        <v>2.8</v>
      </c>
    </row>
    <row r="2272" spans="1:2" x14ac:dyDescent="0.3">
      <c r="A2272" s="5" t="s">
        <v>19</v>
      </c>
      <c r="B2272">
        <f>VLOOKUP(A2272,Table1[[Item Purchased]:[Subscription Status]],8,FALSE)</f>
        <v>3.1</v>
      </c>
    </row>
    <row r="2273" spans="1:2" x14ac:dyDescent="0.3">
      <c r="A2273" s="6" t="s">
        <v>80</v>
      </c>
      <c r="B2273">
        <f>VLOOKUP(A2273,Table1[[Item Purchased]:[Subscription Status]],8,FALSE)</f>
        <v>4.7</v>
      </c>
    </row>
    <row r="2274" spans="1:2" x14ac:dyDescent="0.3">
      <c r="A2274" s="5" t="s">
        <v>101</v>
      </c>
      <c r="B2274">
        <f>VLOOKUP(A2274,Table1[[Item Purchased]:[Subscription Status]],8,FALSE)</f>
        <v>2.9</v>
      </c>
    </row>
    <row r="2275" spans="1:2" x14ac:dyDescent="0.3">
      <c r="A2275" s="6" t="s">
        <v>61</v>
      </c>
      <c r="B2275">
        <f>VLOOKUP(A2275,Table1[[Item Purchased]:[Subscription Status]],8,FALSE)</f>
        <v>2.6</v>
      </c>
    </row>
    <row r="2276" spans="1:2" x14ac:dyDescent="0.3">
      <c r="A2276" s="5" t="s">
        <v>80</v>
      </c>
      <c r="B2276">
        <f>VLOOKUP(A2276,Table1[[Item Purchased]:[Subscription Status]],8,FALSE)</f>
        <v>4.7</v>
      </c>
    </row>
    <row r="2277" spans="1:2" x14ac:dyDescent="0.3">
      <c r="A2277" s="6" t="s">
        <v>58</v>
      </c>
      <c r="B2277">
        <f>VLOOKUP(A2277,Table1[[Item Purchased]:[Subscription Status]],8,FALSE)</f>
        <v>3.2</v>
      </c>
    </row>
    <row r="2278" spans="1:2" x14ac:dyDescent="0.3">
      <c r="A2278" s="5" t="s">
        <v>33</v>
      </c>
      <c r="B2278">
        <f>VLOOKUP(A2278,Table1[[Item Purchased]:[Subscription Status]],8,FALSE)</f>
        <v>3.1</v>
      </c>
    </row>
    <row r="2279" spans="1:2" x14ac:dyDescent="0.3">
      <c r="A2279" s="6" t="s">
        <v>123</v>
      </c>
      <c r="B2279">
        <f>VLOOKUP(A2279,Table1[[Item Purchased]:[Subscription Status]],8,FALSE)</f>
        <v>4.5999999999999996</v>
      </c>
    </row>
    <row r="2280" spans="1:2" x14ac:dyDescent="0.3">
      <c r="A2280" s="5" t="s">
        <v>142</v>
      </c>
      <c r="B2280">
        <f>VLOOKUP(A2280,Table1[[Item Purchased]:[Subscription Status]],8,FALSE)</f>
        <v>4.5</v>
      </c>
    </row>
    <row r="2281" spans="1:2" x14ac:dyDescent="0.3">
      <c r="A2281" s="6" t="s">
        <v>49</v>
      </c>
      <c r="B2281">
        <f>VLOOKUP(A2281,Table1[[Item Purchased]:[Subscription Status]],8,FALSE)</f>
        <v>2.9</v>
      </c>
    </row>
    <row r="2282" spans="1:2" x14ac:dyDescent="0.3">
      <c r="A2282" s="5" t="s">
        <v>70</v>
      </c>
      <c r="B2282">
        <f>VLOOKUP(A2282,Table1[[Item Purchased]:[Subscription Status]],8,FALSE)</f>
        <v>4.0999999999999996</v>
      </c>
    </row>
    <row r="2283" spans="1:2" x14ac:dyDescent="0.3">
      <c r="A2283" s="6" t="s">
        <v>103</v>
      </c>
      <c r="B2283">
        <f>VLOOKUP(A2283,Table1[[Item Purchased]:[Subscription Status]],8,FALSE)</f>
        <v>3.6</v>
      </c>
    </row>
    <row r="2284" spans="1:2" x14ac:dyDescent="0.3">
      <c r="A2284" s="5" t="s">
        <v>49</v>
      </c>
      <c r="B2284">
        <f>VLOOKUP(A2284,Table1[[Item Purchased]:[Subscription Status]],8,FALSE)</f>
        <v>2.9</v>
      </c>
    </row>
    <row r="2285" spans="1:2" x14ac:dyDescent="0.3">
      <c r="A2285" s="6" t="s">
        <v>65</v>
      </c>
      <c r="B2285">
        <f>VLOOKUP(A2285,Table1[[Item Purchased]:[Subscription Status]],8,FALSE)</f>
        <v>4.8</v>
      </c>
    </row>
    <row r="2286" spans="1:2" x14ac:dyDescent="0.3">
      <c r="A2286" s="5" t="s">
        <v>19</v>
      </c>
      <c r="B2286">
        <f>VLOOKUP(A2286,Table1[[Item Purchased]:[Subscription Status]],8,FALSE)</f>
        <v>3.1</v>
      </c>
    </row>
    <row r="2287" spans="1:2" x14ac:dyDescent="0.3">
      <c r="A2287" s="6" t="s">
        <v>132</v>
      </c>
      <c r="B2287">
        <f>VLOOKUP(A2287,Table1[[Item Purchased]:[Subscription Status]],8,FALSE)</f>
        <v>4.5999999999999996</v>
      </c>
    </row>
    <row r="2288" spans="1:2" x14ac:dyDescent="0.3">
      <c r="A2288" s="5" t="s">
        <v>124</v>
      </c>
      <c r="B2288">
        <f>VLOOKUP(A2288,Table1[[Item Purchased]:[Subscription Status]],8,FALSE)</f>
        <v>2.9</v>
      </c>
    </row>
    <row r="2289" spans="1:2" x14ac:dyDescent="0.3">
      <c r="A2289" s="6" t="s">
        <v>19</v>
      </c>
      <c r="B2289">
        <f>VLOOKUP(A2289,Table1[[Item Purchased]:[Subscription Status]],8,FALSE)</f>
        <v>3.1</v>
      </c>
    </row>
    <row r="2290" spans="1:2" x14ac:dyDescent="0.3">
      <c r="A2290" s="5" t="s">
        <v>105</v>
      </c>
      <c r="B2290">
        <f>VLOOKUP(A2290,Table1[[Item Purchased]:[Subscription Status]],8,FALSE)</f>
        <v>3.6</v>
      </c>
    </row>
    <row r="2291" spans="1:2" x14ac:dyDescent="0.3">
      <c r="A2291" s="6" t="s">
        <v>58</v>
      </c>
      <c r="B2291">
        <f>VLOOKUP(A2291,Table1[[Item Purchased]:[Subscription Status]],8,FALSE)</f>
        <v>3.2</v>
      </c>
    </row>
    <row r="2292" spans="1:2" x14ac:dyDescent="0.3">
      <c r="A2292" s="5" t="s">
        <v>136</v>
      </c>
      <c r="B2292">
        <f>VLOOKUP(A2292,Table1[[Item Purchased]:[Subscription Status]],8,FALSE)</f>
        <v>4.8</v>
      </c>
    </row>
    <row r="2293" spans="1:2" x14ac:dyDescent="0.3">
      <c r="A2293" s="6" t="s">
        <v>61</v>
      </c>
      <c r="B2293">
        <f>VLOOKUP(A2293,Table1[[Item Purchased]:[Subscription Status]],8,FALSE)</f>
        <v>2.6</v>
      </c>
    </row>
    <row r="2294" spans="1:2" x14ac:dyDescent="0.3">
      <c r="A2294" s="5" t="s">
        <v>112</v>
      </c>
      <c r="B2294">
        <f>VLOOKUP(A2294,Table1[[Item Purchased]:[Subscription Status]],8,FALSE)</f>
        <v>4.5999999999999996</v>
      </c>
    </row>
    <row r="2295" spans="1:2" x14ac:dyDescent="0.3">
      <c r="A2295" s="6" t="s">
        <v>29</v>
      </c>
      <c r="B2295">
        <f>VLOOKUP(A2295,Table1[[Item Purchased]:[Subscription Status]],8,FALSE)</f>
        <v>3.1</v>
      </c>
    </row>
    <row r="2296" spans="1:2" x14ac:dyDescent="0.3">
      <c r="A2296" s="5" t="s">
        <v>88</v>
      </c>
      <c r="B2296">
        <f>VLOOKUP(A2296,Table1[[Item Purchased]:[Subscription Status]],8,FALSE)</f>
        <v>4.0999999999999996</v>
      </c>
    </row>
    <row r="2297" spans="1:2" x14ac:dyDescent="0.3">
      <c r="A2297" s="6" t="s">
        <v>123</v>
      </c>
      <c r="B2297">
        <f>VLOOKUP(A2297,Table1[[Item Purchased]:[Subscription Status]],8,FALSE)</f>
        <v>4.5999999999999996</v>
      </c>
    </row>
    <row r="2298" spans="1:2" x14ac:dyDescent="0.3">
      <c r="A2298" s="5" t="s">
        <v>142</v>
      </c>
      <c r="B2298">
        <f>VLOOKUP(A2298,Table1[[Item Purchased]:[Subscription Status]],8,FALSE)</f>
        <v>4.5</v>
      </c>
    </row>
    <row r="2299" spans="1:2" x14ac:dyDescent="0.3">
      <c r="A2299" s="6" t="s">
        <v>124</v>
      </c>
      <c r="B2299">
        <f>VLOOKUP(A2299,Table1[[Item Purchased]:[Subscription Status]],8,FALSE)</f>
        <v>2.9</v>
      </c>
    </row>
    <row r="2300" spans="1:2" x14ac:dyDescent="0.3">
      <c r="A2300" s="5" t="s">
        <v>65</v>
      </c>
      <c r="B2300">
        <f>VLOOKUP(A2300,Table1[[Item Purchased]:[Subscription Status]],8,FALSE)</f>
        <v>4.8</v>
      </c>
    </row>
    <row r="2301" spans="1:2" x14ac:dyDescent="0.3">
      <c r="A2301" s="6" t="s">
        <v>61</v>
      </c>
      <c r="B2301">
        <f>VLOOKUP(A2301,Table1[[Item Purchased]:[Subscription Status]],8,FALSE)</f>
        <v>2.6</v>
      </c>
    </row>
    <row r="2302" spans="1:2" x14ac:dyDescent="0.3">
      <c r="A2302" s="5" t="s">
        <v>61</v>
      </c>
      <c r="B2302">
        <f>VLOOKUP(A2302,Table1[[Item Purchased]:[Subscription Status]],8,FALSE)</f>
        <v>2.6</v>
      </c>
    </row>
    <row r="2303" spans="1:2" x14ac:dyDescent="0.3">
      <c r="A2303" s="6" t="s">
        <v>94</v>
      </c>
      <c r="B2303">
        <f>VLOOKUP(A2303,Table1[[Item Purchased]:[Subscription Status]],8,FALSE)</f>
        <v>3.3</v>
      </c>
    </row>
    <row r="2304" spans="1:2" x14ac:dyDescent="0.3">
      <c r="A2304" s="5" t="s">
        <v>132</v>
      </c>
      <c r="B2304">
        <f>VLOOKUP(A2304,Table1[[Item Purchased]:[Subscription Status]],8,FALSE)</f>
        <v>4.5999999999999996</v>
      </c>
    </row>
    <row r="2305" spans="1:2" x14ac:dyDescent="0.3">
      <c r="A2305" s="6" t="s">
        <v>88</v>
      </c>
      <c r="B2305">
        <f>VLOOKUP(A2305,Table1[[Item Purchased]:[Subscription Status]],8,FALSE)</f>
        <v>4.0999999999999996</v>
      </c>
    </row>
    <row r="2306" spans="1:2" x14ac:dyDescent="0.3">
      <c r="A2306" s="5" t="s">
        <v>103</v>
      </c>
      <c r="B2306">
        <f>VLOOKUP(A2306,Table1[[Item Purchased]:[Subscription Status]],8,FALSE)</f>
        <v>3.6</v>
      </c>
    </row>
    <row r="2307" spans="1:2" x14ac:dyDescent="0.3">
      <c r="A2307" s="6" t="s">
        <v>65</v>
      </c>
      <c r="B2307">
        <f>VLOOKUP(A2307,Table1[[Item Purchased]:[Subscription Status]],8,FALSE)</f>
        <v>4.8</v>
      </c>
    </row>
    <row r="2308" spans="1:2" x14ac:dyDescent="0.3">
      <c r="A2308" s="5" t="s">
        <v>142</v>
      </c>
      <c r="B2308">
        <f>VLOOKUP(A2308,Table1[[Item Purchased]:[Subscription Status]],8,FALSE)</f>
        <v>4.5</v>
      </c>
    </row>
    <row r="2309" spans="1:2" x14ac:dyDescent="0.3">
      <c r="A2309" s="6" t="s">
        <v>86</v>
      </c>
      <c r="B2309">
        <f>VLOOKUP(A2309,Table1[[Item Purchased]:[Subscription Status]],8,FALSE)</f>
        <v>2.8</v>
      </c>
    </row>
    <row r="2310" spans="1:2" x14ac:dyDescent="0.3">
      <c r="A2310" s="5" t="s">
        <v>88</v>
      </c>
      <c r="B2310">
        <f>VLOOKUP(A2310,Table1[[Item Purchased]:[Subscription Status]],8,FALSE)</f>
        <v>4.0999999999999996</v>
      </c>
    </row>
    <row r="2311" spans="1:2" x14ac:dyDescent="0.3">
      <c r="A2311" s="6" t="s">
        <v>80</v>
      </c>
      <c r="B2311">
        <f>VLOOKUP(A2311,Table1[[Item Purchased]:[Subscription Status]],8,FALSE)</f>
        <v>4.7</v>
      </c>
    </row>
    <row r="2312" spans="1:2" x14ac:dyDescent="0.3">
      <c r="A2312" s="5" t="s">
        <v>142</v>
      </c>
      <c r="B2312">
        <f>VLOOKUP(A2312,Table1[[Item Purchased]:[Subscription Status]],8,FALSE)</f>
        <v>4.5</v>
      </c>
    </row>
    <row r="2313" spans="1:2" x14ac:dyDescent="0.3">
      <c r="A2313" s="6" t="s">
        <v>49</v>
      </c>
      <c r="B2313">
        <f>VLOOKUP(A2313,Table1[[Item Purchased]:[Subscription Status]],8,FALSE)</f>
        <v>2.9</v>
      </c>
    </row>
    <row r="2314" spans="1:2" x14ac:dyDescent="0.3">
      <c r="A2314" s="5" t="s">
        <v>112</v>
      </c>
      <c r="B2314">
        <f>VLOOKUP(A2314,Table1[[Item Purchased]:[Subscription Status]],8,FALSE)</f>
        <v>4.5999999999999996</v>
      </c>
    </row>
    <row r="2315" spans="1:2" x14ac:dyDescent="0.3">
      <c r="A2315" s="6" t="s">
        <v>80</v>
      </c>
      <c r="B2315">
        <f>VLOOKUP(A2315,Table1[[Item Purchased]:[Subscription Status]],8,FALSE)</f>
        <v>4.7</v>
      </c>
    </row>
    <row r="2316" spans="1:2" x14ac:dyDescent="0.3">
      <c r="A2316" s="5" t="s">
        <v>65</v>
      </c>
      <c r="B2316">
        <f>VLOOKUP(A2316,Table1[[Item Purchased]:[Subscription Status]],8,FALSE)</f>
        <v>4.8</v>
      </c>
    </row>
    <row r="2317" spans="1:2" x14ac:dyDescent="0.3">
      <c r="A2317" s="6" t="s">
        <v>124</v>
      </c>
      <c r="B2317">
        <f>VLOOKUP(A2317,Table1[[Item Purchased]:[Subscription Status]],8,FALSE)</f>
        <v>2.9</v>
      </c>
    </row>
    <row r="2318" spans="1:2" x14ac:dyDescent="0.3">
      <c r="A2318" s="5" t="s">
        <v>49</v>
      </c>
      <c r="B2318">
        <f>VLOOKUP(A2318,Table1[[Item Purchased]:[Subscription Status]],8,FALSE)</f>
        <v>2.9</v>
      </c>
    </row>
    <row r="2319" spans="1:2" x14ac:dyDescent="0.3">
      <c r="A2319" s="6" t="s">
        <v>101</v>
      </c>
      <c r="B2319">
        <f>VLOOKUP(A2319,Table1[[Item Purchased]:[Subscription Status]],8,FALSE)</f>
        <v>2.9</v>
      </c>
    </row>
    <row r="2320" spans="1:2" x14ac:dyDescent="0.3">
      <c r="A2320" s="5" t="s">
        <v>103</v>
      </c>
      <c r="B2320">
        <f>VLOOKUP(A2320,Table1[[Item Purchased]:[Subscription Status]],8,FALSE)</f>
        <v>3.6</v>
      </c>
    </row>
    <row r="2321" spans="1:2" x14ac:dyDescent="0.3">
      <c r="A2321" s="6" t="s">
        <v>40</v>
      </c>
      <c r="B2321">
        <f>VLOOKUP(A2321,Table1[[Item Purchased]:[Subscription Status]],8,FALSE)</f>
        <v>3.5</v>
      </c>
    </row>
    <row r="2322" spans="1:2" x14ac:dyDescent="0.3">
      <c r="A2322" s="5" t="s">
        <v>70</v>
      </c>
      <c r="B2322">
        <f>VLOOKUP(A2322,Table1[[Item Purchased]:[Subscription Status]],8,FALSE)</f>
        <v>4.0999999999999996</v>
      </c>
    </row>
    <row r="2323" spans="1:2" x14ac:dyDescent="0.3">
      <c r="A2323" s="6" t="s">
        <v>40</v>
      </c>
      <c r="B2323">
        <f>VLOOKUP(A2323,Table1[[Item Purchased]:[Subscription Status]],8,FALSE)</f>
        <v>3.5</v>
      </c>
    </row>
    <row r="2324" spans="1:2" x14ac:dyDescent="0.3">
      <c r="A2324" s="5" t="s">
        <v>61</v>
      </c>
      <c r="B2324">
        <f>VLOOKUP(A2324,Table1[[Item Purchased]:[Subscription Status]],8,FALSE)</f>
        <v>2.6</v>
      </c>
    </row>
    <row r="2325" spans="1:2" x14ac:dyDescent="0.3">
      <c r="A2325" s="6" t="s">
        <v>142</v>
      </c>
      <c r="B2325">
        <f>VLOOKUP(A2325,Table1[[Item Purchased]:[Subscription Status]],8,FALSE)</f>
        <v>4.5</v>
      </c>
    </row>
    <row r="2326" spans="1:2" x14ac:dyDescent="0.3">
      <c r="A2326" s="5" t="s">
        <v>61</v>
      </c>
      <c r="B2326">
        <f>VLOOKUP(A2326,Table1[[Item Purchased]:[Subscription Status]],8,FALSE)</f>
        <v>2.6</v>
      </c>
    </row>
    <row r="2327" spans="1:2" x14ac:dyDescent="0.3">
      <c r="A2327" s="6" t="s">
        <v>136</v>
      </c>
      <c r="B2327">
        <f>VLOOKUP(A2327,Table1[[Item Purchased]:[Subscription Status]],8,FALSE)</f>
        <v>4.8</v>
      </c>
    </row>
    <row r="2328" spans="1:2" x14ac:dyDescent="0.3">
      <c r="A2328" s="5" t="s">
        <v>86</v>
      </c>
      <c r="B2328">
        <f>VLOOKUP(A2328,Table1[[Item Purchased]:[Subscription Status]],8,FALSE)</f>
        <v>2.8</v>
      </c>
    </row>
    <row r="2329" spans="1:2" x14ac:dyDescent="0.3">
      <c r="A2329" s="6" t="s">
        <v>86</v>
      </c>
      <c r="B2329">
        <f>VLOOKUP(A2329,Table1[[Item Purchased]:[Subscription Status]],8,FALSE)</f>
        <v>2.8</v>
      </c>
    </row>
    <row r="2330" spans="1:2" x14ac:dyDescent="0.3">
      <c r="A2330" s="5" t="s">
        <v>94</v>
      </c>
      <c r="B2330">
        <f>VLOOKUP(A2330,Table1[[Item Purchased]:[Subscription Status]],8,FALSE)</f>
        <v>3.3</v>
      </c>
    </row>
    <row r="2331" spans="1:2" x14ac:dyDescent="0.3">
      <c r="A2331" s="6" t="s">
        <v>123</v>
      </c>
      <c r="B2331">
        <f>VLOOKUP(A2331,Table1[[Item Purchased]:[Subscription Status]],8,FALSE)</f>
        <v>4.5999999999999996</v>
      </c>
    </row>
    <row r="2332" spans="1:2" x14ac:dyDescent="0.3">
      <c r="A2332" s="5" t="s">
        <v>131</v>
      </c>
      <c r="B2332">
        <f>VLOOKUP(A2332,Table1[[Item Purchased]:[Subscription Status]],8,FALSE)</f>
        <v>4.7</v>
      </c>
    </row>
    <row r="2333" spans="1:2" x14ac:dyDescent="0.3">
      <c r="A2333" s="6" t="s">
        <v>118</v>
      </c>
      <c r="B2333">
        <f>VLOOKUP(A2333,Table1[[Item Purchased]:[Subscription Status]],8,FALSE)</f>
        <v>4.5</v>
      </c>
    </row>
    <row r="2334" spans="1:2" x14ac:dyDescent="0.3">
      <c r="A2334" s="5" t="s">
        <v>118</v>
      </c>
      <c r="B2334">
        <f>VLOOKUP(A2334,Table1[[Item Purchased]:[Subscription Status]],8,FALSE)</f>
        <v>4.5</v>
      </c>
    </row>
    <row r="2335" spans="1:2" x14ac:dyDescent="0.3">
      <c r="A2335" s="6" t="s">
        <v>54</v>
      </c>
      <c r="B2335">
        <f>VLOOKUP(A2335,Table1[[Item Purchased]:[Subscription Status]],8,FALSE)</f>
        <v>3.2</v>
      </c>
    </row>
    <row r="2336" spans="1:2" x14ac:dyDescent="0.3">
      <c r="A2336" s="5" t="s">
        <v>136</v>
      </c>
      <c r="B2336">
        <f>VLOOKUP(A2336,Table1[[Item Purchased]:[Subscription Status]],8,FALSE)</f>
        <v>4.8</v>
      </c>
    </row>
    <row r="2337" spans="1:2" x14ac:dyDescent="0.3">
      <c r="A2337" s="6" t="s">
        <v>61</v>
      </c>
      <c r="B2337">
        <f>VLOOKUP(A2337,Table1[[Item Purchased]:[Subscription Status]],8,FALSE)</f>
        <v>2.6</v>
      </c>
    </row>
    <row r="2338" spans="1:2" x14ac:dyDescent="0.3">
      <c r="A2338" s="5" t="s">
        <v>132</v>
      </c>
      <c r="B2338">
        <f>VLOOKUP(A2338,Table1[[Item Purchased]:[Subscription Status]],8,FALSE)</f>
        <v>4.5999999999999996</v>
      </c>
    </row>
    <row r="2339" spans="1:2" x14ac:dyDescent="0.3">
      <c r="A2339" s="6" t="s">
        <v>136</v>
      </c>
      <c r="B2339">
        <f>VLOOKUP(A2339,Table1[[Item Purchased]:[Subscription Status]],8,FALSE)</f>
        <v>4.8</v>
      </c>
    </row>
    <row r="2340" spans="1:2" x14ac:dyDescent="0.3">
      <c r="A2340" s="5" t="s">
        <v>49</v>
      </c>
      <c r="B2340">
        <f>VLOOKUP(A2340,Table1[[Item Purchased]:[Subscription Status]],8,FALSE)</f>
        <v>2.9</v>
      </c>
    </row>
    <row r="2341" spans="1:2" x14ac:dyDescent="0.3">
      <c r="A2341" s="6" t="s">
        <v>54</v>
      </c>
      <c r="B2341">
        <f>VLOOKUP(A2341,Table1[[Item Purchased]:[Subscription Status]],8,FALSE)</f>
        <v>3.2</v>
      </c>
    </row>
    <row r="2342" spans="1:2" x14ac:dyDescent="0.3">
      <c r="A2342" s="5" t="s">
        <v>19</v>
      </c>
      <c r="B2342">
        <f>VLOOKUP(A2342,Table1[[Item Purchased]:[Subscription Status]],8,FALSE)</f>
        <v>3.1</v>
      </c>
    </row>
    <row r="2343" spans="1:2" x14ac:dyDescent="0.3">
      <c r="A2343" s="6" t="s">
        <v>101</v>
      </c>
      <c r="B2343">
        <f>VLOOKUP(A2343,Table1[[Item Purchased]:[Subscription Status]],8,FALSE)</f>
        <v>2.9</v>
      </c>
    </row>
    <row r="2344" spans="1:2" x14ac:dyDescent="0.3">
      <c r="A2344" s="5" t="s">
        <v>86</v>
      </c>
      <c r="B2344">
        <f>VLOOKUP(A2344,Table1[[Item Purchased]:[Subscription Status]],8,FALSE)</f>
        <v>2.8</v>
      </c>
    </row>
    <row r="2345" spans="1:2" x14ac:dyDescent="0.3">
      <c r="A2345" s="6" t="s">
        <v>124</v>
      </c>
      <c r="B2345">
        <f>VLOOKUP(A2345,Table1[[Item Purchased]:[Subscription Status]],8,FALSE)</f>
        <v>2.9</v>
      </c>
    </row>
    <row r="2346" spans="1:2" x14ac:dyDescent="0.3">
      <c r="A2346" s="5" t="s">
        <v>40</v>
      </c>
      <c r="B2346">
        <f>VLOOKUP(A2346,Table1[[Item Purchased]:[Subscription Status]],8,FALSE)</f>
        <v>3.5</v>
      </c>
    </row>
    <row r="2347" spans="1:2" x14ac:dyDescent="0.3">
      <c r="A2347" s="6" t="s">
        <v>112</v>
      </c>
      <c r="B2347">
        <f>VLOOKUP(A2347,Table1[[Item Purchased]:[Subscription Status]],8,FALSE)</f>
        <v>4.5999999999999996</v>
      </c>
    </row>
    <row r="2348" spans="1:2" x14ac:dyDescent="0.3">
      <c r="A2348" s="5" t="s">
        <v>101</v>
      </c>
      <c r="B2348">
        <f>VLOOKUP(A2348,Table1[[Item Purchased]:[Subscription Status]],8,FALSE)</f>
        <v>2.9</v>
      </c>
    </row>
    <row r="2349" spans="1:2" x14ac:dyDescent="0.3">
      <c r="A2349" s="6" t="s">
        <v>132</v>
      </c>
      <c r="B2349">
        <f>VLOOKUP(A2349,Table1[[Item Purchased]:[Subscription Status]],8,FALSE)</f>
        <v>4.5999999999999996</v>
      </c>
    </row>
    <row r="2350" spans="1:2" x14ac:dyDescent="0.3">
      <c r="A2350" s="5" t="s">
        <v>70</v>
      </c>
      <c r="B2350">
        <f>VLOOKUP(A2350,Table1[[Item Purchased]:[Subscription Status]],8,FALSE)</f>
        <v>4.0999999999999996</v>
      </c>
    </row>
    <row r="2351" spans="1:2" x14ac:dyDescent="0.3">
      <c r="A2351" s="6" t="s">
        <v>19</v>
      </c>
      <c r="B2351">
        <f>VLOOKUP(A2351,Table1[[Item Purchased]:[Subscription Status]],8,FALSE)</f>
        <v>3.1</v>
      </c>
    </row>
    <row r="2352" spans="1:2" x14ac:dyDescent="0.3">
      <c r="A2352" s="5" t="s">
        <v>70</v>
      </c>
      <c r="B2352">
        <f>VLOOKUP(A2352,Table1[[Item Purchased]:[Subscription Status]],8,FALSE)</f>
        <v>4.0999999999999996</v>
      </c>
    </row>
    <row r="2353" spans="1:2" x14ac:dyDescent="0.3">
      <c r="A2353" s="6" t="s">
        <v>29</v>
      </c>
      <c r="B2353">
        <f>VLOOKUP(A2353,Table1[[Item Purchased]:[Subscription Status]],8,FALSE)</f>
        <v>3.1</v>
      </c>
    </row>
    <row r="2354" spans="1:2" x14ac:dyDescent="0.3">
      <c r="A2354" s="5" t="s">
        <v>136</v>
      </c>
      <c r="B2354">
        <f>VLOOKUP(A2354,Table1[[Item Purchased]:[Subscription Status]],8,FALSE)</f>
        <v>4.8</v>
      </c>
    </row>
    <row r="2355" spans="1:2" x14ac:dyDescent="0.3">
      <c r="A2355" s="6" t="s">
        <v>65</v>
      </c>
      <c r="B2355">
        <f>VLOOKUP(A2355,Table1[[Item Purchased]:[Subscription Status]],8,FALSE)</f>
        <v>4.8</v>
      </c>
    </row>
    <row r="2356" spans="1:2" x14ac:dyDescent="0.3">
      <c r="A2356" s="5" t="s">
        <v>19</v>
      </c>
      <c r="B2356">
        <f>VLOOKUP(A2356,Table1[[Item Purchased]:[Subscription Status]],8,FALSE)</f>
        <v>3.1</v>
      </c>
    </row>
    <row r="2357" spans="1:2" x14ac:dyDescent="0.3">
      <c r="A2357" s="6" t="s">
        <v>86</v>
      </c>
      <c r="B2357">
        <f>VLOOKUP(A2357,Table1[[Item Purchased]:[Subscription Status]],8,FALSE)</f>
        <v>2.8</v>
      </c>
    </row>
    <row r="2358" spans="1:2" x14ac:dyDescent="0.3">
      <c r="A2358" s="5" t="s">
        <v>131</v>
      </c>
      <c r="B2358">
        <f>VLOOKUP(A2358,Table1[[Item Purchased]:[Subscription Status]],8,FALSE)</f>
        <v>4.7</v>
      </c>
    </row>
    <row r="2359" spans="1:2" x14ac:dyDescent="0.3">
      <c r="A2359" s="6" t="s">
        <v>54</v>
      </c>
      <c r="B2359">
        <f>VLOOKUP(A2359,Table1[[Item Purchased]:[Subscription Status]],8,FALSE)</f>
        <v>3.2</v>
      </c>
    </row>
    <row r="2360" spans="1:2" x14ac:dyDescent="0.3">
      <c r="A2360" s="5" t="s">
        <v>29</v>
      </c>
      <c r="B2360">
        <f>VLOOKUP(A2360,Table1[[Item Purchased]:[Subscription Status]],8,FALSE)</f>
        <v>3.1</v>
      </c>
    </row>
    <row r="2361" spans="1:2" x14ac:dyDescent="0.3">
      <c r="A2361" s="6" t="s">
        <v>118</v>
      </c>
      <c r="B2361">
        <f>VLOOKUP(A2361,Table1[[Item Purchased]:[Subscription Status]],8,FALSE)</f>
        <v>4.5</v>
      </c>
    </row>
    <row r="2362" spans="1:2" x14ac:dyDescent="0.3">
      <c r="A2362" s="5" t="s">
        <v>65</v>
      </c>
      <c r="B2362">
        <f>VLOOKUP(A2362,Table1[[Item Purchased]:[Subscription Status]],8,FALSE)</f>
        <v>4.8</v>
      </c>
    </row>
    <row r="2363" spans="1:2" x14ac:dyDescent="0.3">
      <c r="A2363" s="6" t="s">
        <v>118</v>
      </c>
      <c r="B2363">
        <f>VLOOKUP(A2363,Table1[[Item Purchased]:[Subscription Status]],8,FALSE)</f>
        <v>4.5</v>
      </c>
    </row>
    <row r="2364" spans="1:2" x14ac:dyDescent="0.3">
      <c r="A2364" s="5" t="s">
        <v>33</v>
      </c>
      <c r="B2364">
        <f>VLOOKUP(A2364,Table1[[Item Purchased]:[Subscription Status]],8,FALSE)</f>
        <v>3.1</v>
      </c>
    </row>
    <row r="2365" spans="1:2" x14ac:dyDescent="0.3">
      <c r="A2365" s="6" t="s">
        <v>124</v>
      </c>
      <c r="B2365">
        <f>VLOOKUP(A2365,Table1[[Item Purchased]:[Subscription Status]],8,FALSE)</f>
        <v>2.9</v>
      </c>
    </row>
    <row r="2366" spans="1:2" x14ac:dyDescent="0.3">
      <c r="A2366" s="5" t="s">
        <v>88</v>
      </c>
      <c r="B2366">
        <f>VLOOKUP(A2366,Table1[[Item Purchased]:[Subscription Status]],8,FALSE)</f>
        <v>4.0999999999999996</v>
      </c>
    </row>
    <row r="2367" spans="1:2" x14ac:dyDescent="0.3">
      <c r="A2367" s="6" t="s">
        <v>49</v>
      </c>
      <c r="B2367">
        <f>VLOOKUP(A2367,Table1[[Item Purchased]:[Subscription Status]],8,FALSE)</f>
        <v>2.9</v>
      </c>
    </row>
    <row r="2368" spans="1:2" x14ac:dyDescent="0.3">
      <c r="A2368" s="5" t="s">
        <v>70</v>
      </c>
      <c r="B2368">
        <f>VLOOKUP(A2368,Table1[[Item Purchased]:[Subscription Status]],8,FALSE)</f>
        <v>4.0999999999999996</v>
      </c>
    </row>
    <row r="2369" spans="1:2" x14ac:dyDescent="0.3">
      <c r="A2369" s="6" t="s">
        <v>124</v>
      </c>
      <c r="B2369">
        <f>VLOOKUP(A2369,Table1[[Item Purchased]:[Subscription Status]],8,FALSE)</f>
        <v>2.9</v>
      </c>
    </row>
    <row r="2370" spans="1:2" x14ac:dyDescent="0.3">
      <c r="A2370" s="5" t="s">
        <v>88</v>
      </c>
      <c r="B2370">
        <f>VLOOKUP(A2370,Table1[[Item Purchased]:[Subscription Status]],8,FALSE)</f>
        <v>4.0999999999999996</v>
      </c>
    </row>
    <row r="2371" spans="1:2" x14ac:dyDescent="0.3">
      <c r="A2371" s="6" t="s">
        <v>29</v>
      </c>
      <c r="B2371">
        <f>VLOOKUP(A2371,Table1[[Item Purchased]:[Subscription Status]],8,FALSE)</f>
        <v>3.1</v>
      </c>
    </row>
    <row r="2372" spans="1:2" x14ac:dyDescent="0.3">
      <c r="A2372" s="5" t="s">
        <v>70</v>
      </c>
      <c r="B2372">
        <f>VLOOKUP(A2372,Table1[[Item Purchased]:[Subscription Status]],8,FALSE)</f>
        <v>4.0999999999999996</v>
      </c>
    </row>
    <row r="2373" spans="1:2" x14ac:dyDescent="0.3">
      <c r="A2373" s="6" t="s">
        <v>124</v>
      </c>
      <c r="B2373">
        <f>VLOOKUP(A2373,Table1[[Item Purchased]:[Subscription Status]],8,FALSE)</f>
        <v>2.9</v>
      </c>
    </row>
    <row r="2374" spans="1:2" x14ac:dyDescent="0.3">
      <c r="A2374" s="5" t="s">
        <v>136</v>
      </c>
      <c r="B2374">
        <f>VLOOKUP(A2374,Table1[[Item Purchased]:[Subscription Status]],8,FALSE)</f>
        <v>4.8</v>
      </c>
    </row>
    <row r="2375" spans="1:2" x14ac:dyDescent="0.3">
      <c r="A2375" s="6" t="s">
        <v>103</v>
      </c>
      <c r="B2375">
        <f>VLOOKUP(A2375,Table1[[Item Purchased]:[Subscription Status]],8,FALSE)</f>
        <v>3.6</v>
      </c>
    </row>
    <row r="2376" spans="1:2" x14ac:dyDescent="0.3">
      <c r="A2376" s="5" t="s">
        <v>142</v>
      </c>
      <c r="B2376">
        <f>VLOOKUP(A2376,Table1[[Item Purchased]:[Subscription Status]],8,FALSE)</f>
        <v>4.5</v>
      </c>
    </row>
    <row r="2377" spans="1:2" x14ac:dyDescent="0.3">
      <c r="A2377" s="6" t="s">
        <v>131</v>
      </c>
      <c r="B2377">
        <f>VLOOKUP(A2377,Table1[[Item Purchased]:[Subscription Status]],8,FALSE)</f>
        <v>4.7</v>
      </c>
    </row>
    <row r="2378" spans="1:2" x14ac:dyDescent="0.3">
      <c r="A2378" s="5" t="s">
        <v>142</v>
      </c>
      <c r="B2378">
        <f>VLOOKUP(A2378,Table1[[Item Purchased]:[Subscription Status]],8,FALSE)</f>
        <v>4.5</v>
      </c>
    </row>
    <row r="2379" spans="1:2" x14ac:dyDescent="0.3">
      <c r="A2379" s="6" t="s">
        <v>19</v>
      </c>
      <c r="B2379">
        <f>VLOOKUP(A2379,Table1[[Item Purchased]:[Subscription Status]],8,FALSE)</f>
        <v>3.1</v>
      </c>
    </row>
    <row r="2380" spans="1:2" x14ac:dyDescent="0.3">
      <c r="A2380" s="5" t="s">
        <v>118</v>
      </c>
      <c r="B2380">
        <f>VLOOKUP(A2380,Table1[[Item Purchased]:[Subscription Status]],8,FALSE)</f>
        <v>4.5</v>
      </c>
    </row>
    <row r="2381" spans="1:2" x14ac:dyDescent="0.3">
      <c r="A2381" s="6" t="s">
        <v>123</v>
      </c>
      <c r="B2381">
        <f>VLOOKUP(A2381,Table1[[Item Purchased]:[Subscription Status]],8,FALSE)</f>
        <v>4.5999999999999996</v>
      </c>
    </row>
    <row r="2382" spans="1:2" x14ac:dyDescent="0.3">
      <c r="A2382" s="5" t="s">
        <v>118</v>
      </c>
      <c r="B2382">
        <f>VLOOKUP(A2382,Table1[[Item Purchased]:[Subscription Status]],8,FALSE)</f>
        <v>4.5</v>
      </c>
    </row>
    <row r="2383" spans="1:2" x14ac:dyDescent="0.3">
      <c r="A2383" s="6" t="s">
        <v>40</v>
      </c>
      <c r="B2383">
        <f>VLOOKUP(A2383,Table1[[Item Purchased]:[Subscription Status]],8,FALSE)</f>
        <v>3.5</v>
      </c>
    </row>
    <row r="2384" spans="1:2" x14ac:dyDescent="0.3">
      <c r="A2384" s="5" t="s">
        <v>29</v>
      </c>
      <c r="B2384">
        <f>VLOOKUP(A2384,Table1[[Item Purchased]:[Subscription Status]],8,FALSE)</f>
        <v>3.1</v>
      </c>
    </row>
    <row r="2385" spans="1:2" x14ac:dyDescent="0.3">
      <c r="A2385" s="6" t="s">
        <v>131</v>
      </c>
      <c r="B2385">
        <f>VLOOKUP(A2385,Table1[[Item Purchased]:[Subscription Status]],8,FALSE)</f>
        <v>4.7</v>
      </c>
    </row>
    <row r="2386" spans="1:2" x14ac:dyDescent="0.3">
      <c r="A2386" s="5" t="s">
        <v>19</v>
      </c>
      <c r="B2386">
        <f>VLOOKUP(A2386,Table1[[Item Purchased]:[Subscription Status]],8,FALSE)</f>
        <v>3.1</v>
      </c>
    </row>
    <row r="2387" spans="1:2" x14ac:dyDescent="0.3">
      <c r="A2387" s="6" t="s">
        <v>118</v>
      </c>
      <c r="B2387">
        <f>VLOOKUP(A2387,Table1[[Item Purchased]:[Subscription Status]],8,FALSE)</f>
        <v>4.5</v>
      </c>
    </row>
    <row r="2388" spans="1:2" x14ac:dyDescent="0.3">
      <c r="A2388" s="5" t="s">
        <v>124</v>
      </c>
      <c r="B2388">
        <f>VLOOKUP(A2388,Table1[[Item Purchased]:[Subscription Status]],8,FALSE)</f>
        <v>2.9</v>
      </c>
    </row>
    <row r="2389" spans="1:2" x14ac:dyDescent="0.3">
      <c r="A2389" s="6" t="s">
        <v>123</v>
      </c>
      <c r="B2389">
        <f>VLOOKUP(A2389,Table1[[Item Purchased]:[Subscription Status]],8,FALSE)</f>
        <v>4.5999999999999996</v>
      </c>
    </row>
    <row r="2390" spans="1:2" x14ac:dyDescent="0.3">
      <c r="A2390" s="5" t="s">
        <v>80</v>
      </c>
      <c r="B2390">
        <f>VLOOKUP(A2390,Table1[[Item Purchased]:[Subscription Status]],8,FALSE)</f>
        <v>4.7</v>
      </c>
    </row>
    <row r="2391" spans="1:2" x14ac:dyDescent="0.3">
      <c r="A2391" s="6" t="s">
        <v>61</v>
      </c>
      <c r="B2391">
        <f>VLOOKUP(A2391,Table1[[Item Purchased]:[Subscription Status]],8,FALSE)</f>
        <v>2.6</v>
      </c>
    </row>
    <row r="2392" spans="1:2" x14ac:dyDescent="0.3">
      <c r="A2392" s="5" t="s">
        <v>54</v>
      </c>
      <c r="B2392">
        <f>VLOOKUP(A2392,Table1[[Item Purchased]:[Subscription Status]],8,FALSE)</f>
        <v>3.2</v>
      </c>
    </row>
    <row r="2393" spans="1:2" x14ac:dyDescent="0.3">
      <c r="A2393" s="6" t="s">
        <v>54</v>
      </c>
      <c r="B2393">
        <f>VLOOKUP(A2393,Table1[[Item Purchased]:[Subscription Status]],8,FALSE)</f>
        <v>3.2</v>
      </c>
    </row>
    <row r="2394" spans="1:2" x14ac:dyDescent="0.3">
      <c r="A2394" s="5" t="s">
        <v>33</v>
      </c>
      <c r="B2394">
        <f>VLOOKUP(A2394,Table1[[Item Purchased]:[Subscription Status]],8,FALSE)</f>
        <v>3.1</v>
      </c>
    </row>
    <row r="2395" spans="1:2" x14ac:dyDescent="0.3">
      <c r="A2395" s="6" t="s">
        <v>124</v>
      </c>
      <c r="B2395">
        <f>VLOOKUP(A2395,Table1[[Item Purchased]:[Subscription Status]],8,FALSE)</f>
        <v>2.9</v>
      </c>
    </row>
    <row r="2396" spans="1:2" x14ac:dyDescent="0.3">
      <c r="A2396" s="5" t="s">
        <v>40</v>
      </c>
      <c r="B2396">
        <f>VLOOKUP(A2396,Table1[[Item Purchased]:[Subscription Status]],8,FALSE)</f>
        <v>3.5</v>
      </c>
    </row>
    <row r="2397" spans="1:2" x14ac:dyDescent="0.3">
      <c r="A2397" s="6" t="s">
        <v>19</v>
      </c>
      <c r="B2397">
        <f>VLOOKUP(A2397,Table1[[Item Purchased]:[Subscription Status]],8,FALSE)</f>
        <v>3.1</v>
      </c>
    </row>
    <row r="2398" spans="1:2" x14ac:dyDescent="0.3">
      <c r="A2398" s="5" t="s">
        <v>54</v>
      </c>
      <c r="B2398">
        <f>VLOOKUP(A2398,Table1[[Item Purchased]:[Subscription Status]],8,FALSE)</f>
        <v>3.2</v>
      </c>
    </row>
    <row r="2399" spans="1:2" x14ac:dyDescent="0.3">
      <c r="A2399" s="6" t="s">
        <v>88</v>
      </c>
      <c r="B2399">
        <f>VLOOKUP(A2399,Table1[[Item Purchased]:[Subscription Status]],8,FALSE)</f>
        <v>4.0999999999999996</v>
      </c>
    </row>
    <row r="2400" spans="1:2" x14ac:dyDescent="0.3">
      <c r="A2400" s="5" t="s">
        <v>101</v>
      </c>
      <c r="B2400">
        <f>VLOOKUP(A2400,Table1[[Item Purchased]:[Subscription Status]],8,FALSE)</f>
        <v>2.9</v>
      </c>
    </row>
    <row r="2401" spans="1:2" x14ac:dyDescent="0.3">
      <c r="A2401" s="6" t="s">
        <v>80</v>
      </c>
      <c r="B2401">
        <f>VLOOKUP(A2401,Table1[[Item Purchased]:[Subscription Status]],8,FALSE)</f>
        <v>4.7</v>
      </c>
    </row>
    <row r="2402" spans="1:2" x14ac:dyDescent="0.3">
      <c r="A2402" s="5" t="s">
        <v>88</v>
      </c>
      <c r="B2402">
        <f>VLOOKUP(A2402,Table1[[Item Purchased]:[Subscription Status]],8,FALSE)</f>
        <v>4.0999999999999996</v>
      </c>
    </row>
    <row r="2403" spans="1:2" x14ac:dyDescent="0.3">
      <c r="A2403" s="6" t="s">
        <v>136</v>
      </c>
      <c r="B2403">
        <f>VLOOKUP(A2403,Table1[[Item Purchased]:[Subscription Status]],8,FALSE)</f>
        <v>4.8</v>
      </c>
    </row>
    <row r="2404" spans="1:2" x14ac:dyDescent="0.3">
      <c r="A2404" s="5" t="s">
        <v>118</v>
      </c>
      <c r="B2404">
        <f>VLOOKUP(A2404,Table1[[Item Purchased]:[Subscription Status]],8,FALSE)</f>
        <v>4.5</v>
      </c>
    </row>
    <row r="2405" spans="1:2" x14ac:dyDescent="0.3">
      <c r="A2405" s="6" t="s">
        <v>58</v>
      </c>
      <c r="B2405">
        <f>VLOOKUP(A2405,Table1[[Item Purchased]:[Subscription Status]],8,FALSE)</f>
        <v>3.2</v>
      </c>
    </row>
    <row r="2406" spans="1:2" x14ac:dyDescent="0.3">
      <c r="A2406" s="5" t="s">
        <v>58</v>
      </c>
      <c r="B2406">
        <f>VLOOKUP(A2406,Table1[[Item Purchased]:[Subscription Status]],8,FALSE)</f>
        <v>3.2</v>
      </c>
    </row>
    <row r="2407" spans="1:2" x14ac:dyDescent="0.3">
      <c r="A2407" s="6" t="s">
        <v>33</v>
      </c>
      <c r="B2407">
        <f>VLOOKUP(A2407,Table1[[Item Purchased]:[Subscription Status]],8,FALSE)</f>
        <v>3.1</v>
      </c>
    </row>
    <row r="2408" spans="1:2" x14ac:dyDescent="0.3">
      <c r="A2408" s="5" t="s">
        <v>118</v>
      </c>
      <c r="B2408">
        <f>VLOOKUP(A2408,Table1[[Item Purchased]:[Subscription Status]],8,FALSE)</f>
        <v>4.5</v>
      </c>
    </row>
    <row r="2409" spans="1:2" x14ac:dyDescent="0.3">
      <c r="A2409" s="6" t="s">
        <v>58</v>
      </c>
      <c r="B2409">
        <f>VLOOKUP(A2409,Table1[[Item Purchased]:[Subscription Status]],8,FALSE)</f>
        <v>3.2</v>
      </c>
    </row>
    <row r="2410" spans="1:2" x14ac:dyDescent="0.3">
      <c r="A2410" s="5" t="s">
        <v>49</v>
      </c>
      <c r="B2410">
        <f>VLOOKUP(A2410,Table1[[Item Purchased]:[Subscription Status]],8,FALSE)</f>
        <v>2.9</v>
      </c>
    </row>
    <row r="2411" spans="1:2" x14ac:dyDescent="0.3">
      <c r="A2411" s="6" t="s">
        <v>105</v>
      </c>
      <c r="B2411">
        <f>VLOOKUP(A2411,Table1[[Item Purchased]:[Subscription Status]],8,FALSE)</f>
        <v>3.6</v>
      </c>
    </row>
    <row r="2412" spans="1:2" x14ac:dyDescent="0.3">
      <c r="A2412" s="5" t="s">
        <v>70</v>
      </c>
      <c r="B2412">
        <f>VLOOKUP(A2412,Table1[[Item Purchased]:[Subscription Status]],8,FALSE)</f>
        <v>4.0999999999999996</v>
      </c>
    </row>
    <row r="2413" spans="1:2" x14ac:dyDescent="0.3">
      <c r="A2413" s="6" t="s">
        <v>103</v>
      </c>
      <c r="B2413">
        <f>VLOOKUP(A2413,Table1[[Item Purchased]:[Subscription Status]],8,FALSE)</f>
        <v>3.6</v>
      </c>
    </row>
    <row r="2414" spans="1:2" x14ac:dyDescent="0.3">
      <c r="A2414" s="5" t="s">
        <v>101</v>
      </c>
      <c r="B2414">
        <f>VLOOKUP(A2414,Table1[[Item Purchased]:[Subscription Status]],8,FALSE)</f>
        <v>2.9</v>
      </c>
    </row>
    <row r="2415" spans="1:2" x14ac:dyDescent="0.3">
      <c r="A2415" s="6" t="s">
        <v>58</v>
      </c>
      <c r="B2415">
        <f>VLOOKUP(A2415,Table1[[Item Purchased]:[Subscription Status]],8,FALSE)</f>
        <v>3.2</v>
      </c>
    </row>
    <row r="2416" spans="1:2" x14ac:dyDescent="0.3">
      <c r="A2416" s="5" t="s">
        <v>124</v>
      </c>
      <c r="B2416">
        <f>VLOOKUP(A2416,Table1[[Item Purchased]:[Subscription Status]],8,FALSE)</f>
        <v>2.9</v>
      </c>
    </row>
    <row r="2417" spans="1:2" x14ac:dyDescent="0.3">
      <c r="A2417" s="6" t="s">
        <v>61</v>
      </c>
      <c r="B2417">
        <f>VLOOKUP(A2417,Table1[[Item Purchased]:[Subscription Status]],8,FALSE)</f>
        <v>2.6</v>
      </c>
    </row>
    <row r="2418" spans="1:2" x14ac:dyDescent="0.3">
      <c r="A2418" s="5" t="s">
        <v>40</v>
      </c>
      <c r="B2418">
        <f>VLOOKUP(A2418,Table1[[Item Purchased]:[Subscription Status]],8,FALSE)</f>
        <v>3.5</v>
      </c>
    </row>
    <row r="2419" spans="1:2" x14ac:dyDescent="0.3">
      <c r="A2419" s="6" t="s">
        <v>131</v>
      </c>
      <c r="B2419">
        <f>VLOOKUP(A2419,Table1[[Item Purchased]:[Subscription Status]],8,FALSE)</f>
        <v>4.7</v>
      </c>
    </row>
    <row r="2420" spans="1:2" x14ac:dyDescent="0.3">
      <c r="A2420" s="5" t="s">
        <v>94</v>
      </c>
      <c r="B2420">
        <f>VLOOKUP(A2420,Table1[[Item Purchased]:[Subscription Status]],8,FALSE)</f>
        <v>3.3</v>
      </c>
    </row>
    <row r="2421" spans="1:2" x14ac:dyDescent="0.3">
      <c r="A2421" s="6" t="s">
        <v>29</v>
      </c>
      <c r="B2421">
        <f>VLOOKUP(A2421,Table1[[Item Purchased]:[Subscription Status]],8,FALSE)</f>
        <v>3.1</v>
      </c>
    </row>
    <row r="2422" spans="1:2" x14ac:dyDescent="0.3">
      <c r="A2422" s="5" t="s">
        <v>101</v>
      </c>
      <c r="B2422">
        <f>VLOOKUP(A2422,Table1[[Item Purchased]:[Subscription Status]],8,FALSE)</f>
        <v>2.9</v>
      </c>
    </row>
    <row r="2423" spans="1:2" x14ac:dyDescent="0.3">
      <c r="A2423" s="6" t="s">
        <v>49</v>
      </c>
      <c r="B2423">
        <f>VLOOKUP(A2423,Table1[[Item Purchased]:[Subscription Status]],8,FALSE)</f>
        <v>2.9</v>
      </c>
    </row>
    <row r="2424" spans="1:2" x14ac:dyDescent="0.3">
      <c r="A2424" s="5" t="s">
        <v>105</v>
      </c>
      <c r="B2424">
        <f>VLOOKUP(A2424,Table1[[Item Purchased]:[Subscription Status]],8,FALSE)</f>
        <v>3.6</v>
      </c>
    </row>
    <row r="2425" spans="1:2" x14ac:dyDescent="0.3">
      <c r="A2425" s="6" t="s">
        <v>131</v>
      </c>
      <c r="B2425">
        <f>VLOOKUP(A2425,Table1[[Item Purchased]:[Subscription Status]],8,FALSE)</f>
        <v>4.7</v>
      </c>
    </row>
    <row r="2426" spans="1:2" x14ac:dyDescent="0.3">
      <c r="A2426" s="5" t="s">
        <v>105</v>
      </c>
      <c r="B2426">
        <f>VLOOKUP(A2426,Table1[[Item Purchased]:[Subscription Status]],8,FALSE)</f>
        <v>3.6</v>
      </c>
    </row>
    <row r="2427" spans="1:2" x14ac:dyDescent="0.3">
      <c r="A2427" s="6" t="s">
        <v>70</v>
      </c>
      <c r="B2427">
        <f>VLOOKUP(A2427,Table1[[Item Purchased]:[Subscription Status]],8,FALSE)</f>
        <v>4.0999999999999996</v>
      </c>
    </row>
    <row r="2428" spans="1:2" x14ac:dyDescent="0.3">
      <c r="A2428" s="5" t="s">
        <v>101</v>
      </c>
      <c r="B2428">
        <f>VLOOKUP(A2428,Table1[[Item Purchased]:[Subscription Status]],8,FALSE)</f>
        <v>2.9</v>
      </c>
    </row>
    <row r="2429" spans="1:2" x14ac:dyDescent="0.3">
      <c r="A2429" s="6" t="s">
        <v>101</v>
      </c>
      <c r="B2429">
        <f>VLOOKUP(A2429,Table1[[Item Purchased]:[Subscription Status]],8,FALSE)</f>
        <v>2.9</v>
      </c>
    </row>
    <row r="2430" spans="1:2" x14ac:dyDescent="0.3">
      <c r="A2430" s="5" t="s">
        <v>112</v>
      </c>
      <c r="B2430">
        <f>VLOOKUP(A2430,Table1[[Item Purchased]:[Subscription Status]],8,FALSE)</f>
        <v>4.5999999999999996</v>
      </c>
    </row>
    <row r="2431" spans="1:2" x14ac:dyDescent="0.3">
      <c r="A2431" s="6" t="s">
        <v>49</v>
      </c>
      <c r="B2431">
        <f>VLOOKUP(A2431,Table1[[Item Purchased]:[Subscription Status]],8,FALSE)</f>
        <v>2.9</v>
      </c>
    </row>
    <row r="2432" spans="1:2" x14ac:dyDescent="0.3">
      <c r="A2432" s="5" t="s">
        <v>101</v>
      </c>
      <c r="B2432">
        <f>VLOOKUP(A2432,Table1[[Item Purchased]:[Subscription Status]],8,FALSE)</f>
        <v>2.9</v>
      </c>
    </row>
    <row r="2433" spans="1:2" x14ac:dyDescent="0.3">
      <c r="A2433" s="6" t="s">
        <v>103</v>
      </c>
      <c r="B2433">
        <f>VLOOKUP(A2433,Table1[[Item Purchased]:[Subscription Status]],8,FALSE)</f>
        <v>3.6</v>
      </c>
    </row>
    <row r="2434" spans="1:2" x14ac:dyDescent="0.3">
      <c r="A2434" s="5" t="s">
        <v>101</v>
      </c>
      <c r="B2434">
        <f>VLOOKUP(A2434,Table1[[Item Purchased]:[Subscription Status]],8,FALSE)</f>
        <v>2.9</v>
      </c>
    </row>
    <row r="2435" spans="1:2" x14ac:dyDescent="0.3">
      <c r="A2435" s="6" t="s">
        <v>112</v>
      </c>
      <c r="B2435">
        <f>VLOOKUP(A2435,Table1[[Item Purchased]:[Subscription Status]],8,FALSE)</f>
        <v>4.5999999999999996</v>
      </c>
    </row>
    <row r="2436" spans="1:2" x14ac:dyDescent="0.3">
      <c r="A2436" s="5" t="s">
        <v>142</v>
      </c>
      <c r="B2436">
        <f>VLOOKUP(A2436,Table1[[Item Purchased]:[Subscription Status]],8,FALSE)</f>
        <v>4.5</v>
      </c>
    </row>
    <row r="2437" spans="1:2" x14ac:dyDescent="0.3">
      <c r="A2437" s="6" t="s">
        <v>49</v>
      </c>
      <c r="B2437">
        <f>VLOOKUP(A2437,Table1[[Item Purchased]:[Subscription Status]],8,FALSE)</f>
        <v>2.9</v>
      </c>
    </row>
    <row r="2438" spans="1:2" x14ac:dyDescent="0.3">
      <c r="A2438" s="5" t="s">
        <v>112</v>
      </c>
      <c r="B2438">
        <f>VLOOKUP(A2438,Table1[[Item Purchased]:[Subscription Status]],8,FALSE)</f>
        <v>4.5999999999999996</v>
      </c>
    </row>
    <row r="2439" spans="1:2" x14ac:dyDescent="0.3">
      <c r="A2439" s="6" t="s">
        <v>49</v>
      </c>
      <c r="B2439">
        <f>VLOOKUP(A2439,Table1[[Item Purchased]:[Subscription Status]],8,FALSE)</f>
        <v>2.9</v>
      </c>
    </row>
    <row r="2440" spans="1:2" x14ac:dyDescent="0.3">
      <c r="A2440" s="5" t="s">
        <v>33</v>
      </c>
      <c r="B2440">
        <f>VLOOKUP(A2440,Table1[[Item Purchased]:[Subscription Status]],8,FALSE)</f>
        <v>3.1</v>
      </c>
    </row>
    <row r="2441" spans="1:2" x14ac:dyDescent="0.3">
      <c r="A2441" s="6" t="s">
        <v>65</v>
      </c>
      <c r="B2441">
        <f>VLOOKUP(A2441,Table1[[Item Purchased]:[Subscription Status]],8,FALSE)</f>
        <v>4.8</v>
      </c>
    </row>
    <row r="2442" spans="1:2" x14ac:dyDescent="0.3">
      <c r="A2442" s="5" t="s">
        <v>124</v>
      </c>
      <c r="B2442">
        <f>VLOOKUP(A2442,Table1[[Item Purchased]:[Subscription Status]],8,FALSE)</f>
        <v>2.9</v>
      </c>
    </row>
    <row r="2443" spans="1:2" x14ac:dyDescent="0.3">
      <c r="A2443" s="6" t="s">
        <v>105</v>
      </c>
      <c r="B2443">
        <f>VLOOKUP(A2443,Table1[[Item Purchased]:[Subscription Status]],8,FALSE)</f>
        <v>3.6</v>
      </c>
    </row>
    <row r="2444" spans="1:2" x14ac:dyDescent="0.3">
      <c r="A2444" s="5" t="s">
        <v>19</v>
      </c>
      <c r="B2444">
        <f>VLOOKUP(A2444,Table1[[Item Purchased]:[Subscription Status]],8,FALSE)</f>
        <v>3.1</v>
      </c>
    </row>
    <row r="2445" spans="1:2" x14ac:dyDescent="0.3">
      <c r="A2445" s="6" t="s">
        <v>131</v>
      </c>
      <c r="B2445">
        <f>VLOOKUP(A2445,Table1[[Item Purchased]:[Subscription Status]],8,FALSE)</f>
        <v>4.7</v>
      </c>
    </row>
    <row r="2446" spans="1:2" x14ac:dyDescent="0.3">
      <c r="A2446" s="5" t="s">
        <v>118</v>
      </c>
      <c r="B2446">
        <f>VLOOKUP(A2446,Table1[[Item Purchased]:[Subscription Status]],8,FALSE)</f>
        <v>4.5</v>
      </c>
    </row>
    <row r="2447" spans="1:2" x14ac:dyDescent="0.3">
      <c r="A2447" s="6" t="s">
        <v>118</v>
      </c>
      <c r="B2447">
        <f>VLOOKUP(A2447,Table1[[Item Purchased]:[Subscription Status]],8,FALSE)</f>
        <v>4.5</v>
      </c>
    </row>
    <row r="2448" spans="1:2" x14ac:dyDescent="0.3">
      <c r="A2448" s="5" t="s">
        <v>54</v>
      </c>
      <c r="B2448">
        <f>VLOOKUP(A2448,Table1[[Item Purchased]:[Subscription Status]],8,FALSE)</f>
        <v>3.2</v>
      </c>
    </row>
    <row r="2449" spans="1:2" x14ac:dyDescent="0.3">
      <c r="A2449" s="6" t="s">
        <v>94</v>
      </c>
      <c r="B2449">
        <f>VLOOKUP(A2449,Table1[[Item Purchased]:[Subscription Status]],8,FALSE)</f>
        <v>3.3</v>
      </c>
    </row>
    <row r="2450" spans="1:2" x14ac:dyDescent="0.3">
      <c r="A2450" s="5" t="s">
        <v>123</v>
      </c>
      <c r="B2450">
        <f>VLOOKUP(A2450,Table1[[Item Purchased]:[Subscription Status]],8,FALSE)</f>
        <v>4.5999999999999996</v>
      </c>
    </row>
    <row r="2451" spans="1:2" x14ac:dyDescent="0.3">
      <c r="A2451" s="6" t="s">
        <v>61</v>
      </c>
      <c r="B2451">
        <f>VLOOKUP(A2451,Table1[[Item Purchased]:[Subscription Status]],8,FALSE)</f>
        <v>2.6</v>
      </c>
    </row>
    <row r="2452" spans="1:2" x14ac:dyDescent="0.3">
      <c r="A2452" s="5" t="s">
        <v>112</v>
      </c>
      <c r="B2452">
        <f>VLOOKUP(A2452,Table1[[Item Purchased]:[Subscription Status]],8,FALSE)</f>
        <v>4.5999999999999996</v>
      </c>
    </row>
    <row r="2453" spans="1:2" x14ac:dyDescent="0.3">
      <c r="A2453" s="6" t="s">
        <v>124</v>
      </c>
      <c r="B2453">
        <f>VLOOKUP(A2453,Table1[[Item Purchased]:[Subscription Status]],8,FALSE)</f>
        <v>2.9</v>
      </c>
    </row>
    <row r="2454" spans="1:2" x14ac:dyDescent="0.3">
      <c r="A2454" s="5" t="s">
        <v>54</v>
      </c>
      <c r="B2454">
        <f>VLOOKUP(A2454,Table1[[Item Purchased]:[Subscription Status]],8,FALSE)</f>
        <v>3.2</v>
      </c>
    </row>
    <row r="2455" spans="1:2" x14ac:dyDescent="0.3">
      <c r="A2455" s="6" t="s">
        <v>29</v>
      </c>
      <c r="B2455">
        <f>VLOOKUP(A2455,Table1[[Item Purchased]:[Subscription Status]],8,FALSE)</f>
        <v>3.1</v>
      </c>
    </row>
    <row r="2456" spans="1:2" x14ac:dyDescent="0.3">
      <c r="A2456" s="5" t="s">
        <v>142</v>
      </c>
      <c r="B2456">
        <f>VLOOKUP(A2456,Table1[[Item Purchased]:[Subscription Status]],8,FALSE)</f>
        <v>4.5</v>
      </c>
    </row>
    <row r="2457" spans="1:2" x14ac:dyDescent="0.3">
      <c r="A2457" s="6" t="s">
        <v>132</v>
      </c>
      <c r="B2457">
        <f>VLOOKUP(A2457,Table1[[Item Purchased]:[Subscription Status]],8,FALSE)</f>
        <v>4.5999999999999996</v>
      </c>
    </row>
    <row r="2458" spans="1:2" x14ac:dyDescent="0.3">
      <c r="A2458" s="5" t="s">
        <v>33</v>
      </c>
      <c r="B2458">
        <f>VLOOKUP(A2458,Table1[[Item Purchased]:[Subscription Status]],8,FALSE)</f>
        <v>3.1</v>
      </c>
    </row>
    <row r="2459" spans="1:2" x14ac:dyDescent="0.3">
      <c r="A2459" s="6" t="s">
        <v>65</v>
      </c>
      <c r="B2459">
        <f>VLOOKUP(A2459,Table1[[Item Purchased]:[Subscription Status]],8,FALSE)</f>
        <v>4.8</v>
      </c>
    </row>
    <row r="2460" spans="1:2" x14ac:dyDescent="0.3">
      <c r="A2460" s="5" t="s">
        <v>112</v>
      </c>
      <c r="B2460">
        <f>VLOOKUP(A2460,Table1[[Item Purchased]:[Subscription Status]],8,FALSE)</f>
        <v>4.5999999999999996</v>
      </c>
    </row>
    <row r="2461" spans="1:2" x14ac:dyDescent="0.3">
      <c r="A2461" s="6" t="s">
        <v>124</v>
      </c>
      <c r="B2461">
        <f>VLOOKUP(A2461,Table1[[Item Purchased]:[Subscription Status]],8,FALSE)</f>
        <v>2.9</v>
      </c>
    </row>
    <row r="2462" spans="1:2" x14ac:dyDescent="0.3">
      <c r="A2462" s="5" t="s">
        <v>33</v>
      </c>
      <c r="B2462">
        <f>VLOOKUP(A2462,Table1[[Item Purchased]:[Subscription Status]],8,FALSE)</f>
        <v>3.1</v>
      </c>
    </row>
    <row r="2463" spans="1:2" x14ac:dyDescent="0.3">
      <c r="A2463" s="6" t="s">
        <v>118</v>
      </c>
      <c r="B2463">
        <f>VLOOKUP(A2463,Table1[[Item Purchased]:[Subscription Status]],8,FALSE)</f>
        <v>4.5</v>
      </c>
    </row>
    <row r="2464" spans="1:2" x14ac:dyDescent="0.3">
      <c r="A2464" s="5" t="s">
        <v>94</v>
      </c>
      <c r="B2464">
        <f>VLOOKUP(A2464,Table1[[Item Purchased]:[Subscription Status]],8,FALSE)</f>
        <v>3.3</v>
      </c>
    </row>
    <row r="2465" spans="1:2" x14ac:dyDescent="0.3">
      <c r="A2465" s="6" t="s">
        <v>19</v>
      </c>
      <c r="B2465">
        <f>VLOOKUP(A2465,Table1[[Item Purchased]:[Subscription Status]],8,FALSE)</f>
        <v>3.1</v>
      </c>
    </row>
    <row r="2466" spans="1:2" x14ac:dyDescent="0.3">
      <c r="A2466" s="5" t="s">
        <v>101</v>
      </c>
      <c r="B2466">
        <f>VLOOKUP(A2466,Table1[[Item Purchased]:[Subscription Status]],8,FALSE)</f>
        <v>2.9</v>
      </c>
    </row>
    <row r="2467" spans="1:2" x14ac:dyDescent="0.3">
      <c r="A2467" s="6" t="s">
        <v>40</v>
      </c>
      <c r="B2467">
        <f>VLOOKUP(A2467,Table1[[Item Purchased]:[Subscription Status]],8,FALSE)</f>
        <v>3.5</v>
      </c>
    </row>
    <row r="2468" spans="1:2" x14ac:dyDescent="0.3">
      <c r="A2468" s="5" t="s">
        <v>58</v>
      </c>
      <c r="B2468">
        <f>VLOOKUP(A2468,Table1[[Item Purchased]:[Subscription Status]],8,FALSE)</f>
        <v>3.2</v>
      </c>
    </row>
    <row r="2469" spans="1:2" x14ac:dyDescent="0.3">
      <c r="A2469" s="6" t="s">
        <v>58</v>
      </c>
      <c r="B2469">
        <f>VLOOKUP(A2469,Table1[[Item Purchased]:[Subscription Status]],8,FALSE)</f>
        <v>3.2</v>
      </c>
    </row>
    <row r="2470" spans="1:2" x14ac:dyDescent="0.3">
      <c r="A2470" s="5" t="s">
        <v>86</v>
      </c>
      <c r="B2470">
        <f>VLOOKUP(A2470,Table1[[Item Purchased]:[Subscription Status]],8,FALSE)</f>
        <v>2.8</v>
      </c>
    </row>
    <row r="2471" spans="1:2" x14ac:dyDescent="0.3">
      <c r="A2471" s="6" t="s">
        <v>40</v>
      </c>
      <c r="B2471">
        <f>VLOOKUP(A2471,Table1[[Item Purchased]:[Subscription Status]],8,FALSE)</f>
        <v>3.5</v>
      </c>
    </row>
    <row r="2472" spans="1:2" x14ac:dyDescent="0.3">
      <c r="A2472" s="5" t="s">
        <v>19</v>
      </c>
      <c r="B2472">
        <f>VLOOKUP(A2472,Table1[[Item Purchased]:[Subscription Status]],8,FALSE)</f>
        <v>3.1</v>
      </c>
    </row>
    <row r="2473" spans="1:2" x14ac:dyDescent="0.3">
      <c r="A2473" s="6" t="s">
        <v>40</v>
      </c>
      <c r="B2473">
        <f>VLOOKUP(A2473,Table1[[Item Purchased]:[Subscription Status]],8,FALSE)</f>
        <v>3.5</v>
      </c>
    </row>
    <row r="2474" spans="1:2" x14ac:dyDescent="0.3">
      <c r="A2474" s="5" t="s">
        <v>54</v>
      </c>
      <c r="B2474">
        <f>VLOOKUP(A2474,Table1[[Item Purchased]:[Subscription Status]],8,FALSE)</f>
        <v>3.2</v>
      </c>
    </row>
    <row r="2475" spans="1:2" x14ac:dyDescent="0.3">
      <c r="A2475" s="6" t="s">
        <v>124</v>
      </c>
      <c r="B2475">
        <f>VLOOKUP(A2475,Table1[[Item Purchased]:[Subscription Status]],8,FALSE)</f>
        <v>2.9</v>
      </c>
    </row>
    <row r="2476" spans="1:2" x14ac:dyDescent="0.3">
      <c r="A2476" s="5" t="s">
        <v>112</v>
      </c>
      <c r="B2476">
        <f>VLOOKUP(A2476,Table1[[Item Purchased]:[Subscription Status]],8,FALSE)</f>
        <v>4.5999999999999996</v>
      </c>
    </row>
    <row r="2477" spans="1:2" x14ac:dyDescent="0.3">
      <c r="A2477" s="6" t="s">
        <v>80</v>
      </c>
      <c r="B2477">
        <f>VLOOKUP(A2477,Table1[[Item Purchased]:[Subscription Status]],8,FALSE)</f>
        <v>4.7</v>
      </c>
    </row>
    <row r="2478" spans="1:2" x14ac:dyDescent="0.3">
      <c r="A2478" s="5" t="s">
        <v>123</v>
      </c>
      <c r="B2478">
        <f>VLOOKUP(A2478,Table1[[Item Purchased]:[Subscription Status]],8,FALSE)</f>
        <v>4.5999999999999996</v>
      </c>
    </row>
    <row r="2479" spans="1:2" x14ac:dyDescent="0.3">
      <c r="A2479" s="6" t="s">
        <v>142</v>
      </c>
      <c r="B2479">
        <f>VLOOKUP(A2479,Table1[[Item Purchased]:[Subscription Status]],8,FALSE)</f>
        <v>4.5</v>
      </c>
    </row>
    <row r="2480" spans="1:2" x14ac:dyDescent="0.3">
      <c r="A2480" s="5" t="s">
        <v>124</v>
      </c>
      <c r="B2480">
        <f>VLOOKUP(A2480,Table1[[Item Purchased]:[Subscription Status]],8,FALSE)</f>
        <v>2.9</v>
      </c>
    </row>
    <row r="2481" spans="1:2" x14ac:dyDescent="0.3">
      <c r="A2481" s="6" t="s">
        <v>80</v>
      </c>
      <c r="B2481">
        <f>VLOOKUP(A2481,Table1[[Item Purchased]:[Subscription Status]],8,FALSE)</f>
        <v>4.7</v>
      </c>
    </row>
    <row r="2482" spans="1:2" x14ac:dyDescent="0.3">
      <c r="A2482" s="5" t="s">
        <v>124</v>
      </c>
      <c r="B2482">
        <f>VLOOKUP(A2482,Table1[[Item Purchased]:[Subscription Status]],8,FALSE)</f>
        <v>2.9</v>
      </c>
    </row>
    <row r="2483" spans="1:2" x14ac:dyDescent="0.3">
      <c r="A2483" s="6" t="s">
        <v>132</v>
      </c>
      <c r="B2483">
        <f>VLOOKUP(A2483,Table1[[Item Purchased]:[Subscription Status]],8,FALSE)</f>
        <v>4.5999999999999996</v>
      </c>
    </row>
    <row r="2484" spans="1:2" x14ac:dyDescent="0.3">
      <c r="A2484" s="5" t="s">
        <v>65</v>
      </c>
      <c r="B2484">
        <f>VLOOKUP(A2484,Table1[[Item Purchased]:[Subscription Status]],8,FALSE)</f>
        <v>4.8</v>
      </c>
    </row>
    <row r="2485" spans="1:2" x14ac:dyDescent="0.3">
      <c r="A2485" s="6" t="s">
        <v>86</v>
      </c>
      <c r="B2485">
        <f>VLOOKUP(A2485,Table1[[Item Purchased]:[Subscription Status]],8,FALSE)</f>
        <v>2.8</v>
      </c>
    </row>
    <row r="2486" spans="1:2" x14ac:dyDescent="0.3">
      <c r="A2486" s="5" t="s">
        <v>103</v>
      </c>
      <c r="B2486">
        <f>VLOOKUP(A2486,Table1[[Item Purchased]:[Subscription Status]],8,FALSE)</f>
        <v>3.6</v>
      </c>
    </row>
    <row r="2487" spans="1:2" x14ac:dyDescent="0.3">
      <c r="A2487" s="6" t="s">
        <v>19</v>
      </c>
      <c r="B2487">
        <f>VLOOKUP(A2487,Table1[[Item Purchased]:[Subscription Status]],8,FALSE)</f>
        <v>3.1</v>
      </c>
    </row>
    <row r="2488" spans="1:2" x14ac:dyDescent="0.3">
      <c r="A2488" s="5" t="s">
        <v>33</v>
      </c>
      <c r="B2488">
        <f>VLOOKUP(A2488,Table1[[Item Purchased]:[Subscription Status]],8,FALSE)</f>
        <v>3.1</v>
      </c>
    </row>
    <row r="2489" spans="1:2" x14ac:dyDescent="0.3">
      <c r="A2489" s="6" t="s">
        <v>136</v>
      </c>
      <c r="B2489">
        <f>VLOOKUP(A2489,Table1[[Item Purchased]:[Subscription Status]],8,FALSE)</f>
        <v>4.8</v>
      </c>
    </row>
    <row r="2490" spans="1:2" x14ac:dyDescent="0.3">
      <c r="A2490" s="5" t="s">
        <v>65</v>
      </c>
      <c r="B2490">
        <f>VLOOKUP(A2490,Table1[[Item Purchased]:[Subscription Status]],8,FALSE)</f>
        <v>4.8</v>
      </c>
    </row>
    <row r="2491" spans="1:2" x14ac:dyDescent="0.3">
      <c r="A2491" s="6" t="s">
        <v>61</v>
      </c>
      <c r="B2491">
        <f>VLOOKUP(A2491,Table1[[Item Purchased]:[Subscription Status]],8,FALSE)</f>
        <v>2.6</v>
      </c>
    </row>
    <row r="2492" spans="1:2" x14ac:dyDescent="0.3">
      <c r="A2492" s="5" t="s">
        <v>19</v>
      </c>
      <c r="B2492">
        <f>VLOOKUP(A2492,Table1[[Item Purchased]:[Subscription Status]],8,FALSE)</f>
        <v>3.1</v>
      </c>
    </row>
    <row r="2493" spans="1:2" x14ac:dyDescent="0.3">
      <c r="A2493" s="6" t="s">
        <v>65</v>
      </c>
      <c r="B2493">
        <f>VLOOKUP(A2493,Table1[[Item Purchased]:[Subscription Status]],8,FALSE)</f>
        <v>4.8</v>
      </c>
    </row>
    <row r="2494" spans="1:2" x14ac:dyDescent="0.3">
      <c r="A2494" s="5" t="s">
        <v>88</v>
      </c>
      <c r="B2494">
        <f>VLOOKUP(A2494,Table1[[Item Purchased]:[Subscription Status]],8,FALSE)</f>
        <v>4.0999999999999996</v>
      </c>
    </row>
    <row r="2495" spans="1:2" x14ac:dyDescent="0.3">
      <c r="A2495" s="6" t="s">
        <v>124</v>
      </c>
      <c r="B2495">
        <f>VLOOKUP(A2495,Table1[[Item Purchased]:[Subscription Status]],8,FALSE)</f>
        <v>2.9</v>
      </c>
    </row>
    <row r="2496" spans="1:2" x14ac:dyDescent="0.3">
      <c r="A2496" s="5" t="s">
        <v>70</v>
      </c>
      <c r="B2496">
        <f>VLOOKUP(A2496,Table1[[Item Purchased]:[Subscription Status]],8,FALSE)</f>
        <v>4.0999999999999996</v>
      </c>
    </row>
    <row r="2497" spans="1:2" x14ac:dyDescent="0.3">
      <c r="A2497" s="6" t="s">
        <v>131</v>
      </c>
      <c r="B2497">
        <f>VLOOKUP(A2497,Table1[[Item Purchased]:[Subscription Status]],8,FALSE)</f>
        <v>4.7</v>
      </c>
    </row>
    <row r="2498" spans="1:2" x14ac:dyDescent="0.3">
      <c r="A2498" s="5" t="s">
        <v>118</v>
      </c>
      <c r="B2498">
        <f>VLOOKUP(A2498,Table1[[Item Purchased]:[Subscription Status]],8,FALSE)</f>
        <v>4.5</v>
      </c>
    </row>
    <row r="2499" spans="1:2" x14ac:dyDescent="0.3">
      <c r="A2499" s="6" t="s">
        <v>131</v>
      </c>
      <c r="B2499">
        <f>VLOOKUP(A2499,Table1[[Item Purchased]:[Subscription Status]],8,FALSE)</f>
        <v>4.7</v>
      </c>
    </row>
    <row r="2500" spans="1:2" x14ac:dyDescent="0.3">
      <c r="A2500" s="5" t="s">
        <v>61</v>
      </c>
      <c r="B2500">
        <f>VLOOKUP(A2500,Table1[[Item Purchased]:[Subscription Status]],8,FALSE)</f>
        <v>2.6</v>
      </c>
    </row>
    <row r="2501" spans="1:2" x14ac:dyDescent="0.3">
      <c r="A2501" s="6" t="s">
        <v>103</v>
      </c>
      <c r="B2501">
        <f>VLOOKUP(A2501,Table1[[Item Purchased]:[Subscription Status]],8,FALSE)</f>
        <v>3.6</v>
      </c>
    </row>
    <row r="2502" spans="1:2" x14ac:dyDescent="0.3">
      <c r="A2502" s="5" t="s">
        <v>142</v>
      </c>
      <c r="B2502">
        <f>VLOOKUP(A2502,Table1[[Item Purchased]:[Subscription Status]],8,FALSE)</f>
        <v>4.5</v>
      </c>
    </row>
    <row r="2503" spans="1:2" x14ac:dyDescent="0.3">
      <c r="A2503" s="6" t="s">
        <v>58</v>
      </c>
      <c r="B2503">
        <f>VLOOKUP(A2503,Table1[[Item Purchased]:[Subscription Status]],8,FALSE)</f>
        <v>3.2</v>
      </c>
    </row>
    <row r="2504" spans="1:2" x14ac:dyDescent="0.3">
      <c r="A2504" s="5" t="s">
        <v>86</v>
      </c>
      <c r="B2504">
        <f>VLOOKUP(A2504,Table1[[Item Purchased]:[Subscription Status]],8,FALSE)</f>
        <v>2.8</v>
      </c>
    </row>
    <row r="2505" spans="1:2" x14ac:dyDescent="0.3">
      <c r="A2505" s="6" t="s">
        <v>136</v>
      </c>
      <c r="B2505">
        <f>VLOOKUP(A2505,Table1[[Item Purchased]:[Subscription Status]],8,FALSE)</f>
        <v>4.8</v>
      </c>
    </row>
    <row r="2506" spans="1:2" x14ac:dyDescent="0.3">
      <c r="A2506" s="5" t="s">
        <v>58</v>
      </c>
      <c r="B2506">
        <f>VLOOKUP(A2506,Table1[[Item Purchased]:[Subscription Status]],8,FALSE)</f>
        <v>3.2</v>
      </c>
    </row>
    <row r="2507" spans="1:2" x14ac:dyDescent="0.3">
      <c r="A2507" s="6" t="s">
        <v>65</v>
      </c>
      <c r="B2507">
        <f>VLOOKUP(A2507,Table1[[Item Purchased]:[Subscription Status]],8,FALSE)</f>
        <v>4.8</v>
      </c>
    </row>
    <row r="2508" spans="1:2" x14ac:dyDescent="0.3">
      <c r="A2508" s="5" t="s">
        <v>80</v>
      </c>
      <c r="B2508">
        <f>VLOOKUP(A2508,Table1[[Item Purchased]:[Subscription Status]],8,FALSE)</f>
        <v>4.7</v>
      </c>
    </row>
    <row r="2509" spans="1:2" x14ac:dyDescent="0.3">
      <c r="A2509" s="6" t="s">
        <v>70</v>
      </c>
      <c r="B2509">
        <f>VLOOKUP(A2509,Table1[[Item Purchased]:[Subscription Status]],8,FALSE)</f>
        <v>4.0999999999999996</v>
      </c>
    </row>
    <row r="2510" spans="1:2" x14ac:dyDescent="0.3">
      <c r="A2510" s="5" t="s">
        <v>49</v>
      </c>
      <c r="B2510">
        <f>VLOOKUP(A2510,Table1[[Item Purchased]:[Subscription Status]],8,FALSE)</f>
        <v>2.9</v>
      </c>
    </row>
    <row r="2511" spans="1:2" x14ac:dyDescent="0.3">
      <c r="A2511" s="6" t="s">
        <v>124</v>
      </c>
      <c r="B2511">
        <f>VLOOKUP(A2511,Table1[[Item Purchased]:[Subscription Status]],8,FALSE)</f>
        <v>2.9</v>
      </c>
    </row>
    <row r="2512" spans="1:2" x14ac:dyDescent="0.3">
      <c r="A2512" s="5" t="s">
        <v>101</v>
      </c>
      <c r="B2512">
        <f>VLOOKUP(A2512,Table1[[Item Purchased]:[Subscription Status]],8,FALSE)</f>
        <v>2.9</v>
      </c>
    </row>
    <row r="2513" spans="1:2" x14ac:dyDescent="0.3">
      <c r="A2513" s="6" t="s">
        <v>131</v>
      </c>
      <c r="B2513">
        <f>VLOOKUP(A2513,Table1[[Item Purchased]:[Subscription Status]],8,FALSE)</f>
        <v>4.7</v>
      </c>
    </row>
    <row r="2514" spans="1:2" x14ac:dyDescent="0.3">
      <c r="A2514" s="5" t="s">
        <v>124</v>
      </c>
      <c r="B2514">
        <f>VLOOKUP(A2514,Table1[[Item Purchased]:[Subscription Status]],8,FALSE)</f>
        <v>2.9</v>
      </c>
    </row>
    <row r="2515" spans="1:2" x14ac:dyDescent="0.3">
      <c r="A2515" s="6" t="s">
        <v>65</v>
      </c>
      <c r="B2515">
        <f>VLOOKUP(A2515,Table1[[Item Purchased]:[Subscription Status]],8,FALSE)</f>
        <v>4.8</v>
      </c>
    </row>
    <row r="2516" spans="1:2" x14ac:dyDescent="0.3">
      <c r="A2516" s="5" t="s">
        <v>123</v>
      </c>
      <c r="B2516">
        <f>VLOOKUP(A2516,Table1[[Item Purchased]:[Subscription Status]],8,FALSE)</f>
        <v>4.5999999999999996</v>
      </c>
    </row>
    <row r="2517" spans="1:2" x14ac:dyDescent="0.3">
      <c r="A2517" s="6" t="s">
        <v>19</v>
      </c>
      <c r="B2517">
        <f>VLOOKUP(A2517,Table1[[Item Purchased]:[Subscription Status]],8,FALSE)</f>
        <v>3.1</v>
      </c>
    </row>
    <row r="2518" spans="1:2" x14ac:dyDescent="0.3">
      <c r="A2518" s="5" t="s">
        <v>58</v>
      </c>
      <c r="B2518">
        <f>VLOOKUP(A2518,Table1[[Item Purchased]:[Subscription Status]],8,FALSE)</f>
        <v>3.2</v>
      </c>
    </row>
    <row r="2519" spans="1:2" x14ac:dyDescent="0.3">
      <c r="A2519" s="6" t="s">
        <v>54</v>
      </c>
      <c r="B2519">
        <f>VLOOKUP(A2519,Table1[[Item Purchased]:[Subscription Status]],8,FALSE)</f>
        <v>3.2</v>
      </c>
    </row>
    <row r="2520" spans="1:2" x14ac:dyDescent="0.3">
      <c r="A2520" s="5" t="s">
        <v>136</v>
      </c>
      <c r="B2520">
        <f>VLOOKUP(A2520,Table1[[Item Purchased]:[Subscription Status]],8,FALSE)</f>
        <v>4.8</v>
      </c>
    </row>
    <row r="2521" spans="1:2" x14ac:dyDescent="0.3">
      <c r="A2521" s="6" t="s">
        <v>101</v>
      </c>
      <c r="B2521">
        <f>VLOOKUP(A2521,Table1[[Item Purchased]:[Subscription Status]],8,FALSE)</f>
        <v>2.9</v>
      </c>
    </row>
    <row r="2522" spans="1:2" x14ac:dyDescent="0.3">
      <c r="A2522" s="5" t="s">
        <v>101</v>
      </c>
      <c r="B2522">
        <f>VLOOKUP(A2522,Table1[[Item Purchased]:[Subscription Status]],8,FALSE)</f>
        <v>2.9</v>
      </c>
    </row>
    <row r="2523" spans="1:2" x14ac:dyDescent="0.3">
      <c r="A2523" s="6" t="s">
        <v>65</v>
      </c>
      <c r="B2523">
        <f>VLOOKUP(A2523,Table1[[Item Purchased]:[Subscription Status]],8,FALSE)</f>
        <v>4.8</v>
      </c>
    </row>
    <row r="2524" spans="1:2" x14ac:dyDescent="0.3">
      <c r="A2524" s="5" t="s">
        <v>132</v>
      </c>
      <c r="B2524">
        <f>VLOOKUP(A2524,Table1[[Item Purchased]:[Subscription Status]],8,FALSE)</f>
        <v>4.5999999999999996</v>
      </c>
    </row>
    <row r="2525" spans="1:2" x14ac:dyDescent="0.3">
      <c r="A2525" s="6" t="s">
        <v>65</v>
      </c>
      <c r="B2525">
        <f>VLOOKUP(A2525,Table1[[Item Purchased]:[Subscription Status]],8,FALSE)</f>
        <v>4.8</v>
      </c>
    </row>
    <row r="2526" spans="1:2" x14ac:dyDescent="0.3">
      <c r="A2526" s="5" t="s">
        <v>61</v>
      </c>
      <c r="B2526">
        <f>VLOOKUP(A2526,Table1[[Item Purchased]:[Subscription Status]],8,FALSE)</f>
        <v>2.6</v>
      </c>
    </row>
    <row r="2527" spans="1:2" x14ac:dyDescent="0.3">
      <c r="A2527" s="6" t="s">
        <v>29</v>
      </c>
      <c r="B2527">
        <f>VLOOKUP(A2527,Table1[[Item Purchased]:[Subscription Status]],8,FALSE)</f>
        <v>3.1</v>
      </c>
    </row>
    <row r="2528" spans="1:2" x14ac:dyDescent="0.3">
      <c r="A2528" s="5" t="s">
        <v>58</v>
      </c>
      <c r="B2528">
        <f>VLOOKUP(A2528,Table1[[Item Purchased]:[Subscription Status]],8,FALSE)</f>
        <v>3.2</v>
      </c>
    </row>
    <row r="2529" spans="1:2" x14ac:dyDescent="0.3">
      <c r="A2529" s="6" t="s">
        <v>94</v>
      </c>
      <c r="B2529">
        <f>VLOOKUP(A2529,Table1[[Item Purchased]:[Subscription Status]],8,FALSE)</f>
        <v>3.3</v>
      </c>
    </row>
    <row r="2530" spans="1:2" x14ac:dyDescent="0.3">
      <c r="A2530" s="5" t="s">
        <v>105</v>
      </c>
      <c r="B2530">
        <f>VLOOKUP(A2530,Table1[[Item Purchased]:[Subscription Status]],8,FALSE)</f>
        <v>3.6</v>
      </c>
    </row>
    <row r="2531" spans="1:2" x14ac:dyDescent="0.3">
      <c r="A2531" s="6" t="s">
        <v>142</v>
      </c>
      <c r="B2531">
        <f>VLOOKUP(A2531,Table1[[Item Purchased]:[Subscription Status]],8,FALSE)</f>
        <v>4.5</v>
      </c>
    </row>
    <row r="2532" spans="1:2" x14ac:dyDescent="0.3">
      <c r="A2532" s="5" t="s">
        <v>86</v>
      </c>
      <c r="B2532">
        <f>VLOOKUP(A2532,Table1[[Item Purchased]:[Subscription Status]],8,FALSE)</f>
        <v>2.8</v>
      </c>
    </row>
    <row r="2533" spans="1:2" x14ac:dyDescent="0.3">
      <c r="A2533" s="6" t="s">
        <v>40</v>
      </c>
      <c r="B2533">
        <f>VLOOKUP(A2533,Table1[[Item Purchased]:[Subscription Status]],8,FALSE)</f>
        <v>3.5</v>
      </c>
    </row>
    <row r="2534" spans="1:2" x14ac:dyDescent="0.3">
      <c r="A2534" s="5" t="s">
        <v>124</v>
      </c>
      <c r="B2534">
        <f>VLOOKUP(A2534,Table1[[Item Purchased]:[Subscription Status]],8,FALSE)</f>
        <v>2.9</v>
      </c>
    </row>
    <row r="2535" spans="1:2" x14ac:dyDescent="0.3">
      <c r="A2535" s="6" t="s">
        <v>105</v>
      </c>
      <c r="B2535">
        <f>VLOOKUP(A2535,Table1[[Item Purchased]:[Subscription Status]],8,FALSE)</f>
        <v>3.6</v>
      </c>
    </row>
    <row r="2536" spans="1:2" x14ac:dyDescent="0.3">
      <c r="A2536" s="5" t="s">
        <v>88</v>
      </c>
      <c r="B2536">
        <f>VLOOKUP(A2536,Table1[[Item Purchased]:[Subscription Status]],8,FALSE)</f>
        <v>4.0999999999999996</v>
      </c>
    </row>
    <row r="2537" spans="1:2" x14ac:dyDescent="0.3">
      <c r="A2537" s="6" t="s">
        <v>61</v>
      </c>
      <c r="B2537">
        <f>VLOOKUP(A2537,Table1[[Item Purchased]:[Subscription Status]],8,FALSE)</f>
        <v>2.6</v>
      </c>
    </row>
    <row r="2538" spans="1:2" x14ac:dyDescent="0.3">
      <c r="A2538" s="5" t="s">
        <v>132</v>
      </c>
      <c r="B2538">
        <f>VLOOKUP(A2538,Table1[[Item Purchased]:[Subscription Status]],8,FALSE)</f>
        <v>4.5999999999999996</v>
      </c>
    </row>
    <row r="2539" spans="1:2" x14ac:dyDescent="0.3">
      <c r="A2539" s="6" t="s">
        <v>61</v>
      </c>
      <c r="B2539">
        <f>VLOOKUP(A2539,Table1[[Item Purchased]:[Subscription Status]],8,FALSE)</f>
        <v>2.6</v>
      </c>
    </row>
    <row r="2540" spans="1:2" x14ac:dyDescent="0.3">
      <c r="A2540" s="5" t="s">
        <v>118</v>
      </c>
      <c r="B2540">
        <f>VLOOKUP(A2540,Table1[[Item Purchased]:[Subscription Status]],8,FALSE)</f>
        <v>4.5</v>
      </c>
    </row>
    <row r="2541" spans="1:2" x14ac:dyDescent="0.3">
      <c r="A2541" s="6" t="s">
        <v>40</v>
      </c>
      <c r="B2541">
        <f>VLOOKUP(A2541,Table1[[Item Purchased]:[Subscription Status]],8,FALSE)</f>
        <v>3.5</v>
      </c>
    </row>
    <row r="2542" spans="1:2" x14ac:dyDescent="0.3">
      <c r="A2542" s="5" t="s">
        <v>132</v>
      </c>
      <c r="B2542">
        <f>VLOOKUP(A2542,Table1[[Item Purchased]:[Subscription Status]],8,FALSE)</f>
        <v>4.5999999999999996</v>
      </c>
    </row>
    <row r="2543" spans="1:2" x14ac:dyDescent="0.3">
      <c r="A2543" s="6" t="s">
        <v>118</v>
      </c>
      <c r="B2543">
        <f>VLOOKUP(A2543,Table1[[Item Purchased]:[Subscription Status]],8,FALSE)</f>
        <v>4.5</v>
      </c>
    </row>
    <row r="2544" spans="1:2" x14ac:dyDescent="0.3">
      <c r="A2544" s="5" t="s">
        <v>105</v>
      </c>
      <c r="B2544">
        <f>VLOOKUP(A2544,Table1[[Item Purchased]:[Subscription Status]],8,FALSE)</f>
        <v>3.6</v>
      </c>
    </row>
    <row r="2545" spans="1:2" x14ac:dyDescent="0.3">
      <c r="A2545" s="6" t="s">
        <v>118</v>
      </c>
      <c r="B2545">
        <f>VLOOKUP(A2545,Table1[[Item Purchased]:[Subscription Status]],8,FALSE)</f>
        <v>4.5</v>
      </c>
    </row>
    <row r="2546" spans="1:2" x14ac:dyDescent="0.3">
      <c r="A2546" s="5" t="s">
        <v>94</v>
      </c>
      <c r="B2546">
        <f>VLOOKUP(A2546,Table1[[Item Purchased]:[Subscription Status]],8,FALSE)</f>
        <v>3.3</v>
      </c>
    </row>
    <row r="2547" spans="1:2" x14ac:dyDescent="0.3">
      <c r="A2547" s="6" t="s">
        <v>70</v>
      </c>
      <c r="B2547">
        <f>VLOOKUP(A2547,Table1[[Item Purchased]:[Subscription Status]],8,FALSE)</f>
        <v>4.0999999999999996</v>
      </c>
    </row>
    <row r="2548" spans="1:2" x14ac:dyDescent="0.3">
      <c r="A2548" s="5" t="s">
        <v>136</v>
      </c>
      <c r="B2548">
        <f>VLOOKUP(A2548,Table1[[Item Purchased]:[Subscription Status]],8,FALSE)</f>
        <v>4.8</v>
      </c>
    </row>
    <row r="2549" spans="1:2" x14ac:dyDescent="0.3">
      <c r="A2549" s="6" t="s">
        <v>101</v>
      </c>
      <c r="B2549">
        <f>VLOOKUP(A2549,Table1[[Item Purchased]:[Subscription Status]],8,FALSE)</f>
        <v>2.9</v>
      </c>
    </row>
    <row r="2550" spans="1:2" x14ac:dyDescent="0.3">
      <c r="A2550" s="5" t="s">
        <v>131</v>
      </c>
      <c r="B2550">
        <f>VLOOKUP(A2550,Table1[[Item Purchased]:[Subscription Status]],8,FALSE)</f>
        <v>4.7</v>
      </c>
    </row>
    <row r="2551" spans="1:2" x14ac:dyDescent="0.3">
      <c r="A2551" s="6" t="s">
        <v>101</v>
      </c>
      <c r="B2551">
        <f>VLOOKUP(A2551,Table1[[Item Purchased]:[Subscription Status]],8,FALSE)</f>
        <v>2.9</v>
      </c>
    </row>
    <row r="2552" spans="1:2" x14ac:dyDescent="0.3">
      <c r="A2552" s="5" t="s">
        <v>136</v>
      </c>
      <c r="B2552">
        <f>VLOOKUP(A2552,Table1[[Item Purchased]:[Subscription Status]],8,FALSE)</f>
        <v>4.8</v>
      </c>
    </row>
    <row r="2553" spans="1:2" x14ac:dyDescent="0.3">
      <c r="A2553" s="6" t="s">
        <v>70</v>
      </c>
      <c r="B2553">
        <f>VLOOKUP(A2553,Table1[[Item Purchased]:[Subscription Status]],8,FALSE)</f>
        <v>4.0999999999999996</v>
      </c>
    </row>
    <row r="2554" spans="1:2" x14ac:dyDescent="0.3">
      <c r="A2554" s="5" t="s">
        <v>132</v>
      </c>
      <c r="B2554">
        <f>VLOOKUP(A2554,Table1[[Item Purchased]:[Subscription Status]],8,FALSE)</f>
        <v>4.5999999999999996</v>
      </c>
    </row>
    <row r="2555" spans="1:2" x14ac:dyDescent="0.3">
      <c r="A2555" s="6" t="s">
        <v>105</v>
      </c>
      <c r="B2555">
        <f>VLOOKUP(A2555,Table1[[Item Purchased]:[Subscription Status]],8,FALSE)</f>
        <v>3.6</v>
      </c>
    </row>
    <row r="2556" spans="1:2" x14ac:dyDescent="0.3">
      <c r="A2556" s="5" t="s">
        <v>105</v>
      </c>
      <c r="B2556">
        <f>VLOOKUP(A2556,Table1[[Item Purchased]:[Subscription Status]],8,FALSE)</f>
        <v>3.6</v>
      </c>
    </row>
    <row r="2557" spans="1:2" x14ac:dyDescent="0.3">
      <c r="A2557" s="6" t="s">
        <v>94</v>
      </c>
      <c r="B2557">
        <f>VLOOKUP(A2557,Table1[[Item Purchased]:[Subscription Status]],8,FALSE)</f>
        <v>3.3</v>
      </c>
    </row>
    <row r="2558" spans="1:2" x14ac:dyDescent="0.3">
      <c r="A2558" s="5" t="s">
        <v>112</v>
      </c>
      <c r="B2558">
        <f>VLOOKUP(A2558,Table1[[Item Purchased]:[Subscription Status]],8,FALSE)</f>
        <v>4.5999999999999996</v>
      </c>
    </row>
    <row r="2559" spans="1:2" x14ac:dyDescent="0.3">
      <c r="A2559" s="6" t="s">
        <v>58</v>
      </c>
      <c r="B2559">
        <f>VLOOKUP(A2559,Table1[[Item Purchased]:[Subscription Status]],8,FALSE)</f>
        <v>3.2</v>
      </c>
    </row>
    <row r="2560" spans="1:2" x14ac:dyDescent="0.3">
      <c r="A2560" s="5" t="s">
        <v>103</v>
      </c>
      <c r="B2560">
        <f>VLOOKUP(A2560,Table1[[Item Purchased]:[Subscription Status]],8,FALSE)</f>
        <v>3.6</v>
      </c>
    </row>
    <row r="2561" spans="1:2" x14ac:dyDescent="0.3">
      <c r="A2561" s="6" t="s">
        <v>132</v>
      </c>
      <c r="B2561">
        <f>VLOOKUP(A2561,Table1[[Item Purchased]:[Subscription Status]],8,FALSE)</f>
        <v>4.5999999999999996</v>
      </c>
    </row>
    <row r="2562" spans="1:2" x14ac:dyDescent="0.3">
      <c r="A2562" s="5" t="s">
        <v>136</v>
      </c>
      <c r="B2562">
        <f>VLOOKUP(A2562,Table1[[Item Purchased]:[Subscription Status]],8,FALSE)</f>
        <v>4.8</v>
      </c>
    </row>
    <row r="2563" spans="1:2" x14ac:dyDescent="0.3">
      <c r="A2563" s="6" t="s">
        <v>103</v>
      </c>
      <c r="B2563">
        <f>VLOOKUP(A2563,Table1[[Item Purchased]:[Subscription Status]],8,FALSE)</f>
        <v>3.6</v>
      </c>
    </row>
    <row r="2564" spans="1:2" x14ac:dyDescent="0.3">
      <c r="A2564" s="5" t="s">
        <v>58</v>
      </c>
      <c r="B2564">
        <f>VLOOKUP(A2564,Table1[[Item Purchased]:[Subscription Status]],8,FALSE)</f>
        <v>3.2</v>
      </c>
    </row>
    <row r="2565" spans="1:2" x14ac:dyDescent="0.3">
      <c r="A2565" s="6" t="s">
        <v>131</v>
      </c>
      <c r="B2565">
        <f>VLOOKUP(A2565,Table1[[Item Purchased]:[Subscription Status]],8,FALSE)</f>
        <v>4.7</v>
      </c>
    </row>
    <row r="2566" spans="1:2" x14ac:dyDescent="0.3">
      <c r="A2566" s="5" t="s">
        <v>118</v>
      </c>
      <c r="B2566">
        <f>VLOOKUP(A2566,Table1[[Item Purchased]:[Subscription Status]],8,FALSE)</f>
        <v>4.5</v>
      </c>
    </row>
    <row r="2567" spans="1:2" x14ac:dyDescent="0.3">
      <c r="A2567" s="6" t="s">
        <v>124</v>
      </c>
      <c r="B2567">
        <f>VLOOKUP(A2567,Table1[[Item Purchased]:[Subscription Status]],8,FALSE)</f>
        <v>2.9</v>
      </c>
    </row>
    <row r="2568" spans="1:2" x14ac:dyDescent="0.3">
      <c r="A2568" s="5" t="s">
        <v>65</v>
      </c>
      <c r="B2568">
        <f>VLOOKUP(A2568,Table1[[Item Purchased]:[Subscription Status]],8,FALSE)</f>
        <v>4.8</v>
      </c>
    </row>
    <row r="2569" spans="1:2" x14ac:dyDescent="0.3">
      <c r="A2569" s="6" t="s">
        <v>88</v>
      </c>
      <c r="B2569">
        <f>VLOOKUP(A2569,Table1[[Item Purchased]:[Subscription Status]],8,FALSE)</f>
        <v>4.0999999999999996</v>
      </c>
    </row>
    <row r="2570" spans="1:2" x14ac:dyDescent="0.3">
      <c r="A2570" s="5" t="s">
        <v>112</v>
      </c>
      <c r="B2570">
        <f>VLOOKUP(A2570,Table1[[Item Purchased]:[Subscription Status]],8,FALSE)</f>
        <v>4.5999999999999996</v>
      </c>
    </row>
    <row r="2571" spans="1:2" x14ac:dyDescent="0.3">
      <c r="A2571" s="6" t="s">
        <v>80</v>
      </c>
      <c r="B2571">
        <f>VLOOKUP(A2571,Table1[[Item Purchased]:[Subscription Status]],8,FALSE)</f>
        <v>4.7</v>
      </c>
    </row>
    <row r="2572" spans="1:2" x14ac:dyDescent="0.3">
      <c r="A2572" s="5" t="s">
        <v>49</v>
      </c>
      <c r="B2572">
        <f>VLOOKUP(A2572,Table1[[Item Purchased]:[Subscription Status]],8,FALSE)</f>
        <v>2.9</v>
      </c>
    </row>
    <row r="2573" spans="1:2" x14ac:dyDescent="0.3">
      <c r="A2573" s="6" t="s">
        <v>88</v>
      </c>
      <c r="B2573">
        <f>VLOOKUP(A2573,Table1[[Item Purchased]:[Subscription Status]],8,FALSE)</f>
        <v>4.0999999999999996</v>
      </c>
    </row>
    <row r="2574" spans="1:2" x14ac:dyDescent="0.3">
      <c r="A2574" s="5" t="s">
        <v>19</v>
      </c>
      <c r="B2574">
        <f>VLOOKUP(A2574,Table1[[Item Purchased]:[Subscription Status]],8,FALSE)</f>
        <v>3.1</v>
      </c>
    </row>
    <row r="2575" spans="1:2" x14ac:dyDescent="0.3">
      <c r="A2575" s="6" t="s">
        <v>112</v>
      </c>
      <c r="B2575">
        <f>VLOOKUP(A2575,Table1[[Item Purchased]:[Subscription Status]],8,FALSE)</f>
        <v>4.5999999999999996</v>
      </c>
    </row>
    <row r="2576" spans="1:2" x14ac:dyDescent="0.3">
      <c r="A2576" s="5" t="s">
        <v>123</v>
      </c>
      <c r="B2576">
        <f>VLOOKUP(A2576,Table1[[Item Purchased]:[Subscription Status]],8,FALSE)</f>
        <v>4.5999999999999996</v>
      </c>
    </row>
    <row r="2577" spans="1:2" x14ac:dyDescent="0.3">
      <c r="A2577" s="6" t="s">
        <v>58</v>
      </c>
      <c r="B2577">
        <f>VLOOKUP(A2577,Table1[[Item Purchased]:[Subscription Status]],8,FALSE)</f>
        <v>3.2</v>
      </c>
    </row>
    <row r="2578" spans="1:2" x14ac:dyDescent="0.3">
      <c r="A2578" s="5" t="s">
        <v>103</v>
      </c>
      <c r="B2578">
        <f>VLOOKUP(A2578,Table1[[Item Purchased]:[Subscription Status]],8,FALSE)</f>
        <v>3.6</v>
      </c>
    </row>
    <row r="2579" spans="1:2" x14ac:dyDescent="0.3">
      <c r="A2579" s="6" t="s">
        <v>124</v>
      </c>
      <c r="B2579">
        <f>VLOOKUP(A2579,Table1[[Item Purchased]:[Subscription Status]],8,FALSE)</f>
        <v>2.9</v>
      </c>
    </row>
    <row r="2580" spans="1:2" x14ac:dyDescent="0.3">
      <c r="A2580" s="5" t="s">
        <v>88</v>
      </c>
      <c r="B2580">
        <f>VLOOKUP(A2580,Table1[[Item Purchased]:[Subscription Status]],8,FALSE)</f>
        <v>4.0999999999999996</v>
      </c>
    </row>
    <row r="2581" spans="1:2" x14ac:dyDescent="0.3">
      <c r="A2581" s="6" t="s">
        <v>19</v>
      </c>
      <c r="B2581">
        <f>VLOOKUP(A2581,Table1[[Item Purchased]:[Subscription Status]],8,FALSE)</f>
        <v>3.1</v>
      </c>
    </row>
    <row r="2582" spans="1:2" x14ac:dyDescent="0.3">
      <c r="A2582" s="5" t="s">
        <v>33</v>
      </c>
      <c r="B2582">
        <f>VLOOKUP(A2582,Table1[[Item Purchased]:[Subscription Status]],8,FALSE)</f>
        <v>3.1</v>
      </c>
    </row>
    <row r="2583" spans="1:2" x14ac:dyDescent="0.3">
      <c r="A2583" s="6" t="s">
        <v>80</v>
      </c>
      <c r="B2583">
        <f>VLOOKUP(A2583,Table1[[Item Purchased]:[Subscription Status]],8,FALSE)</f>
        <v>4.7</v>
      </c>
    </row>
    <row r="2584" spans="1:2" x14ac:dyDescent="0.3">
      <c r="A2584" s="5" t="s">
        <v>80</v>
      </c>
      <c r="B2584">
        <f>VLOOKUP(A2584,Table1[[Item Purchased]:[Subscription Status]],8,FALSE)</f>
        <v>4.7</v>
      </c>
    </row>
    <row r="2585" spans="1:2" x14ac:dyDescent="0.3">
      <c r="A2585" s="6" t="s">
        <v>33</v>
      </c>
      <c r="B2585">
        <f>VLOOKUP(A2585,Table1[[Item Purchased]:[Subscription Status]],8,FALSE)</f>
        <v>3.1</v>
      </c>
    </row>
    <row r="2586" spans="1:2" x14ac:dyDescent="0.3">
      <c r="A2586" s="5" t="s">
        <v>124</v>
      </c>
      <c r="B2586">
        <f>VLOOKUP(A2586,Table1[[Item Purchased]:[Subscription Status]],8,FALSE)</f>
        <v>2.9</v>
      </c>
    </row>
    <row r="2587" spans="1:2" x14ac:dyDescent="0.3">
      <c r="A2587" s="6" t="s">
        <v>88</v>
      </c>
      <c r="B2587">
        <f>VLOOKUP(A2587,Table1[[Item Purchased]:[Subscription Status]],8,FALSE)</f>
        <v>4.0999999999999996</v>
      </c>
    </row>
    <row r="2588" spans="1:2" x14ac:dyDescent="0.3">
      <c r="A2588" s="5" t="s">
        <v>61</v>
      </c>
      <c r="B2588">
        <f>VLOOKUP(A2588,Table1[[Item Purchased]:[Subscription Status]],8,FALSE)</f>
        <v>2.6</v>
      </c>
    </row>
    <row r="2589" spans="1:2" x14ac:dyDescent="0.3">
      <c r="A2589" s="6" t="s">
        <v>118</v>
      </c>
      <c r="B2589">
        <f>VLOOKUP(A2589,Table1[[Item Purchased]:[Subscription Status]],8,FALSE)</f>
        <v>4.5</v>
      </c>
    </row>
    <row r="2590" spans="1:2" x14ac:dyDescent="0.3">
      <c r="A2590" s="5" t="s">
        <v>131</v>
      </c>
      <c r="B2590">
        <f>VLOOKUP(A2590,Table1[[Item Purchased]:[Subscription Status]],8,FALSE)</f>
        <v>4.7</v>
      </c>
    </row>
    <row r="2591" spans="1:2" x14ac:dyDescent="0.3">
      <c r="A2591" s="6" t="s">
        <v>94</v>
      </c>
      <c r="B2591">
        <f>VLOOKUP(A2591,Table1[[Item Purchased]:[Subscription Status]],8,FALSE)</f>
        <v>3.3</v>
      </c>
    </row>
    <row r="2592" spans="1:2" x14ac:dyDescent="0.3">
      <c r="A2592" s="5" t="s">
        <v>142</v>
      </c>
      <c r="B2592">
        <f>VLOOKUP(A2592,Table1[[Item Purchased]:[Subscription Status]],8,FALSE)</f>
        <v>4.5</v>
      </c>
    </row>
    <row r="2593" spans="1:2" x14ac:dyDescent="0.3">
      <c r="A2593" s="6" t="s">
        <v>101</v>
      </c>
      <c r="B2593">
        <f>VLOOKUP(A2593,Table1[[Item Purchased]:[Subscription Status]],8,FALSE)</f>
        <v>2.9</v>
      </c>
    </row>
    <row r="2594" spans="1:2" x14ac:dyDescent="0.3">
      <c r="A2594" s="5" t="s">
        <v>58</v>
      </c>
      <c r="B2594">
        <f>VLOOKUP(A2594,Table1[[Item Purchased]:[Subscription Status]],8,FALSE)</f>
        <v>3.2</v>
      </c>
    </row>
    <row r="2595" spans="1:2" x14ac:dyDescent="0.3">
      <c r="A2595" s="6" t="s">
        <v>94</v>
      </c>
      <c r="B2595">
        <f>VLOOKUP(A2595,Table1[[Item Purchased]:[Subscription Status]],8,FALSE)</f>
        <v>3.3</v>
      </c>
    </row>
    <row r="2596" spans="1:2" x14ac:dyDescent="0.3">
      <c r="A2596" s="5" t="s">
        <v>86</v>
      </c>
      <c r="B2596">
        <f>VLOOKUP(A2596,Table1[[Item Purchased]:[Subscription Status]],8,FALSE)</f>
        <v>2.8</v>
      </c>
    </row>
    <row r="2597" spans="1:2" x14ac:dyDescent="0.3">
      <c r="A2597" s="6" t="s">
        <v>19</v>
      </c>
      <c r="B2597">
        <f>VLOOKUP(A2597,Table1[[Item Purchased]:[Subscription Status]],8,FALSE)</f>
        <v>3.1</v>
      </c>
    </row>
    <row r="2598" spans="1:2" x14ac:dyDescent="0.3">
      <c r="A2598" s="5" t="s">
        <v>54</v>
      </c>
      <c r="B2598">
        <f>VLOOKUP(A2598,Table1[[Item Purchased]:[Subscription Status]],8,FALSE)</f>
        <v>3.2</v>
      </c>
    </row>
    <row r="2599" spans="1:2" x14ac:dyDescent="0.3">
      <c r="A2599" s="6" t="s">
        <v>105</v>
      </c>
      <c r="B2599">
        <f>VLOOKUP(A2599,Table1[[Item Purchased]:[Subscription Status]],8,FALSE)</f>
        <v>3.6</v>
      </c>
    </row>
    <row r="2600" spans="1:2" x14ac:dyDescent="0.3">
      <c r="A2600" s="5" t="s">
        <v>131</v>
      </c>
      <c r="B2600">
        <f>VLOOKUP(A2600,Table1[[Item Purchased]:[Subscription Status]],8,FALSE)</f>
        <v>4.7</v>
      </c>
    </row>
    <row r="2601" spans="1:2" x14ac:dyDescent="0.3">
      <c r="A2601" s="6" t="s">
        <v>105</v>
      </c>
      <c r="B2601">
        <f>VLOOKUP(A2601,Table1[[Item Purchased]:[Subscription Status]],8,FALSE)</f>
        <v>3.6</v>
      </c>
    </row>
    <row r="2602" spans="1:2" x14ac:dyDescent="0.3">
      <c r="A2602" s="5" t="s">
        <v>132</v>
      </c>
      <c r="B2602">
        <f>VLOOKUP(A2602,Table1[[Item Purchased]:[Subscription Status]],8,FALSE)</f>
        <v>4.5999999999999996</v>
      </c>
    </row>
    <row r="2603" spans="1:2" x14ac:dyDescent="0.3">
      <c r="A2603" s="6" t="s">
        <v>80</v>
      </c>
      <c r="B2603">
        <f>VLOOKUP(A2603,Table1[[Item Purchased]:[Subscription Status]],8,FALSE)</f>
        <v>4.7</v>
      </c>
    </row>
    <row r="2604" spans="1:2" x14ac:dyDescent="0.3">
      <c r="A2604" s="5" t="s">
        <v>61</v>
      </c>
      <c r="B2604">
        <f>VLOOKUP(A2604,Table1[[Item Purchased]:[Subscription Status]],8,FALSE)</f>
        <v>2.6</v>
      </c>
    </row>
    <row r="2605" spans="1:2" x14ac:dyDescent="0.3">
      <c r="A2605" s="6" t="s">
        <v>80</v>
      </c>
      <c r="B2605">
        <f>VLOOKUP(A2605,Table1[[Item Purchased]:[Subscription Status]],8,FALSE)</f>
        <v>4.7</v>
      </c>
    </row>
    <row r="2606" spans="1:2" x14ac:dyDescent="0.3">
      <c r="A2606" s="5" t="s">
        <v>29</v>
      </c>
      <c r="B2606">
        <f>VLOOKUP(A2606,Table1[[Item Purchased]:[Subscription Status]],8,FALSE)</f>
        <v>3.1</v>
      </c>
    </row>
    <row r="2607" spans="1:2" x14ac:dyDescent="0.3">
      <c r="A2607" s="6" t="s">
        <v>103</v>
      </c>
      <c r="B2607">
        <f>VLOOKUP(A2607,Table1[[Item Purchased]:[Subscription Status]],8,FALSE)</f>
        <v>3.6</v>
      </c>
    </row>
    <row r="2608" spans="1:2" x14ac:dyDescent="0.3">
      <c r="A2608" s="5" t="s">
        <v>70</v>
      </c>
      <c r="B2608">
        <f>VLOOKUP(A2608,Table1[[Item Purchased]:[Subscription Status]],8,FALSE)</f>
        <v>4.0999999999999996</v>
      </c>
    </row>
    <row r="2609" spans="1:2" x14ac:dyDescent="0.3">
      <c r="A2609" s="6" t="s">
        <v>70</v>
      </c>
      <c r="B2609">
        <f>VLOOKUP(A2609,Table1[[Item Purchased]:[Subscription Status]],8,FALSE)</f>
        <v>4.0999999999999996</v>
      </c>
    </row>
    <row r="2610" spans="1:2" x14ac:dyDescent="0.3">
      <c r="A2610" s="5" t="s">
        <v>101</v>
      </c>
      <c r="B2610">
        <f>VLOOKUP(A2610,Table1[[Item Purchased]:[Subscription Status]],8,FALSE)</f>
        <v>2.9</v>
      </c>
    </row>
    <row r="2611" spans="1:2" x14ac:dyDescent="0.3">
      <c r="A2611" s="6" t="s">
        <v>131</v>
      </c>
      <c r="B2611">
        <f>VLOOKUP(A2611,Table1[[Item Purchased]:[Subscription Status]],8,FALSE)</f>
        <v>4.7</v>
      </c>
    </row>
    <row r="2612" spans="1:2" x14ac:dyDescent="0.3">
      <c r="A2612" s="5" t="s">
        <v>33</v>
      </c>
      <c r="B2612">
        <f>VLOOKUP(A2612,Table1[[Item Purchased]:[Subscription Status]],8,FALSE)</f>
        <v>3.1</v>
      </c>
    </row>
    <row r="2613" spans="1:2" x14ac:dyDescent="0.3">
      <c r="A2613" s="6" t="s">
        <v>101</v>
      </c>
      <c r="B2613">
        <f>VLOOKUP(A2613,Table1[[Item Purchased]:[Subscription Status]],8,FALSE)</f>
        <v>2.9</v>
      </c>
    </row>
    <row r="2614" spans="1:2" x14ac:dyDescent="0.3">
      <c r="A2614" s="5" t="s">
        <v>88</v>
      </c>
      <c r="B2614">
        <f>VLOOKUP(A2614,Table1[[Item Purchased]:[Subscription Status]],8,FALSE)</f>
        <v>4.0999999999999996</v>
      </c>
    </row>
    <row r="2615" spans="1:2" x14ac:dyDescent="0.3">
      <c r="A2615" s="6" t="s">
        <v>142</v>
      </c>
      <c r="B2615">
        <f>VLOOKUP(A2615,Table1[[Item Purchased]:[Subscription Status]],8,FALSE)</f>
        <v>4.5</v>
      </c>
    </row>
    <row r="2616" spans="1:2" x14ac:dyDescent="0.3">
      <c r="A2616" s="5" t="s">
        <v>101</v>
      </c>
      <c r="B2616">
        <f>VLOOKUP(A2616,Table1[[Item Purchased]:[Subscription Status]],8,FALSE)</f>
        <v>2.9</v>
      </c>
    </row>
    <row r="2617" spans="1:2" x14ac:dyDescent="0.3">
      <c r="A2617" s="6" t="s">
        <v>112</v>
      </c>
      <c r="B2617">
        <f>VLOOKUP(A2617,Table1[[Item Purchased]:[Subscription Status]],8,FALSE)</f>
        <v>4.5999999999999996</v>
      </c>
    </row>
    <row r="2618" spans="1:2" x14ac:dyDescent="0.3">
      <c r="A2618" s="5" t="s">
        <v>40</v>
      </c>
      <c r="B2618">
        <f>VLOOKUP(A2618,Table1[[Item Purchased]:[Subscription Status]],8,FALSE)</f>
        <v>3.5</v>
      </c>
    </row>
    <row r="2619" spans="1:2" x14ac:dyDescent="0.3">
      <c r="A2619" s="6" t="s">
        <v>58</v>
      </c>
      <c r="B2619">
        <f>VLOOKUP(A2619,Table1[[Item Purchased]:[Subscription Status]],8,FALSE)</f>
        <v>3.2</v>
      </c>
    </row>
    <row r="2620" spans="1:2" x14ac:dyDescent="0.3">
      <c r="A2620" s="5" t="s">
        <v>65</v>
      </c>
      <c r="B2620">
        <f>VLOOKUP(A2620,Table1[[Item Purchased]:[Subscription Status]],8,FALSE)</f>
        <v>4.8</v>
      </c>
    </row>
    <row r="2621" spans="1:2" x14ac:dyDescent="0.3">
      <c r="A2621" s="6" t="s">
        <v>94</v>
      </c>
      <c r="B2621">
        <f>VLOOKUP(A2621,Table1[[Item Purchased]:[Subscription Status]],8,FALSE)</f>
        <v>3.3</v>
      </c>
    </row>
    <row r="2622" spans="1:2" x14ac:dyDescent="0.3">
      <c r="A2622" s="5" t="s">
        <v>19</v>
      </c>
      <c r="B2622">
        <f>VLOOKUP(A2622,Table1[[Item Purchased]:[Subscription Status]],8,FALSE)</f>
        <v>3.1</v>
      </c>
    </row>
    <row r="2623" spans="1:2" x14ac:dyDescent="0.3">
      <c r="A2623" s="6" t="s">
        <v>70</v>
      </c>
      <c r="B2623">
        <f>VLOOKUP(A2623,Table1[[Item Purchased]:[Subscription Status]],8,FALSE)</f>
        <v>4.0999999999999996</v>
      </c>
    </row>
    <row r="2624" spans="1:2" x14ac:dyDescent="0.3">
      <c r="A2624" s="5" t="s">
        <v>131</v>
      </c>
      <c r="B2624">
        <f>VLOOKUP(A2624,Table1[[Item Purchased]:[Subscription Status]],8,FALSE)</f>
        <v>4.7</v>
      </c>
    </row>
    <row r="2625" spans="1:2" x14ac:dyDescent="0.3">
      <c r="A2625" s="6" t="s">
        <v>70</v>
      </c>
      <c r="B2625">
        <f>VLOOKUP(A2625,Table1[[Item Purchased]:[Subscription Status]],8,FALSE)</f>
        <v>4.0999999999999996</v>
      </c>
    </row>
    <row r="2626" spans="1:2" x14ac:dyDescent="0.3">
      <c r="A2626" s="5" t="s">
        <v>80</v>
      </c>
      <c r="B2626">
        <f>VLOOKUP(A2626,Table1[[Item Purchased]:[Subscription Status]],8,FALSE)</f>
        <v>4.7</v>
      </c>
    </row>
    <row r="2627" spans="1:2" x14ac:dyDescent="0.3">
      <c r="A2627" s="6" t="s">
        <v>86</v>
      </c>
      <c r="B2627">
        <f>VLOOKUP(A2627,Table1[[Item Purchased]:[Subscription Status]],8,FALSE)</f>
        <v>2.8</v>
      </c>
    </row>
    <row r="2628" spans="1:2" x14ac:dyDescent="0.3">
      <c r="A2628" s="5" t="s">
        <v>101</v>
      </c>
      <c r="B2628">
        <f>VLOOKUP(A2628,Table1[[Item Purchased]:[Subscription Status]],8,FALSE)</f>
        <v>2.9</v>
      </c>
    </row>
    <row r="2629" spans="1:2" x14ac:dyDescent="0.3">
      <c r="A2629" s="6" t="s">
        <v>54</v>
      </c>
      <c r="B2629">
        <f>VLOOKUP(A2629,Table1[[Item Purchased]:[Subscription Status]],8,FALSE)</f>
        <v>3.2</v>
      </c>
    </row>
    <row r="2630" spans="1:2" x14ac:dyDescent="0.3">
      <c r="A2630" s="5" t="s">
        <v>103</v>
      </c>
      <c r="B2630">
        <f>VLOOKUP(A2630,Table1[[Item Purchased]:[Subscription Status]],8,FALSE)</f>
        <v>3.6</v>
      </c>
    </row>
    <row r="2631" spans="1:2" x14ac:dyDescent="0.3">
      <c r="A2631" s="6" t="s">
        <v>118</v>
      </c>
      <c r="B2631">
        <f>VLOOKUP(A2631,Table1[[Item Purchased]:[Subscription Status]],8,FALSE)</f>
        <v>4.5</v>
      </c>
    </row>
    <row r="2632" spans="1:2" x14ac:dyDescent="0.3">
      <c r="A2632" s="5" t="s">
        <v>86</v>
      </c>
      <c r="B2632">
        <f>VLOOKUP(A2632,Table1[[Item Purchased]:[Subscription Status]],8,FALSE)</f>
        <v>2.8</v>
      </c>
    </row>
    <row r="2633" spans="1:2" x14ac:dyDescent="0.3">
      <c r="A2633" s="6" t="s">
        <v>86</v>
      </c>
      <c r="B2633">
        <f>VLOOKUP(A2633,Table1[[Item Purchased]:[Subscription Status]],8,FALSE)</f>
        <v>2.8</v>
      </c>
    </row>
    <row r="2634" spans="1:2" x14ac:dyDescent="0.3">
      <c r="A2634" s="5" t="s">
        <v>118</v>
      </c>
      <c r="B2634">
        <f>VLOOKUP(A2634,Table1[[Item Purchased]:[Subscription Status]],8,FALSE)</f>
        <v>4.5</v>
      </c>
    </row>
    <row r="2635" spans="1:2" x14ac:dyDescent="0.3">
      <c r="A2635" s="6" t="s">
        <v>88</v>
      </c>
      <c r="B2635">
        <f>VLOOKUP(A2635,Table1[[Item Purchased]:[Subscription Status]],8,FALSE)</f>
        <v>4.0999999999999996</v>
      </c>
    </row>
    <row r="2636" spans="1:2" x14ac:dyDescent="0.3">
      <c r="A2636" s="5" t="s">
        <v>40</v>
      </c>
      <c r="B2636">
        <f>VLOOKUP(A2636,Table1[[Item Purchased]:[Subscription Status]],8,FALSE)</f>
        <v>3.5</v>
      </c>
    </row>
    <row r="2637" spans="1:2" x14ac:dyDescent="0.3">
      <c r="A2637" s="6" t="s">
        <v>103</v>
      </c>
      <c r="B2637">
        <f>VLOOKUP(A2637,Table1[[Item Purchased]:[Subscription Status]],8,FALSE)</f>
        <v>3.6</v>
      </c>
    </row>
    <row r="2638" spans="1:2" x14ac:dyDescent="0.3">
      <c r="A2638" s="5" t="s">
        <v>101</v>
      </c>
      <c r="B2638">
        <f>VLOOKUP(A2638,Table1[[Item Purchased]:[Subscription Status]],8,FALSE)</f>
        <v>2.9</v>
      </c>
    </row>
    <row r="2639" spans="1:2" x14ac:dyDescent="0.3">
      <c r="A2639" s="6" t="s">
        <v>94</v>
      </c>
      <c r="B2639">
        <f>VLOOKUP(A2639,Table1[[Item Purchased]:[Subscription Status]],8,FALSE)</f>
        <v>3.3</v>
      </c>
    </row>
    <row r="2640" spans="1:2" x14ac:dyDescent="0.3">
      <c r="A2640" s="5" t="s">
        <v>54</v>
      </c>
      <c r="B2640">
        <f>VLOOKUP(A2640,Table1[[Item Purchased]:[Subscription Status]],8,FALSE)</f>
        <v>3.2</v>
      </c>
    </row>
    <row r="2641" spans="1:2" x14ac:dyDescent="0.3">
      <c r="A2641" s="6" t="s">
        <v>19</v>
      </c>
      <c r="B2641">
        <f>VLOOKUP(A2641,Table1[[Item Purchased]:[Subscription Status]],8,FALSE)</f>
        <v>3.1</v>
      </c>
    </row>
    <row r="2642" spans="1:2" x14ac:dyDescent="0.3">
      <c r="A2642" s="5" t="s">
        <v>86</v>
      </c>
      <c r="B2642">
        <f>VLOOKUP(A2642,Table1[[Item Purchased]:[Subscription Status]],8,FALSE)</f>
        <v>2.8</v>
      </c>
    </row>
    <row r="2643" spans="1:2" x14ac:dyDescent="0.3">
      <c r="A2643" s="6" t="s">
        <v>88</v>
      </c>
      <c r="B2643">
        <f>VLOOKUP(A2643,Table1[[Item Purchased]:[Subscription Status]],8,FALSE)</f>
        <v>4.0999999999999996</v>
      </c>
    </row>
    <row r="2644" spans="1:2" x14ac:dyDescent="0.3">
      <c r="A2644" s="5" t="s">
        <v>132</v>
      </c>
      <c r="B2644">
        <f>VLOOKUP(A2644,Table1[[Item Purchased]:[Subscription Status]],8,FALSE)</f>
        <v>4.5999999999999996</v>
      </c>
    </row>
    <row r="2645" spans="1:2" x14ac:dyDescent="0.3">
      <c r="A2645" s="6" t="s">
        <v>142</v>
      </c>
      <c r="B2645">
        <f>VLOOKUP(A2645,Table1[[Item Purchased]:[Subscription Status]],8,FALSE)</f>
        <v>4.5</v>
      </c>
    </row>
    <row r="2646" spans="1:2" x14ac:dyDescent="0.3">
      <c r="A2646" s="5" t="s">
        <v>94</v>
      </c>
      <c r="B2646">
        <f>VLOOKUP(A2646,Table1[[Item Purchased]:[Subscription Status]],8,FALSE)</f>
        <v>3.3</v>
      </c>
    </row>
    <row r="2647" spans="1:2" x14ac:dyDescent="0.3">
      <c r="A2647" s="6" t="s">
        <v>118</v>
      </c>
      <c r="B2647">
        <f>VLOOKUP(A2647,Table1[[Item Purchased]:[Subscription Status]],8,FALSE)</f>
        <v>4.5</v>
      </c>
    </row>
    <row r="2648" spans="1:2" x14ac:dyDescent="0.3">
      <c r="A2648" s="5" t="s">
        <v>112</v>
      </c>
      <c r="B2648">
        <f>VLOOKUP(A2648,Table1[[Item Purchased]:[Subscription Status]],8,FALSE)</f>
        <v>4.5999999999999996</v>
      </c>
    </row>
    <row r="2649" spans="1:2" x14ac:dyDescent="0.3">
      <c r="A2649" s="6" t="s">
        <v>70</v>
      </c>
      <c r="B2649">
        <f>VLOOKUP(A2649,Table1[[Item Purchased]:[Subscription Status]],8,FALSE)</f>
        <v>4.0999999999999996</v>
      </c>
    </row>
    <row r="2650" spans="1:2" x14ac:dyDescent="0.3">
      <c r="A2650" s="5" t="s">
        <v>94</v>
      </c>
      <c r="B2650">
        <f>VLOOKUP(A2650,Table1[[Item Purchased]:[Subscription Status]],8,FALSE)</f>
        <v>3.3</v>
      </c>
    </row>
    <row r="2651" spans="1:2" x14ac:dyDescent="0.3">
      <c r="A2651" s="6" t="s">
        <v>142</v>
      </c>
      <c r="B2651">
        <f>VLOOKUP(A2651,Table1[[Item Purchased]:[Subscription Status]],8,FALSE)</f>
        <v>4.5</v>
      </c>
    </row>
    <row r="2652" spans="1:2" x14ac:dyDescent="0.3">
      <c r="A2652" s="5" t="s">
        <v>124</v>
      </c>
      <c r="B2652">
        <f>VLOOKUP(A2652,Table1[[Item Purchased]:[Subscription Status]],8,FALSE)</f>
        <v>2.9</v>
      </c>
    </row>
    <row r="2653" spans="1:2" x14ac:dyDescent="0.3">
      <c r="A2653" s="6" t="s">
        <v>49</v>
      </c>
      <c r="B2653">
        <f>VLOOKUP(A2653,Table1[[Item Purchased]:[Subscription Status]],8,FALSE)</f>
        <v>2.9</v>
      </c>
    </row>
    <row r="2654" spans="1:2" x14ac:dyDescent="0.3">
      <c r="A2654" s="5" t="s">
        <v>58</v>
      </c>
      <c r="B2654">
        <f>VLOOKUP(A2654,Table1[[Item Purchased]:[Subscription Status]],8,FALSE)</f>
        <v>3.2</v>
      </c>
    </row>
    <row r="2655" spans="1:2" x14ac:dyDescent="0.3">
      <c r="A2655" s="6" t="s">
        <v>19</v>
      </c>
      <c r="B2655">
        <f>VLOOKUP(A2655,Table1[[Item Purchased]:[Subscription Status]],8,FALSE)</f>
        <v>3.1</v>
      </c>
    </row>
    <row r="2656" spans="1:2" x14ac:dyDescent="0.3">
      <c r="A2656" s="5" t="s">
        <v>61</v>
      </c>
      <c r="B2656">
        <f>VLOOKUP(A2656,Table1[[Item Purchased]:[Subscription Status]],8,FALSE)</f>
        <v>2.6</v>
      </c>
    </row>
    <row r="2657" spans="1:2" x14ac:dyDescent="0.3">
      <c r="A2657" s="6" t="s">
        <v>88</v>
      </c>
      <c r="B2657">
        <f>VLOOKUP(A2657,Table1[[Item Purchased]:[Subscription Status]],8,FALSE)</f>
        <v>4.0999999999999996</v>
      </c>
    </row>
    <row r="2658" spans="1:2" x14ac:dyDescent="0.3">
      <c r="A2658" s="5" t="s">
        <v>58</v>
      </c>
      <c r="B2658">
        <f>VLOOKUP(A2658,Table1[[Item Purchased]:[Subscription Status]],8,FALSE)</f>
        <v>3.2</v>
      </c>
    </row>
    <row r="2659" spans="1:2" x14ac:dyDescent="0.3">
      <c r="A2659" s="6" t="s">
        <v>80</v>
      </c>
      <c r="B2659">
        <f>VLOOKUP(A2659,Table1[[Item Purchased]:[Subscription Status]],8,FALSE)</f>
        <v>4.7</v>
      </c>
    </row>
    <row r="2660" spans="1:2" x14ac:dyDescent="0.3">
      <c r="A2660" s="5" t="s">
        <v>65</v>
      </c>
      <c r="B2660">
        <f>VLOOKUP(A2660,Table1[[Item Purchased]:[Subscription Status]],8,FALSE)</f>
        <v>4.8</v>
      </c>
    </row>
    <row r="2661" spans="1:2" x14ac:dyDescent="0.3">
      <c r="A2661" s="6" t="s">
        <v>136</v>
      </c>
      <c r="B2661">
        <f>VLOOKUP(A2661,Table1[[Item Purchased]:[Subscription Status]],8,FALSE)</f>
        <v>4.8</v>
      </c>
    </row>
    <row r="2662" spans="1:2" x14ac:dyDescent="0.3">
      <c r="A2662" s="5" t="s">
        <v>94</v>
      </c>
      <c r="B2662">
        <f>VLOOKUP(A2662,Table1[[Item Purchased]:[Subscription Status]],8,FALSE)</f>
        <v>3.3</v>
      </c>
    </row>
    <row r="2663" spans="1:2" x14ac:dyDescent="0.3">
      <c r="A2663" s="6" t="s">
        <v>136</v>
      </c>
      <c r="B2663">
        <f>VLOOKUP(A2663,Table1[[Item Purchased]:[Subscription Status]],8,FALSE)</f>
        <v>4.8</v>
      </c>
    </row>
    <row r="2664" spans="1:2" x14ac:dyDescent="0.3">
      <c r="A2664" s="5" t="s">
        <v>86</v>
      </c>
      <c r="B2664">
        <f>VLOOKUP(A2664,Table1[[Item Purchased]:[Subscription Status]],8,FALSE)</f>
        <v>2.8</v>
      </c>
    </row>
    <row r="2665" spans="1:2" x14ac:dyDescent="0.3">
      <c r="A2665" s="6" t="s">
        <v>49</v>
      </c>
      <c r="B2665">
        <f>VLOOKUP(A2665,Table1[[Item Purchased]:[Subscription Status]],8,FALSE)</f>
        <v>2.9</v>
      </c>
    </row>
    <row r="2666" spans="1:2" x14ac:dyDescent="0.3">
      <c r="A2666" s="5" t="s">
        <v>105</v>
      </c>
      <c r="B2666">
        <f>VLOOKUP(A2666,Table1[[Item Purchased]:[Subscription Status]],8,FALSE)</f>
        <v>3.6</v>
      </c>
    </row>
    <row r="2667" spans="1:2" x14ac:dyDescent="0.3">
      <c r="A2667" s="6" t="s">
        <v>112</v>
      </c>
      <c r="B2667">
        <f>VLOOKUP(A2667,Table1[[Item Purchased]:[Subscription Status]],8,FALSE)</f>
        <v>4.5999999999999996</v>
      </c>
    </row>
    <row r="2668" spans="1:2" x14ac:dyDescent="0.3">
      <c r="A2668" s="5" t="s">
        <v>40</v>
      </c>
      <c r="B2668">
        <f>VLOOKUP(A2668,Table1[[Item Purchased]:[Subscription Status]],8,FALSE)</f>
        <v>3.5</v>
      </c>
    </row>
    <row r="2669" spans="1:2" x14ac:dyDescent="0.3">
      <c r="A2669" s="6" t="s">
        <v>136</v>
      </c>
      <c r="B2669">
        <f>VLOOKUP(A2669,Table1[[Item Purchased]:[Subscription Status]],8,FALSE)</f>
        <v>4.8</v>
      </c>
    </row>
    <row r="2670" spans="1:2" x14ac:dyDescent="0.3">
      <c r="A2670" s="5" t="s">
        <v>61</v>
      </c>
      <c r="B2670">
        <f>VLOOKUP(A2670,Table1[[Item Purchased]:[Subscription Status]],8,FALSE)</f>
        <v>2.6</v>
      </c>
    </row>
    <row r="2671" spans="1:2" x14ac:dyDescent="0.3">
      <c r="A2671" s="6" t="s">
        <v>132</v>
      </c>
      <c r="B2671">
        <f>VLOOKUP(A2671,Table1[[Item Purchased]:[Subscription Status]],8,FALSE)</f>
        <v>4.5999999999999996</v>
      </c>
    </row>
    <row r="2672" spans="1:2" x14ac:dyDescent="0.3">
      <c r="A2672" s="5" t="s">
        <v>88</v>
      </c>
      <c r="B2672">
        <f>VLOOKUP(A2672,Table1[[Item Purchased]:[Subscription Status]],8,FALSE)</f>
        <v>4.0999999999999996</v>
      </c>
    </row>
    <row r="2673" spans="1:2" x14ac:dyDescent="0.3">
      <c r="A2673" s="6" t="s">
        <v>40</v>
      </c>
      <c r="B2673">
        <f>VLOOKUP(A2673,Table1[[Item Purchased]:[Subscription Status]],8,FALSE)</f>
        <v>3.5</v>
      </c>
    </row>
    <row r="2674" spans="1:2" x14ac:dyDescent="0.3">
      <c r="A2674" s="5" t="s">
        <v>136</v>
      </c>
      <c r="B2674">
        <f>VLOOKUP(A2674,Table1[[Item Purchased]:[Subscription Status]],8,FALSE)</f>
        <v>4.8</v>
      </c>
    </row>
    <row r="2675" spans="1:2" x14ac:dyDescent="0.3">
      <c r="A2675" s="6" t="s">
        <v>103</v>
      </c>
      <c r="B2675">
        <f>VLOOKUP(A2675,Table1[[Item Purchased]:[Subscription Status]],8,FALSE)</f>
        <v>3.6</v>
      </c>
    </row>
    <row r="2676" spans="1:2" x14ac:dyDescent="0.3">
      <c r="A2676" s="5" t="s">
        <v>123</v>
      </c>
      <c r="B2676">
        <f>VLOOKUP(A2676,Table1[[Item Purchased]:[Subscription Status]],8,FALSE)</f>
        <v>4.5999999999999996</v>
      </c>
    </row>
    <row r="2677" spans="1:2" x14ac:dyDescent="0.3">
      <c r="A2677" s="6" t="s">
        <v>58</v>
      </c>
      <c r="B2677">
        <f>VLOOKUP(A2677,Table1[[Item Purchased]:[Subscription Status]],8,FALSE)</f>
        <v>3.2</v>
      </c>
    </row>
    <row r="2678" spans="1:2" x14ac:dyDescent="0.3">
      <c r="A2678" s="5" t="s">
        <v>131</v>
      </c>
      <c r="B2678">
        <f>VLOOKUP(A2678,Table1[[Item Purchased]:[Subscription Status]],8,FALSE)</f>
        <v>4.7</v>
      </c>
    </row>
    <row r="2679" spans="1:2" x14ac:dyDescent="0.3">
      <c r="A2679" s="6" t="s">
        <v>58</v>
      </c>
      <c r="B2679">
        <f>VLOOKUP(A2679,Table1[[Item Purchased]:[Subscription Status]],8,FALSE)</f>
        <v>3.2</v>
      </c>
    </row>
    <row r="2680" spans="1:2" x14ac:dyDescent="0.3">
      <c r="A2680" s="5" t="s">
        <v>132</v>
      </c>
      <c r="B2680">
        <f>VLOOKUP(A2680,Table1[[Item Purchased]:[Subscription Status]],8,FALSE)</f>
        <v>4.5999999999999996</v>
      </c>
    </row>
    <row r="2681" spans="1:2" x14ac:dyDescent="0.3">
      <c r="A2681" s="6" t="s">
        <v>58</v>
      </c>
      <c r="B2681">
        <f>VLOOKUP(A2681,Table1[[Item Purchased]:[Subscription Status]],8,FALSE)</f>
        <v>3.2</v>
      </c>
    </row>
    <row r="2682" spans="1:2" x14ac:dyDescent="0.3">
      <c r="A2682" s="5" t="s">
        <v>124</v>
      </c>
      <c r="B2682">
        <f>VLOOKUP(A2682,Table1[[Item Purchased]:[Subscription Status]],8,FALSE)</f>
        <v>2.9</v>
      </c>
    </row>
    <row r="2683" spans="1:2" x14ac:dyDescent="0.3">
      <c r="A2683" s="6" t="s">
        <v>70</v>
      </c>
      <c r="B2683">
        <f>VLOOKUP(A2683,Table1[[Item Purchased]:[Subscription Status]],8,FALSE)</f>
        <v>4.0999999999999996</v>
      </c>
    </row>
    <row r="2684" spans="1:2" x14ac:dyDescent="0.3">
      <c r="A2684" s="5" t="s">
        <v>49</v>
      </c>
      <c r="B2684">
        <f>VLOOKUP(A2684,Table1[[Item Purchased]:[Subscription Status]],8,FALSE)</f>
        <v>2.9</v>
      </c>
    </row>
    <row r="2685" spans="1:2" x14ac:dyDescent="0.3">
      <c r="A2685" s="6" t="s">
        <v>131</v>
      </c>
      <c r="B2685">
        <f>VLOOKUP(A2685,Table1[[Item Purchased]:[Subscription Status]],8,FALSE)</f>
        <v>4.7</v>
      </c>
    </row>
    <row r="2686" spans="1:2" x14ac:dyDescent="0.3">
      <c r="A2686" s="5" t="s">
        <v>80</v>
      </c>
      <c r="B2686">
        <f>VLOOKUP(A2686,Table1[[Item Purchased]:[Subscription Status]],8,FALSE)</f>
        <v>4.7</v>
      </c>
    </row>
    <row r="2687" spans="1:2" x14ac:dyDescent="0.3">
      <c r="A2687" s="6" t="s">
        <v>136</v>
      </c>
      <c r="B2687">
        <f>VLOOKUP(A2687,Table1[[Item Purchased]:[Subscription Status]],8,FALSE)</f>
        <v>4.8</v>
      </c>
    </row>
    <row r="2688" spans="1:2" x14ac:dyDescent="0.3">
      <c r="A2688" s="5" t="s">
        <v>124</v>
      </c>
      <c r="B2688">
        <f>VLOOKUP(A2688,Table1[[Item Purchased]:[Subscription Status]],8,FALSE)</f>
        <v>2.9</v>
      </c>
    </row>
    <row r="2689" spans="1:2" x14ac:dyDescent="0.3">
      <c r="A2689" s="6" t="s">
        <v>80</v>
      </c>
      <c r="B2689">
        <f>VLOOKUP(A2689,Table1[[Item Purchased]:[Subscription Status]],8,FALSE)</f>
        <v>4.7</v>
      </c>
    </row>
    <row r="2690" spans="1:2" x14ac:dyDescent="0.3">
      <c r="A2690" s="5" t="s">
        <v>65</v>
      </c>
      <c r="B2690">
        <f>VLOOKUP(A2690,Table1[[Item Purchased]:[Subscription Status]],8,FALSE)</f>
        <v>4.8</v>
      </c>
    </row>
    <row r="2691" spans="1:2" x14ac:dyDescent="0.3">
      <c r="A2691" s="6" t="s">
        <v>19</v>
      </c>
      <c r="B2691">
        <f>VLOOKUP(A2691,Table1[[Item Purchased]:[Subscription Status]],8,FALSE)</f>
        <v>3.1</v>
      </c>
    </row>
    <row r="2692" spans="1:2" x14ac:dyDescent="0.3">
      <c r="A2692" s="5" t="s">
        <v>132</v>
      </c>
      <c r="B2692">
        <f>VLOOKUP(A2692,Table1[[Item Purchased]:[Subscription Status]],8,FALSE)</f>
        <v>4.5999999999999996</v>
      </c>
    </row>
    <row r="2693" spans="1:2" x14ac:dyDescent="0.3">
      <c r="A2693" s="6" t="s">
        <v>94</v>
      </c>
      <c r="B2693">
        <f>VLOOKUP(A2693,Table1[[Item Purchased]:[Subscription Status]],8,FALSE)</f>
        <v>3.3</v>
      </c>
    </row>
    <row r="2694" spans="1:2" x14ac:dyDescent="0.3">
      <c r="A2694" s="5" t="s">
        <v>49</v>
      </c>
      <c r="B2694">
        <f>VLOOKUP(A2694,Table1[[Item Purchased]:[Subscription Status]],8,FALSE)</f>
        <v>2.9</v>
      </c>
    </row>
    <row r="2695" spans="1:2" x14ac:dyDescent="0.3">
      <c r="A2695" s="6" t="s">
        <v>136</v>
      </c>
      <c r="B2695">
        <f>VLOOKUP(A2695,Table1[[Item Purchased]:[Subscription Status]],8,FALSE)</f>
        <v>4.8</v>
      </c>
    </row>
    <row r="2696" spans="1:2" x14ac:dyDescent="0.3">
      <c r="A2696" s="5" t="s">
        <v>88</v>
      </c>
      <c r="B2696">
        <f>VLOOKUP(A2696,Table1[[Item Purchased]:[Subscription Status]],8,FALSE)</f>
        <v>4.0999999999999996</v>
      </c>
    </row>
    <row r="2697" spans="1:2" x14ac:dyDescent="0.3">
      <c r="A2697" s="6" t="s">
        <v>123</v>
      </c>
      <c r="B2697">
        <f>VLOOKUP(A2697,Table1[[Item Purchased]:[Subscription Status]],8,FALSE)</f>
        <v>4.5999999999999996</v>
      </c>
    </row>
    <row r="2698" spans="1:2" x14ac:dyDescent="0.3">
      <c r="A2698" s="5" t="s">
        <v>61</v>
      </c>
      <c r="B2698">
        <f>VLOOKUP(A2698,Table1[[Item Purchased]:[Subscription Status]],8,FALSE)</f>
        <v>2.6</v>
      </c>
    </row>
    <row r="2699" spans="1:2" x14ac:dyDescent="0.3">
      <c r="A2699" s="6" t="s">
        <v>101</v>
      </c>
      <c r="B2699">
        <f>VLOOKUP(A2699,Table1[[Item Purchased]:[Subscription Status]],8,FALSE)</f>
        <v>2.9</v>
      </c>
    </row>
    <row r="2700" spans="1:2" x14ac:dyDescent="0.3">
      <c r="A2700" s="5" t="s">
        <v>103</v>
      </c>
      <c r="B2700">
        <f>VLOOKUP(A2700,Table1[[Item Purchased]:[Subscription Status]],8,FALSE)</f>
        <v>3.6</v>
      </c>
    </row>
    <row r="2701" spans="1:2" x14ac:dyDescent="0.3">
      <c r="A2701" s="6" t="s">
        <v>136</v>
      </c>
      <c r="B2701">
        <f>VLOOKUP(A2701,Table1[[Item Purchased]:[Subscription Status]],8,FALSE)</f>
        <v>4.8</v>
      </c>
    </row>
    <row r="2702" spans="1:2" x14ac:dyDescent="0.3">
      <c r="A2702" s="5" t="s">
        <v>112</v>
      </c>
      <c r="B2702">
        <f>VLOOKUP(A2702,Table1[[Item Purchased]:[Subscription Status]],8,FALSE)</f>
        <v>4.5999999999999996</v>
      </c>
    </row>
    <row r="2703" spans="1:2" x14ac:dyDescent="0.3">
      <c r="A2703" s="6" t="s">
        <v>29</v>
      </c>
      <c r="B2703">
        <f>VLOOKUP(A2703,Table1[[Item Purchased]:[Subscription Status]],8,FALSE)</f>
        <v>3.1</v>
      </c>
    </row>
    <row r="2704" spans="1:2" x14ac:dyDescent="0.3">
      <c r="A2704" s="5" t="s">
        <v>70</v>
      </c>
      <c r="B2704">
        <f>VLOOKUP(A2704,Table1[[Item Purchased]:[Subscription Status]],8,FALSE)</f>
        <v>4.0999999999999996</v>
      </c>
    </row>
    <row r="2705" spans="1:2" x14ac:dyDescent="0.3">
      <c r="A2705" s="6" t="s">
        <v>118</v>
      </c>
      <c r="B2705">
        <f>VLOOKUP(A2705,Table1[[Item Purchased]:[Subscription Status]],8,FALSE)</f>
        <v>4.5</v>
      </c>
    </row>
    <row r="2706" spans="1:2" x14ac:dyDescent="0.3">
      <c r="A2706" s="5" t="s">
        <v>80</v>
      </c>
      <c r="B2706">
        <f>VLOOKUP(A2706,Table1[[Item Purchased]:[Subscription Status]],8,FALSE)</f>
        <v>4.7</v>
      </c>
    </row>
    <row r="2707" spans="1:2" x14ac:dyDescent="0.3">
      <c r="A2707" s="6" t="s">
        <v>101</v>
      </c>
      <c r="B2707">
        <f>VLOOKUP(A2707,Table1[[Item Purchased]:[Subscription Status]],8,FALSE)</f>
        <v>2.9</v>
      </c>
    </row>
    <row r="2708" spans="1:2" x14ac:dyDescent="0.3">
      <c r="A2708" s="5" t="s">
        <v>70</v>
      </c>
      <c r="B2708">
        <f>VLOOKUP(A2708,Table1[[Item Purchased]:[Subscription Status]],8,FALSE)</f>
        <v>4.0999999999999996</v>
      </c>
    </row>
    <row r="2709" spans="1:2" x14ac:dyDescent="0.3">
      <c r="A2709" s="6" t="s">
        <v>131</v>
      </c>
      <c r="B2709">
        <f>VLOOKUP(A2709,Table1[[Item Purchased]:[Subscription Status]],8,FALSE)</f>
        <v>4.7</v>
      </c>
    </row>
    <row r="2710" spans="1:2" x14ac:dyDescent="0.3">
      <c r="A2710" s="5" t="s">
        <v>80</v>
      </c>
      <c r="B2710">
        <f>VLOOKUP(A2710,Table1[[Item Purchased]:[Subscription Status]],8,FALSE)</f>
        <v>4.7</v>
      </c>
    </row>
    <row r="2711" spans="1:2" x14ac:dyDescent="0.3">
      <c r="A2711" s="6" t="s">
        <v>54</v>
      </c>
      <c r="B2711">
        <f>VLOOKUP(A2711,Table1[[Item Purchased]:[Subscription Status]],8,FALSE)</f>
        <v>3.2</v>
      </c>
    </row>
    <row r="2712" spans="1:2" x14ac:dyDescent="0.3">
      <c r="A2712" s="5" t="s">
        <v>101</v>
      </c>
      <c r="B2712">
        <f>VLOOKUP(A2712,Table1[[Item Purchased]:[Subscription Status]],8,FALSE)</f>
        <v>2.9</v>
      </c>
    </row>
    <row r="2713" spans="1:2" x14ac:dyDescent="0.3">
      <c r="A2713" s="6" t="s">
        <v>88</v>
      </c>
      <c r="B2713">
        <f>VLOOKUP(A2713,Table1[[Item Purchased]:[Subscription Status]],8,FALSE)</f>
        <v>4.0999999999999996</v>
      </c>
    </row>
    <row r="2714" spans="1:2" x14ac:dyDescent="0.3">
      <c r="A2714" s="5" t="s">
        <v>101</v>
      </c>
      <c r="B2714">
        <f>VLOOKUP(A2714,Table1[[Item Purchased]:[Subscription Status]],8,FALSE)</f>
        <v>2.9</v>
      </c>
    </row>
    <row r="2715" spans="1:2" x14ac:dyDescent="0.3">
      <c r="A2715" s="6" t="s">
        <v>61</v>
      </c>
      <c r="B2715">
        <f>VLOOKUP(A2715,Table1[[Item Purchased]:[Subscription Status]],8,FALSE)</f>
        <v>2.6</v>
      </c>
    </row>
    <row r="2716" spans="1:2" x14ac:dyDescent="0.3">
      <c r="A2716" s="5" t="s">
        <v>29</v>
      </c>
      <c r="B2716">
        <f>VLOOKUP(A2716,Table1[[Item Purchased]:[Subscription Status]],8,FALSE)</f>
        <v>3.1</v>
      </c>
    </row>
    <row r="2717" spans="1:2" x14ac:dyDescent="0.3">
      <c r="A2717" s="6" t="s">
        <v>49</v>
      </c>
      <c r="B2717">
        <f>VLOOKUP(A2717,Table1[[Item Purchased]:[Subscription Status]],8,FALSE)</f>
        <v>2.9</v>
      </c>
    </row>
    <row r="2718" spans="1:2" x14ac:dyDescent="0.3">
      <c r="A2718" s="5" t="s">
        <v>70</v>
      </c>
      <c r="B2718">
        <f>VLOOKUP(A2718,Table1[[Item Purchased]:[Subscription Status]],8,FALSE)</f>
        <v>4.0999999999999996</v>
      </c>
    </row>
    <row r="2719" spans="1:2" x14ac:dyDescent="0.3">
      <c r="A2719" s="6" t="s">
        <v>88</v>
      </c>
      <c r="B2719">
        <f>VLOOKUP(A2719,Table1[[Item Purchased]:[Subscription Status]],8,FALSE)</f>
        <v>4.0999999999999996</v>
      </c>
    </row>
    <row r="2720" spans="1:2" x14ac:dyDescent="0.3">
      <c r="A2720" s="5" t="s">
        <v>58</v>
      </c>
      <c r="B2720">
        <f>VLOOKUP(A2720,Table1[[Item Purchased]:[Subscription Status]],8,FALSE)</f>
        <v>3.2</v>
      </c>
    </row>
    <row r="2721" spans="1:2" x14ac:dyDescent="0.3">
      <c r="A2721" s="6" t="s">
        <v>103</v>
      </c>
      <c r="B2721">
        <f>VLOOKUP(A2721,Table1[[Item Purchased]:[Subscription Status]],8,FALSE)</f>
        <v>3.6</v>
      </c>
    </row>
    <row r="2722" spans="1:2" x14ac:dyDescent="0.3">
      <c r="A2722" s="5" t="s">
        <v>118</v>
      </c>
      <c r="B2722">
        <f>VLOOKUP(A2722,Table1[[Item Purchased]:[Subscription Status]],8,FALSE)</f>
        <v>4.5</v>
      </c>
    </row>
    <row r="2723" spans="1:2" x14ac:dyDescent="0.3">
      <c r="A2723" s="6" t="s">
        <v>40</v>
      </c>
      <c r="B2723">
        <f>VLOOKUP(A2723,Table1[[Item Purchased]:[Subscription Status]],8,FALSE)</f>
        <v>3.5</v>
      </c>
    </row>
    <row r="2724" spans="1:2" x14ac:dyDescent="0.3">
      <c r="A2724" s="5" t="s">
        <v>123</v>
      </c>
      <c r="B2724">
        <f>VLOOKUP(A2724,Table1[[Item Purchased]:[Subscription Status]],8,FALSE)</f>
        <v>4.5999999999999996</v>
      </c>
    </row>
    <row r="2725" spans="1:2" x14ac:dyDescent="0.3">
      <c r="A2725" s="6" t="s">
        <v>70</v>
      </c>
      <c r="B2725">
        <f>VLOOKUP(A2725,Table1[[Item Purchased]:[Subscription Status]],8,FALSE)</f>
        <v>4.0999999999999996</v>
      </c>
    </row>
    <row r="2726" spans="1:2" x14ac:dyDescent="0.3">
      <c r="A2726" s="5" t="s">
        <v>49</v>
      </c>
      <c r="B2726">
        <f>VLOOKUP(A2726,Table1[[Item Purchased]:[Subscription Status]],8,FALSE)</f>
        <v>2.9</v>
      </c>
    </row>
    <row r="2727" spans="1:2" x14ac:dyDescent="0.3">
      <c r="A2727" s="6" t="s">
        <v>131</v>
      </c>
      <c r="B2727">
        <f>VLOOKUP(A2727,Table1[[Item Purchased]:[Subscription Status]],8,FALSE)</f>
        <v>4.7</v>
      </c>
    </row>
    <row r="2728" spans="1:2" x14ac:dyDescent="0.3">
      <c r="A2728" s="5" t="s">
        <v>132</v>
      </c>
      <c r="B2728">
        <f>VLOOKUP(A2728,Table1[[Item Purchased]:[Subscription Status]],8,FALSE)</f>
        <v>4.5999999999999996</v>
      </c>
    </row>
    <row r="2729" spans="1:2" x14ac:dyDescent="0.3">
      <c r="A2729" s="6" t="s">
        <v>54</v>
      </c>
      <c r="B2729">
        <f>VLOOKUP(A2729,Table1[[Item Purchased]:[Subscription Status]],8,FALSE)</f>
        <v>3.2</v>
      </c>
    </row>
    <row r="2730" spans="1:2" x14ac:dyDescent="0.3">
      <c r="A2730" s="5" t="s">
        <v>86</v>
      </c>
      <c r="B2730">
        <f>VLOOKUP(A2730,Table1[[Item Purchased]:[Subscription Status]],8,FALSE)</f>
        <v>2.8</v>
      </c>
    </row>
    <row r="2731" spans="1:2" x14ac:dyDescent="0.3">
      <c r="A2731" s="6" t="s">
        <v>142</v>
      </c>
      <c r="B2731">
        <f>VLOOKUP(A2731,Table1[[Item Purchased]:[Subscription Status]],8,FALSE)</f>
        <v>4.5</v>
      </c>
    </row>
    <row r="2732" spans="1:2" x14ac:dyDescent="0.3">
      <c r="A2732" s="5" t="s">
        <v>142</v>
      </c>
      <c r="B2732">
        <f>VLOOKUP(A2732,Table1[[Item Purchased]:[Subscription Status]],8,FALSE)</f>
        <v>4.5</v>
      </c>
    </row>
    <row r="2733" spans="1:2" x14ac:dyDescent="0.3">
      <c r="A2733" s="6" t="s">
        <v>65</v>
      </c>
      <c r="B2733">
        <f>VLOOKUP(A2733,Table1[[Item Purchased]:[Subscription Status]],8,FALSE)</f>
        <v>4.8</v>
      </c>
    </row>
    <row r="2734" spans="1:2" x14ac:dyDescent="0.3">
      <c r="A2734" s="5" t="s">
        <v>124</v>
      </c>
      <c r="B2734">
        <f>VLOOKUP(A2734,Table1[[Item Purchased]:[Subscription Status]],8,FALSE)</f>
        <v>2.9</v>
      </c>
    </row>
    <row r="2735" spans="1:2" x14ac:dyDescent="0.3">
      <c r="A2735" s="6" t="s">
        <v>131</v>
      </c>
      <c r="B2735">
        <f>VLOOKUP(A2735,Table1[[Item Purchased]:[Subscription Status]],8,FALSE)</f>
        <v>4.7</v>
      </c>
    </row>
    <row r="2736" spans="1:2" x14ac:dyDescent="0.3">
      <c r="A2736" s="5" t="s">
        <v>33</v>
      </c>
      <c r="B2736">
        <f>VLOOKUP(A2736,Table1[[Item Purchased]:[Subscription Status]],8,FALSE)</f>
        <v>3.1</v>
      </c>
    </row>
    <row r="2737" spans="1:2" x14ac:dyDescent="0.3">
      <c r="A2737" s="6" t="s">
        <v>86</v>
      </c>
      <c r="B2737">
        <f>VLOOKUP(A2737,Table1[[Item Purchased]:[Subscription Status]],8,FALSE)</f>
        <v>2.8</v>
      </c>
    </row>
    <row r="2738" spans="1:2" x14ac:dyDescent="0.3">
      <c r="A2738" s="5" t="s">
        <v>103</v>
      </c>
      <c r="B2738">
        <f>VLOOKUP(A2738,Table1[[Item Purchased]:[Subscription Status]],8,FALSE)</f>
        <v>3.6</v>
      </c>
    </row>
    <row r="2739" spans="1:2" x14ac:dyDescent="0.3">
      <c r="A2739" s="6" t="s">
        <v>105</v>
      </c>
      <c r="B2739">
        <f>VLOOKUP(A2739,Table1[[Item Purchased]:[Subscription Status]],8,FALSE)</f>
        <v>3.6</v>
      </c>
    </row>
    <row r="2740" spans="1:2" x14ac:dyDescent="0.3">
      <c r="A2740" s="5" t="s">
        <v>49</v>
      </c>
      <c r="B2740">
        <f>VLOOKUP(A2740,Table1[[Item Purchased]:[Subscription Status]],8,FALSE)</f>
        <v>2.9</v>
      </c>
    </row>
    <row r="2741" spans="1:2" x14ac:dyDescent="0.3">
      <c r="A2741" s="6" t="s">
        <v>54</v>
      </c>
      <c r="B2741">
        <f>VLOOKUP(A2741,Table1[[Item Purchased]:[Subscription Status]],8,FALSE)</f>
        <v>3.2</v>
      </c>
    </row>
    <row r="2742" spans="1:2" x14ac:dyDescent="0.3">
      <c r="A2742" s="5" t="s">
        <v>88</v>
      </c>
      <c r="B2742">
        <f>VLOOKUP(A2742,Table1[[Item Purchased]:[Subscription Status]],8,FALSE)</f>
        <v>4.0999999999999996</v>
      </c>
    </row>
    <row r="2743" spans="1:2" x14ac:dyDescent="0.3">
      <c r="A2743" s="6" t="s">
        <v>80</v>
      </c>
      <c r="B2743">
        <f>VLOOKUP(A2743,Table1[[Item Purchased]:[Subscription Status]],8,FALSE)</f>
        <v>4.7</v>
      </c>
    </row>
    <row r="2744" spans="1:2" x14ac:dyDescent="0.3">
      <c r="A2744" s="5" t="s">
        <v>70</v>
      </c>
      <c r="B2744">
        <f>VLOOKUP(A2744,Table1[[Item Purchased]:[Subscription Status]],8,FALSE)</f>
        <v>4.0999999999999996</v>
      </c>
    </row>
    <row r="2745" spans="1:2" x14ac:dyDescent="0.3">
      <c r="A2745" s="6" t="s">
        <v>132</v>
      </c>
      <c r="B2745">
        <f>VLOOKUP(A2745,Table1[[Item Purchased]:[Subscription Status]],8,FALSE)</f>
        <v>4.5999999999999996</v>
      </c>
    </row>
    <row r="2746" spans="1:2" x14ac:dyDescent="0.3">
      <c r="A2746" s="5" t="s">
        <v>54</v>
      </c>
      <c r="B2746">
        <f>VLOOKUP(A2746,Table1[[Item Purchased]:[Subscription Status]],8,FALSE)</f>
        <v>3.2</v>
      </c>
    </row>
    <row r="2747" spans="1:2" x14ac:dyDescent="0.3">
      <c r="A2747" s="6" t="s">
        <v>136</v>
      </c>
      <c r="B2747">
        <f>VLOOKUP(A2747,Table1[[Item Purchased]:[Subscription Status]],8,FALSE)</f>
        <v>4.8</v>
      </c>
    </row>
    <row r="2748" spans="1:2" x14ac:dyDescent="0.3">
      <c r="A2748" s="5" t="s">
        <v>103</v>
      </c>
      <c r="B2748">
        <f>VLOOKUP(A2748,Table1[[Item Purchased]:[Subscription Status]],8,FALSE)</f>
        <v>3.6</v>
      </c>
    </row>
    <row r="2749" spans="1:2" x14ac:dyDescent="0.3">
      <c r="A2749" s="6" t="s">
        <v>33</v>
      </c>
      <c r="B2749">
        <f>VLOOKUP(A2749,Table1[[Item Purchased]:[Subscription Status]],8,FALSE)</f>
        <v>3.1</v>
      </c>
    </row>
    <row r="2750" spans="1:2" x14ac:dyDescent="0.3">
      <c r="A2750" s="5" t="s">
        <v>101</v>
      </c>
      <c r="B2750">
        <f>VLOOKUP(A2750,Table1[[Item Purchased]:[Subscription Status]],8,FALSE)</f>
        <v>2.9</v>
      </c>
    </row>
    <row r="2751" spans="1:2" x14ac:dyDescent="0.3">
      <c r="A2751" s="6" t="s">
        <v>101</v>
      </c>
      <c r="B2751">
        <f>VLOOKUP(A2751,Table1[[Item Purchased]:[Subscription Status]],8,FALSE)</f>
        <v>2.9</v>
      </c>
    </row>
    <row r="2752" spans="1:2" x14ac:dyDescent="0.3">
      <c r="A2752" s="5" t="s">
        <v>40</v>
      </c>
      <c r="B2752">
        <f>VLOOKUP(A2752,Table1[[Item Purchased]:[Subscription Status]],8,FALSE)</f>
        <v>3.5</v>
      </c>
    </row>
    <row r="2753" spans="1:2" x14ac:dyDescent="0.3">
      <c r="A2753" s="6" t="s">
        <v>80</v>
      </c>
      <c r="B2753">
        <f>VLOOKUP(A2753,Table1[[Item Purchased]:[Subscription Status]],8,FALSE)</f>
        <v>4.7</v>
      </c>
    </row>
    <row r="2754" spans="1:2" x14ac:dyDescent="0.3">
      <c r="A2754" s="5" t="s">
        <v>29</v>
      </c>
      <c r="B2754">
        <f>VLOOKUP(A2754,Table1[[Item Purchased]:[Subscription Status]],8,FALSE)</f>
        <v>3.1</v>
      </c>
    </row>
    <row r="2755" spans="1:2" x14ac:dyDescent="0.3">
      <c r="A2755" s="6" t="s">
        <v>142</v>
      </c>
      <c r="B2755">
        <f>VLOOKUP(A2755,Table1[[Item Purchased]:[Subscription Status]],8,FALSE)</f>
        <v>4.5</v>
      </c>
    </row>
    <row r="2756" spans="1:2" x14ac:dyDescent="0.3">
      <c r="A2756" s="5" t="s">
        <v>88</v>
      </c>
      <c r="B2756">
        <f>VLOOKUP(A2756,Table1[[Item Purchased]:[Subscription Status]],8,FALSE)</f>
        <v>4.0999999999999996</v>
      </c>
    </row>
    <row r="2757" spans="1:2" x14ac:dyDescent="0.3">
      <c r="A2757" s="6" t="s">
        <v>132</v>
      </c>
      <c r="B2757">
        <f>VLOOKUP(A2757,Table1[[Item Purchased]:[Subscription Status]],8,FALSE)</f>
        <v>4.5999999999999996</v>
      </c>
    </row>
    <row r="2758" spans="1:2" x14ac:dyDescent="0.3">
      <c r="A2758" s="5" t="s">
        <v>123</v>
      </c>
      <c r="B2758">
        <f>VLOOKUP(A2758,Table1[[Item Purchased]:[Subscription Status]],8,FALSE)</f>
        <v>4.5999999999999996</v>
      </c>
    </row>
    <row r="2759" spans="1:2" x14ac:dyDescent="0.3">
      <c r="A2759" s="6" t="s">
        <v>123</v>
      </c>
      <c r="B2759">
        <f>VLOOKUP(A2759,Table1[[Item Purchased]:[Subscription Status]],8,FALSE)</f>
        <v>4.5999999999999996</v>
      </c>
    </row>
    <row r="2760" spans="1:2" x14ac:dyDescent="0.3">
      <c r="A2760" s="5" t="s">
        <v>19</v>
      </c>
      <c r="B2760">
        <f>VLOOKUP(A2760,Table1[[Item Purchased]:[Subscription Status]],8,FALSE)</f>
        <v>3.1</v>
      </c>
    </row>
    <row r="2761" spans="1:2" x14ac:dyDescent="0.3">
      <c r="A2761" s="6" t="s">
        <v>70</v>
      </c>
      <c r="B2761">
        <f>VLOOKUP(A2761,Table1[[Item Purchased]:[Subscription Status]],8,FALSE)</f>
        <v>4.0999999999999996</v>
      </c>
    </row>
    <row r="2762" spans="1:2" x14ac:dyDescent="0.3">
      <c r="A2762" s="5" t="s">
        <v>86</v>
      </c>
      <c r="B2762">
        <f>VLOOKUP(A2762,Table1[[Item Purchased]:[Subscription Status]],8,FALSE)</f>
        <v>2.8</v>
      </c>
    </row>
    <row r="2763" spans="1:2" x14ac:dyDescent="0.3">
      <c r="A2763" s="6" t="s">
        <v>49</v>
      </c>
      <c r="B2763">
        <f>VLOOKUP(A2763,Table1[[Item Purchased]:[Subscription Status]],8,FALSE)</f>
        <v>2.9</v>
      </c>
    </row>
    <row r="2764" spans="1:2" x14ac:dyDescent="0.3">
      <c r="A2764" s="5" t="s">
        <v>112</v>
      </c>
      <c r="B2764">
        <f>VLOOKUP(A2764,Table1[[Item Purchased]:[Subscription Status]],8,FALSE)</f>
        <v>4.5999999999999996</v>
      </c>
    </row>
    <row r="2765" spans="1:2" x14ac:dyDescent="0.3">
      <c r="A2765" s="6" t="s">
        <v>65</v>
      </c>
      <c r="B2765">
        <f>VLOOKUP(A2765,Table1[[Item Purchased]:[Subscription Status]],8,FALSE)</f>
        <v>4.8</v>
      </c>
    </row>
    <row r="2766" spans="1:2" x14ac:dyDescent="0.3">
      <c r="A2766" s="5" t="s">
        <v>29</v>
      </c>
      <c r="B2766">
        <f>VLOOKUP(A2766,Table1[[Item Purchased]:[Subscription Status]],8,FALSE)</f>
        <v>3.1</v>
      </c>
    </row>
    <row r="2767" spans="1:2" x14ac:dyDescent="0.3">
      <c r="A2767" s="6" t="s">
        <v>142</v>
      </c>
      <c r="B2767">
        <f>VLOOKUP(A2767,Table1[[Item Purchased]:[Subscription Status]],8,FALSE)</f>
        <v>4.5</v>
      </c>
    </row>
    <row r="2768" spans="1:2" x14ac:dyDescent="0.3">
      <c r="A2768" s="5" t="s">
        <v>80</v>
      </c>
      <c r="B2768">
        <f>VLOOKUP(A2768,Table1[[Item Purchased]:[Subscription Status]],8,FALSE)</f>
        <v>4.7</v>
      </c>
    </row>
    <row r="2769" spans="1:2" x14ac:dyDescent="0.3">
      <c r="A2769" s="6" t="s">
        <v>80</v>
      </c>
      <c r="B2769">
        <f>VLOOKUP(A2769,Table1[[Item Purchased]:[Subscription Status]],8,FALSE)</f>
        <v>4.7</v>
      </c>
    </row>
    <row r="2770" spans="1:2" x14ac:dyDescent="0.3">
      <c r="A2770" s="5" t="s">
        <v>19</v>
      </c>
      <c r="B2770">
        <f>VLOOKUP(A2770,Table1[[Item Purchased]:[Subscription Status]],8,FALSE)</f>
        <v>3.1</v>
      </c>
    </row>
    <row r="2771" spans="1:2" x14ac:dyDescent="0.3">
      <c r="A2771" s="6" t="s">
        <v>54</v>
      </c>
      <c r="B2771">
        <f>VLOOKUP(A2771,Table1[[Item Purchased]:[Subscription Status]],8,FALSE)</f>
        <v>3.2</v>
      </c>
    </row>
    <row r="2772" spans="1:2" x14ac:dyDescent="0.3">
      <c r="A2772" s="5" t="s">
        <v>136</v>
      </c>
      <c r="B2772">
        <f>VLOOKUP(A2772,Table1[[Item Purchased]:[Subscription Status]],8,FALSE)</f>
        <v>4.8</v>
      </c>
    </row>
    <row r="2773" spans="1:2" x14ac:dyDescent="0.3">
      <c r="A2773" s="6" t="s">
        <v>101</v>
      </c>
      <c r="B2773">
        <f>VLOOKUP(A2773,Table1[[Item Purchased]:[Subscription Status]],8,FALSE)</f>
        <v>2.9</v>
      </c>
    </row>
    <row r="2774" spans="1:2" x14ac:dyDescent="0.3">
      <c r="A2774" s="5" t="s">
        <v>131</v>
      </c>
      <c r="B2774">
        <f>VLOOKUP(A2774,Table1[[Item Purchased]:[Subscription Status]],8,FALSE)</f>
        <v>4.7</v>
      </c>
    </row>
    <row r="2775" spans="1:2" x14ac:dyDescent="0.3">
      <c r="A2775" s="6" t="s">
        <v>94</v>
      </c>
      <c r="B2775">
        <f>VLOOKUP(A2775,Table1[[Item Purchased]:[Subscription Status]],8,FALSE)</f>
        <v>3.3</v>
      </c>
    </row>
    <row r="2776" spans="1:2" x14ac:dyDescent="0.3">
      <c r="A2776" s="5" t="s">
        <v>136</v>
      </c>
      <c r="B2776">
        <f>VLOOKUP(A2776,Table1[[Item Purchased]:[Subscription Status]],8,FALSE)</f>
        <v>4.8</v>
      </c>
    </row>
    <row r="2777" spans="1:2" x14ac:dyDescent="0.3">
      <c r="A2777" s="6" t="s">
        <v>124</v>
      </c>
      <c r="B2777">
        <f>VLOOKUP(A2777,Table1[[Item Purchased]:[Subscription Status]],8,FALSE)</f>
        <v>2.9</v>
      </c>
    </row>
    <row r="2778" spans="1:2" x14ac:dyDescent="0.3">
      <c r="A2778" s="5" t="s">
        <v>118</v>
      </c>
      <c r="B2778">
        <f>VLOOKUP(A2778,Table1[[Item Purchased]:[Subscription Status]],8,FALSE)</f>
        <v>4.5</v>
      </c>
    </row>
    <row r="2779" spans="1:2" x14ac:dyDescent="0.3">
      <c r="A2779" s="6" t="s">
        <v>19</v>
      </c>
      <c r="B2779">
        <f>VLOOKUP(A2779,Table1[[Item Purchased]:[Subscription Status]],8,FALSE)</f>
        <v>3.1</v>
      </c>
    </row>
    <row r="2780" spans="1:2" x14ac:dyDescent="0.3">
      <c r="A2780" s="5" t="s">
        <v>132</v>
      </c>
      <c r="B2780">
        <f>VLOOKUP(A2780,Table1[[Item Purchased]:[Subscription Status]],8,FALSE)</f>
        <v>4.5999999999999996</v>
      </c>
    </row>
    <row r="2781" spans="1:2" x14ac:dyDescent="0.3">
      <c r="A2781" s="6" t="s">
        <v>88</v>
      </c>
      <c r="B2781">
        <f>VLOOKUP(A2781,Table1[[Item Purchased]:[Subscription Status]],8,FALSE)</f>
        <v>4.0999999999999996</v>
      </c>
    </row>
    <row r="2782" spans="1:2" x14ac:dyDescent="0.3">
      <c r="A2782" s="5" t="s">
        <v>136</v>
      </c>
      <c r="B2782">
        <f>VLOOKUP(A2782,Table1[[Item Purchased]:[Subscription Status]],8,FALSE)</f>
        <v>4.8</v>
      </c>
    </row>
    <row r="2783" spans="1:2" x14ac:dyDescent="0.3">
      <c r="A2783" s="6" t="s">
        <v>40</v>
      </c>
      <c r="B2783">
        <f>VLOOKUP(A2783,Table1[[Item Purchased]:[Subscription Status]],8,FALSE)</f>
        <v>3.5</v>
      </c>
    </row>
    <row r="2784" spans="1:2" x14ac:dyDescent="0.3">
      <c r="A2784" s="5" t="s">
        <v>142</v>
      </c>
      <c r="B2784">
        <f>VLOOKUP(A2784,Table1[[Item Purchased]:[Subscription Status]],8,FALSE)</f>
        <v>4.5</v>
      </c>
    </row>
    <row r="2785" spans="1:2" x14ac:dyDescent="0.3">
      <c r="A2785" s="6" t="s">
        <v>86</v>
      </c>
      <c r="B2785">
        <f>VLOOKUP(A2785,Table1[[Item Purchased]:[Subscription Status]],8,FALSE)</f>
        <v>2.8</v>
      </c>
    </row>
    <row r="2786" spans="1:2" x14ac:dyDescent="0.3">
      <c r="A2786" s="5" t="s">
        <v>86</v>
      </c>
      <c r="B2786">
        <f>VLOOKUP(A2786,Table1[[Item Purchased]:[Subscription Status]],8,FALSE)</f>
        <v>2.8</v>
      </c>
    </row>
    <row r="2787" spans="1:2" x14ac:dyDescent="0.3">
      <c r="A2787" s="6" t="s">
        <v>19</v>
      </c>
      <c r="B2787">
        <f>VLOOKUP(A2787,Table1[[Item Purchased]:[Subscription Status]],8,FALSE)</f>
        <v>3.1</v>
      </c>
    </row>
    <row r="2788" spans="1:2" x14ac:dyDescent="0.3">
      <c r="A2788" s="5" t="s">
        <v>65</v>
      </c>
      <c r="B2788">
        <f>VLOOKUP(A2788,Table1[[Item Purchased]:[Subscription Status]],8,FALSE)</f>
        <v>4.8</v>
      </c>
    </row>
    <row r="2789" spans="1:2" x14ac:dyDescent="0.3">
      <c r="A2789" s="6" t="s">
        <v>136</v>
      </c>
      <c r="B2789">
        <f>VLOOKUP(A2789,Table1[[Item Purchased]:[Subscription Status]],8,FALSE)</f>
        <v>4.8</v>
      </c>
    </row>
    <row r="2790" spans="1:2" x14ac:dyDescent="0.3">
      <c r="A2790" s="5" t="s">
        <v>136</v>
      </c>
      <c r="B2790">
        <f>VLOOKUP(A2790,Table1[[Item Purchased]:[Subscription Status]],8,FALSE)</f>
        <v>4.8</v>
      </c>
    </row>
    <row r="2791" spans="1:2" x14ac:dyDescent="0.3">
      <c r="A2791" s="6" t="s">
        <v>29</v>
      </c>
      <c r="B2791">
        <f>VLOOKUP(A2791,Table1[[Item Purchased]:[Subscription Status]],8,FALSE)</f>
        <v>3.1</v>
      </c>
    </row>
    <row r="2792" spans="1:2" x14ac:dyDescent="0.3">
      <c r="A2792" s="5" t="s">
        <v>124</v>
      </c>
      <c r="B2792">
        <f>VLOOKUP(A2792,Table1[[Item Purchased]:[Subscription Status]],8,FALSE)</f>
        <v>2.9</v>
      </c>
    </row>
    <row r="2793" spans="1:2" x14ac:dyDescent="0.3">
      <c r="A2793" s="6" t="s">
        <v>142</v>
      </c>
      <c r="B2793">
        <f>VLOOKUP(A2793,Table1[[Item Purchased]:[Subscription Status]],8,FALSE)</f>
        <v>4.5</v>
      </c>
    </row>
    <row r="2794" spans="1:2" x14ac:dyDescent="0.3">
      <c r="A2794" s="5" t="s">
        <v>58</v>
      </c>
      <c r="B2794">
        <f>VLOOKUP(A2794,Table1[[Item Purchased]:[Subscription Status]],8,FALSE)</f>
        <v>3.2</v>
      </c>
    </row>
    <row r="2795" spans="1:2" x14ac:dyDescent="0.3">
      <c r="A2795" s="6" t="s">
        <v>136</v>
      </c>
      <c r="B2795">
        <f>VLOOKUP(A2795,Table1[[Item Purchased]:[Subscription Status]],8,FALSE)</f>
        <v>4.8</v>
      </c>
    </row>
    <row r="2796" spans="1:2" x14ac:dyDescent="0.3">
      <c r="A2796" s="5" t="s">
        <v>101</v>
      </c>
      <c r="B2796">
        <f>VLOOKUP(A2796,Table1[[Item Purchased]:[Subscription Status]],8,FALSE)</f>
        <v>2.9</v>
      </c>
    </row>
    <row r="2797" spans="1:2" x14ac:dyDescent="0.3">
      <c r="A2797" s="6" t="s">
        <v>118</v>
      </c>
      <c r="B2797">
        <f>VLOOKUP(A2797,Table1[[Item Purchased]:[Subscription Status]],8,FALSE)</f>
        <v>4.5</v>
      </c>
    </row>
    <row r="2798" spans="1:2" x14ac:dyDescent="0.3">
      <c r="A2798" s="5" t="s">
        <v>101</v>
      </c>
      <c r="B2798">
        <f>VLOOKUP(A2798,Table1[[Item Purchased]:[Subscription Status]],8,FALSE)</f>
        <v>2.9</v>
      </c>
    </row>
    <row r="2799" spans="1:2" x14ac:dyDescent="0.3">
      <c r="A2799" s="6" t="s">
        <v>105</v>
      </c>
      <c r="B2799">
        <f>VLOOKUP(A2799,Table1[[Item Purchased]:[Subscription Status]],8,FALSE)</f>
        <v>3.6</v>
      </c>
    </row>
    <row r="2800" spans="1:2" x14ac:dyDescent="0.3">
      <c r="A2800" s="5" t="s">
        <v>103</v>
      </c>
      <c r="B2800">
        <f>VLOOKUP(A2800,Table1[[Item Purchased]:[Subscription Status]],8,FALSE)</f>
        <v>3.6</v>
      </c>
    </row>
    <row r="2801" spans="1:2" x14ac:dyDescent="0.3">
      <c r="A2801" s="6" t="s">
        <v>112</v>
      </c>
      <c r="B2801">
        <f>VLOOKUP(A2801,Table1[[Item Purchased]:[Subscription Status]],8,FALSE)</f>
        <v>4.5999999999999996</v>
      </c>
    </row>
    <row r="2802" spans="1:2" x14ac:dyDescent="0.3">
      <c r="A2802" s="5" t="s">
        <v>54</v>
      </c>
      <c r="B2802">
        <f>VLOOKUP(A2802,Table1[[Item Purchased]:[Subscription Status]],8,FALSE)</f>
        <v>3.2</v>
      </c>
    </row>
    <row r="2803" spans="1:2" x14ac:dyDescent="0.3">
      <c r="A2803" s="6" t="s">
        <v>54</v>
      </c>
      <c r="B2803">
        <f>VLOOKUP(A2803,Table1[[Item Purchased]:[Subscription Status]],8,FALSE)</f>
        <v>3.2</v>
      </c>
    </row>
    <row r="2804" spans="1:2" x14ac:dyDescent="0.3">
      <c r="A2804" s="5" t="s">
        <v>61</v>
      </c>
      <c r="B2804">
        <f>VLOOKUP(A2804,Table1[[Item Purchased]:[Subscription Status]],8,FALSE)</f>
        <v>2.6</v>
      </c>
    </row>
    <row r="2805" spans="1:2" x14ac:dyDescent="0.3">
      <c r="A2805" s="6" t="s">
        <v>112</v>
      </c>
      <c r="B2805">
        <f>VLOOKUP(A2805,Table1[[Item Purchased]:[Subscription Status]],8,FALSE)</f>
        <v>4.5999999999999996</v>
      </c>
    </row>
    <row r="2806" spans="1:2" x14ac:dyDescent="0.3">
      <c r="A2806" s="5" t="s">
        <v>103</v>
      </c>
      <c r="B2806">
        <f>VLOOKUP(A2806,Table1[[Item Purchased]:[Subscription Status]],8,FALSE)</f>
        <v>3.6</v>
      </c>
    </row>
    <row r="2807" spans="1:2" x14ac:dyDescent="0.3">
      <c r="A2807" s="6" t="s">
        <v>88</v>
      </c>
      <c r="B2807">
        <f>VLOOKUP(A2807,Table1[[Item Purchased]:[Subscription Status]],8,FALSE)</f>
        <v>4.0999999999999996</v>
      </c>
    </row>
    <row r="2808" spans="1:2" x14ac:dyDescent="0.3">
      <c r="A2808" s="5" t="s">
        <v>19</v>
      </c>
      <c r="B2808">
        <f>VLOOKUP(A2808,Table1[[Item Purchased]:[Subscription Status]],8,FALSE)</f>
        <v>3.1</v>
      </c>
    </row>
    <row r="2809" spans="1:2" x14ac:dyDescent="0.3">
      <c r="A2809" s="6" t="s">
        <v>103</v>
      </c>
      <c r="B2809">
        <f>VLOOKUP(A2809,Table1[[Item Purchased]:[Subscription Status]],8,FALSE)</f>
        <v>3.6</v>
      </c>
    </row>
    <row r="2810" spans="1:2" x14ac:dyDescent="0.3">
      <c r="A2810" s="5" t="s">
        <v>86</v>
      </c>
      <c r="B2810">
        <f>VLOOKUP(A2810,Table1[[Item Purchased]:[Subscription Status]],8,FALSE)</f>
        <v>2.8</v>
      </c>
    </row>
    <row r="2811" spans="1:2" x14ac:dyDescent="0.3">
      <c r="A2811" s="6" t="s">
        <v>58</v>
      </c>
      <c r="B2811">
        <f>VLOOKUP(A2811,Table1[[Item Purchased]:[Subscription Status]],8,FALSE)</f>
        <v>3.2</v>
      </c>
    </row>
    <row r="2812" spans="1:2" x14ac:dyDescent="0.3">
      <c r="A2812" s="5" t="s">
        <v>33</v>
      </c>
      <c r="B2812">
        <f>VLOOKUP(A2812,Table1[[Item Purchased]:[Subscription Status]],8,FALSE)</f>
        <v>3.1</v>
      </c>
    </row>
    <row r="2813" spans="1:2" x14ac:dyDescent="0.3">
      <c r="A2813" s="6" t="s">
        <v>101</v>
      </c>
      <c r="B2813">
        <f>VLOOKUP(A2813,Table1[[Item Purchased]:[Subscription Status]],8,FALSE)</f>
        <v>2.9</v>
      </c>
    </row>
    <row r="2814" spans="1:2" x14ac:dyDescent="0.3">
      <c r="A2814" s="5" t="s">
        <v>103</v>
      </c>
      <c r="B2814">
        <f>VLOOKUP(A2814,Table1[[Item Purchased]:[Subscription Status]],8,FALSE)</f>
        <v>3.6</v>
      </c>
    </row>
    <row r="2815" spans="1:2" x14ac:dyDescent="0.3">
      <c r="A2815" s="6" t="s">
        <v>54</v>
      </c>
      <c r="B2815">
        <f>VLOOKUP(A2815,Table1[[Item Purchased]:[Subscription Status]],8,FALSE)</f>
        <v>3.2</v>
      </c>
    </row>
    <row r="2816" spans="1:2" x14ac:dyDescent="0.3">
      <c r="A2816" s="5" t="s">
        <v>112</v>
      </c>
      <c r="B2816">
        <f>VLOOKUP(A2816,Table1[[Item Purchased]:[Subscription Status]],8,FALSE)</f>
        <v>4.5999999999999996</v>
      </c>
    </row>
    <row r="2817" spans="1:2" x14ac:dyDescent="0.3">
      <c r="A2817" s="6" t="s">
        <v>19</v>
      </c>
      <c r="B2817">
        <f>VLOOKUP(A2817,Table1[[Item Purchased]:[Subscription Status]],8,FALSE)</f>
        <v>3.1</v>
      </c>
    </row>
    <row r="2818" spans="1:2" x14ac:dyDescent="0.3">
      <c r="A2818" s="5" t="s">
        <v>86</v>
      </c>
      <c r="B2818">
        <f>VLOOKUP(A2818,Table1[[Item Purchased]:[Subscription Status]],8,FALSE)</f>
        <v>2.8</v>
      </c>
    </row>
    <row r="2819" spans="1:2" x14ac:dyDescent="0.3">
      <c r="A2819" s="6" t="s">
        <v>131</v>
      </c>
      <c r="B2819">
        <f>VLOOKUP(A2819,Table1[[Item Purchased]:[Subscription Status]],8,FALSE)</f>
        <v>4.7</v>
      </c>
    </row>
    <row r="2820" spans="1:2" x14ac:dyDescent="0.3">
      <c r="A2820" s="5" t="s">
        <v>58</v>
      </c>
      <c r="B2820">
        <f>VLOOKUP(A2820,Table1[[Item Purchased]:[Subscription Status]],8,FALSE)</f>
        <v>3.2</v>
      </c>
    </row>
    <row r="2821" spans="1:2" x14ac:dyDescent="0.3">
      <c r="A2821" s="6" t="s">
        <v>54</v>
      </c>
      <c r="B2821">
        <f>VLOOKUP(A2821,Table1[[Item Purchased]:[Subscription Status]],8,FALSE)</f>
        <v>3.2</v>
      </c>
    </row>
    <row r="2822" spans="1:2" x14ac:dyDescent="0.3">
      <c r="A2822" s="5" t="s">
        <v>131</v>
      </c>
      <c r="B2822">
        <f>VLOOKUP(A2822,Table1[[Item Purchased]:[Subscription Status]],8,FALSE)</f>
        <v>4.7</v>
      </c>
    </row>
    <row r="2823" spans="1:2" x14ac:dyDescent="0.3">
      <c r="A2823" s="6" t="s">
        <v>70</v>
      </c>
      <c r="B2823">
        <f>VLOOKUP(A2823,Table1[[Item Purchased]:[Subscription Status]],8,FALSE)</f>
        <v>4.0999999999999996</v>
      </c>
    </row>
    <row r="2824" spans="1:2" x14ac:dyDescent="0.3">
      <c r="A2824" s="5" t="s">
        <v>86</v>
      </c>
      <c r="B2824">
        <f>VLOOKUP(A2824,Table1[[Item Purchased]:[Subscription Status]],8,FALSE)</f>
        <v>2.8</v>
      </c>
    </row>
    <row r="2825" spans="1:2" x14ac:dyDescent="0.3">
      <c r="A2825" s="6" t="s">
        <v>80</v>
      </c>
      <c r="B2825">
        <f>VLOOKUP(A2825,Table1[[Item Purchased]:[Subscription Status]],8,FALSE)</f>
        <v>4.7</v>
      </c>
    </row>
    <row r="2826" spans="1:2" x14ac:dyDescent="0.3">
      <c r="A2826" s="5" t="s">
        <v>123</v>
      </c>
      <c r="B2826">
        <f>VLOOKUP(A2826,Table1[[Item Purchased]:[Subscription Status]],8,FALSE)</f>
        <v>4.5999999999999996</v>
      </c>
    </row>
    <row r="2827" spans="1:2" x14ac:dyDescent="0.3">
      <c r="A2827" s="6" t="s">
        <v>65</v>
      </c>
      <c r="B2827">
        <f>VLOOKUP(A2827,Table1[[Item Purchased]:[Subscription Status]],8,FALSE)</f>
        <v>4.8</v>
      </c>
    </row>
    <row r="2828" spans="1:2" x14ac:dyDescent="0.3">
      <c r="A2828" s="5" t="s">
        <v>65</v>
      </c>
      <c r="B2828">
        <f>VLOOKUP(A2828,Table1[[Item Purchased]:[Subscription Status]],8,FALSE)</f>
        <v>4.8</v>
      </c>
    </row>
    <row r="2829" spans="1:2" x14ac:dyDescent="0.3">
      <c r="A2829" s="6" t="s">
        <v>19</v>
      </c>
      <c r="B2829">
        <f>VLOOKUP(A2829,Table1[[Item Purchased]:[Subscription Status]],8,FALSE)</f>
        <v>3.1</v>
      </c>
    </row>
    <row r="2830" spans="1:2" x14ac:dyDescent="0.3">
      <c r="A2830" s="5" t="s">
        <v>118</v>
      </c>
      <c r="B2830">
        <f>VLOOKUP(A2830,Table1[[Item Purchased]:[Subscription Status]],8,FALSE)</f>
        <v>4.5</v>
      </c>
    </row>
    <row r="2831" spans="1:2" x14ac:dyDescent="0.3">
      <c r="A2831" s="6" t="s">
        <v>105</v>
      </c>
      <c r="B2831">
        <f>VLOOKUP(A2831,Table1[[Item Purchased]:[Subscription Status]],8,FALSE)</f>
        <v>3.6</v>
      </c>
    </row>
    <row r="2832" spans="1:2" x14ac:dyDescent="0.3">
      <c r="A2832" s="5" t="s">
        <v>86</v>
      </c>
      <c r="B2832">
        <f>VLOOKUP(A2832,Table1[[Item Purchased]:[Subscription Status]],8,FALSE)</f>
        <v>2.8</v>
      </c>
    </row>
    <row r="2833" spans="1:2" x14ac:dyDescent="0.3">
      <c r="A2833" s="6" t="s">
        <v>103</v>
      </c>
      <c r="B2833">
        <f>VLOOKUP(A2833,Table1[[Item Purchased]:[Subscription Status]],8,FALSE)</f>
        <v>3.6</v>
      </c>
    </row>
    <row r="2834" spans="1:2" x14ac:dyDescent="0.3">
      <c r="A2834" s="5" t="s">
        <v>118</v>
      </c>
      <c r="B2834">
        <f>VLOOKUP(A2834,Table1[[Item Purchased]:[Subscription Status]],8,FALSE)</f>
        <v>4.5</v>
      </c>
    </row>
    <row r="2835" spans="1:2" x14ac:dyDescent="0.3">
      <c r="A2835" s="6" t="s">
        <v>33</v>
      </c>
      <c r="B2835">
        <f>VLOOKUP(A2835,Table1[[Item Purchased]:[Subscription Status]],8,FALSE)</f>
        <v>3.1</v>
      </c>
    </row>
    <row r="2836" spans="1:2" x14ac:dyDescent="0.3">
      <c r="A2836" s="5" t="s">
        <v>101</v>
      </c>
      <c r="B2836">
        <f>VLOOKUP(A2836,Table1[[Item Purchased]:[Subscription Status]],8,FALSE)</f>
        <v>2.9</v>
      </c>
    </row>
    <row r="2837" spans="1:2" x14ac:dyDescent="0.3">
      <c r="A2837" s="6" t="s">
        <v>112</v>
      </c>
      <c r="B2837">
        <f>VLOOKUP(A2837,Table1[[Item Purchased]:[Subscription Status]],8,FALSE)</f>
        <v>4.5999999999999996</v>
      </c>
    </row>
    <row r="2838" spans="1:2" x14ac:dyDescent="0.3">
      <c r="A2838" s="5" t="s">
        <v>94</v>
      </c>
      <c r="B2838">
        <f>VLOOKUP(A2838,Table1[[Item Purchased]:[Subscription Status]],8,FALSE)</f>
        <v>3.3</v>
      </c>
    </row>
    <row r="2839" spans="1:2" x14ac:dyDescent="0.3">
      <c r="A2839" s="6" t="s">
        <v>70</v>
      </c>
      <c r="B2839">
        <f>VLOOKUP(A2839,Table1[[Item Purchased]:[Subscription Status]],8,FALSE)</f>
        <v>4.0999999999999996</v>
      </c>
    </row>
    <row r="2840" spans="1:2" x14ac:dyDescent="0.3">
      <c r="A2840" s="5" t="s">
        <v>101</v>
      </c>
      <c r="B2840">
        <f>VLOOKUP(A2840,Table1[[Item Purchased]:[Subscription Status]],8,FALSE)</f>
        <v>2.9</v>
      </c>
    </row>
    <row r="2841" spans="1:2" x14ac:dyDescent="0.3">
      <c r="A2841" s="6" t="s">
        <v>118</v>
      </c>
      <c r="B2841">
        <f>VLOOKUP(A2841,Table1[[Item Purchased]:[Subscription Status]],8,FALSE)</f>
        <v>4.5</v>
      </c>
    </row>
    <row r="2842" spans="1:2" x14ac:dyDescent="0.3">
      <c r="A2842" s="5" t="s">
        <v>112</v>
      </c>
      <c r="B2842">
        <f>VLOOKUP(A2842,Table1[[Item Purchased]:[Subscription Status]],8,FALSE)</f>
        <v>4.5999999999999996</v>
      </c>
    </row>
    <row r="2843" spans="1:2" x14ac:dyDescent="0.3">
      <c r="A2843" s="6" t="s">
        <v>80</v>
      </c>
      <c r="B2843">
        <f>VLOOKUP(A2843,Table1[[Item Purchased]:[Subscription Status]],8,FALSE)</f>
        <v>4.7</v>
      </c>
    </row>
    <row r="2844" spans="1:2" x14ac:dyDescent="0.3">
      <c r="A2844" s="5" t="s">
        <v>61</v>
      </c>
      <c r="B2844">
        <f>VLOOKUP(A2844,Table1[[Item Purchased]:[Subscription Status]],8,FALSE)</f>
        <v>2.6</v>
      </c>
    </row>
    <row r="2845" spans="1:2" x14ac:dyDescent="0.3">
      <c r="A2845" s="6" t="s">
        <v>29</v>
      </c>
      <c r="B2845">
        <f>VLOOKUP(A2845,Table1[[Item Purchased]:[Subscription Status]],8,FALSE)</f>
        <v>3.1</v>
      </c>
    </row>
    <row r="2846" spans="1:2" x14ac:dyDescent="0.3">
      <c r="A2846" s="5" t="s">
        <v>123</v>
      </c>
      <c r="B2846">
        <f>VLOOKUP(A2846,Table1[[Item Purchased]:[Subscription Status]],8,FALSE)</f>
        <v>4.5999999999999996</v>
      </c>
    </row>
    <row r="2847" spans="1:2" x14ac:dyDescent="0.3">
      <c r="A2847" s="6" t="s">
        <v>131</v>
      </c>
      <c r="B2847">
        <f>VLOOKUP(A2847,Table1[[Item Purchased]:[Subscription Status]],8,FALSE)</f>
        <v>4.7</v>
      </c>
    </row>
    <row r="2848" spans="1:2" x14ac:dyDescent="0.3">
      <c r="A2848" s="5" t="s">
        <v>124</v>
      </c>
      <c r="B2848">
        <f>VLOOKUP(A2848,Table1[[Item Purchased]:[Subscription Status]],8,FALSE)</f>
        <v>2.9</v>
      </c>
    </row>
    <row r="2849" spans="1:2" x14ac:dyDescent="0.3">
      <c r="A2849" s="6" t="s">
        <v>105</v>
      </c>
      <c r="B2849">
        <f>VLOOKUP(A2849,Table1[[Item Purchased]:[Subscription Status]],8,FALSE)</f>
        <v>3.6</v>
      </c>
    </row>
    <row r="2850" spans="1:2" x14ac:dyDescent="0.3">
      <c r="A2850" s="5" t="s">
        <v>136</v>
      </c>
      <c r="B2850">
        <f>VLOOKUP(A2850,Table1[[Item Purchased]:[Subscription Status]],8,FALSE)</f>
        <v>4.8</v>
      </c>
    </row>
    <row r="2851" spans="1:2" x14ac:dyDescent="0.3">
      <c r="A2851" s="6" t="s">
        <v>61</v>
      </c>
      <c r="B2851">
        <f>VLOOKUP(A2851,Table1[[Item Purchased]:[Subscription Status]],8,FALSE)</f>
        <v>2.6</v>
      </c>
    </row>
    <row r="2852" spans="1:2" x14ac:dyDescent="0.3">
      <c r="A2852" s="5" t="s">
        <v>29</v>
      </c>
      <c r="B2852">
        <f>VLOOKUP(A2852,Table1[[Item Purchased]:[Subscription Status]],8,FALSE)</f>
        <v>3.1</v>
      </c>
    </row>
    <row r="2853" spans="1:2" x14ac:dyDescent="0.3">
      <c r="A2853" s="6" t="s">
        <v>19</v>
      </c>
      <c r="B2853">
        <f>VLOOKUP(A2853,Table1[[Item Purchased]:[Subscription Status]],8,FALSE)</f>
        <v>3.1</v>
      </c>
    </row>
    <row r="2854" spans="1:2" x14ac:dyDescent="0.3">
      <c r="A2854" s="5" t="s">
        <v>132</v>
      </c>
      <c r="B2854">
        <f>VLOOKUP(A2854,Table1[[Item Purchased]:[Subscription Status]],8,FALSE)</f>
        <v>4.5999999999999996</v>
      </c>
    </row>
    <row r="2855" spans="1:2" x14ac:dyDescent="0.3">
      <c r="A2855" s="6" t="s">
        <v>123</v>
      </c>
      <c r="B2855">
        <f>VLOOKUP(A2855,Table1[[Item Purchased]:[Subscription Status]],8,FALSE)</f>
        <v>4.5999999999999996</v>
      </c>
    </row>
    <row r="2856" spans="1:2" x14ac:dyDescent="0.3">
      <c r="A2856" s="5" t="s">
        <v>40</v>
      </c>
      <c r="B2856">
        <f>VLOOKUP(A2856,Table1[[Item Purchased]:[Subscription Status]],8,FALSE)</f>
        <v>3.5</v>
      </c>
    </row>
    <row r="2857" spans="1:2" x14ac:dyDescent="0.3">
      <c r="A2857" s="6" t="s">
        <v>136</v>
      </c>
      <c r="B2857">
        <f>VLOOKUP(A2857,Table1[[Item Purchased]:[Subscription Status]],8,FALSE)</f>
        <v>4.8</v>
      </c>
    </row>
    <row r="2858" spans="1:2" x14ac:dyDescent="0.3">
      <c r="A2858" s="5" t="s">
        <v>101</v>
      </c>
      <c r="B2858">
        <f>VLOOKUP(A2858,Table1[[Item Purchased]:[Subscription Status]],8,FALSE)</f>
        <v>2.9</v>
      </c>
    </row>
    <row r="2859" spans="1:2" x14ac:dyDescent="0.3">
      <c r="A2859" s="6" t="s">
        <v>80</v>
      </c>
      <c r="B2859">
        <f>VLOOKUP(A2859,Table1[[Item Purchased]:[Subscription Status]],8,FALSE)</f>
        <v>4.7</v>
      </c>
    </row>
    <row r="2860" spans="1:2" x14ac:dyDescent="0.3">
      <c r="A2860" s="5" t="s">
        <v>33</v>
      </c>
      <c r="B2860">
        <f>VLOOKUP(A2860,Table1[[Item Purchased]:[Subscription Status]],8,FALSE)</f>
        <v>3.1</v>
      </c>
    </row>
    <row r="2861" spans="1:2" x14ac:dyDescent="0.3">
      <c r="A2861" s="6" t="s">
        <v>58</v>
      </c>
      <c r="B2861">
        <f>VLOOKUP(A2861,Table1[[Item Purchased]:[Subscription Status]],8,FALSE)</f>
        <v>3.2</v>
      </c>
    </row>
    <row r="2862" spans="1:2" x14ac:dyDescent="0.3">
      <c r="A2862" s="5" t="s">
        <v>54</v>
      </c>
      <c r="B2862">
        <f>VLOOKUP(A2862,Table1[[Item Purchased]:[Subscription Status]],8,FALSE)</f>
        <v>3.2</v>
      </c>
    </row>
    <row r="2863" spans="1:2" x14ac:dyDescent="0.3">
      <c r="A2863" s="6" t="s">
        <v>61</v>
      </c>
      <c r="B2863">
        <f>VLOOKUP(A2863,Table1[[Item Purchased]:[Subscription Status]],8,FALSE)</f>
        <v>2.6</v>
      </c>
    </row>
    <row r="2864" spans="1:2" x14ac:dyDescent="0.3">
      <c r="A2864" s="5" t="s">
        <v>61</v>
      </c>
      <c r="B2864">
        <f>VLOOKUP(A2864,Table1[[Item Purchased]:[Subscription Status]],8,FALSE)</f>
        <v>2.6</v>
      </c>
    </row>
    <row r="2865" spans="1:2" x14ac:dyDescent="0.3">
      <c r="A2865" s="6" t="s">
        <v>112</v>
      </c>
      <c r="B2865">
        <f>VLOOKUP(A2865,Table1[[Item Purchased]:[Subscription Status]],8,FALSE)</f>
        <v>4.5999999999999996</v>
      </c>
    </row>
    <row r="2866" spans="1:2" x14ac:dyDescent="0.3">
      <c r="A2866" s="5" t="s">
        <v>29</v>
      </c>
      <c r="B2866">
        <f>VLOOKUP(A2866,Table1[[Item Purchased]:[Subscription Status]],8,FALSE)</f>
        <v>3.1</v>
      </c>
    </row>
    <row r="2867" spans="1:2" x14ac:dyDescent="0.3">
      <c r="A2867" s="6" t="s">
        <v>86</v>
      </c>
      <c r="B2867">
        <f>VLOOKUP(A2867,Table1[[Item Purchased]:[Subscription Status]],8,FALSE)</f>
        <v>2.8</v>
      </c>
    </row>
    <row r="2868" spans="1:2" x14ac:dyDescent="0.3">
      <c r="A2868" s="5" t="s">
        <v>19</v>
      </c>
      <c r="B2868">
        <f>VLOOKUP(A2868,Table1[[Item Purchased]:[Subscription Status]],8,FALSE)</f>
        <v>3.1</v>
      </c>
    </row>
    <row r="2869" spans="1:2" x14ac:dyDescent="0.3">
      <c r="A2869" s="6" t="s">
        <v>49</v>
      </c>
      <c r="B2869">
        <f>VLOOKUP(A2869,Table1[[Item Purchased]:[Subscription Status]],8,FALSE)</f>
        <v>2.9</v>
      </c>
    </row>
    <row r="2870" spans="1:2" x14ac:dyDescent="0.3">
      <c r="A2870" s="5" t="s">
        <v>131</v>
      </c>
      <c r="B2870">
        <f>VLOOKUP(A2870,Table1[[Item Purchased]:[Subscription Status]],8,FALSE)</f>
        <v>4.7</v>
      </c>
    </row>
    <row r="2871" spans="1:2" x14ac:dyDescent="0.3">
      <c r="A2871" s="6" t="s">
        <v>124</v>
      </c>
      <c r="B2871">
        <f>VLOOKUP(A2871,Table1[[Item Purchased]:[Subscription Status]],8,FALSE)</f>
        <v>2.9</v>
      </c>
    </row>
    <row r="2872" spans="1:2" x14ac:dyDescent="0.3">
      <c r="A2872" s="5" t="s">
        <v>105</v>
      </c>
      <c r="B2872">
        <f>VLOOKUP(A2872,Table1[[Item Purchased]:[Subscription Status]],8,FALSE)</f>
        <v>3.6</v>
      </c>
    </row>
    <row r="2873" spans="1:2" x14ac:dyDescent="0.3">
      <c r="A2873" s="6" t="s">
        <v>58</v>
      </c>
      <c r="B2873">
        <f>VLOOKUP(A2873,Table1[[Item Purchased]:[Subscription Status]],8,FALSE)</f>
        <v>3.2</v>
      </c>
    </row>
    <row r="2874" spans="1:2" x14ac:dyDescent="0.3">
      <c r="A2874" s="5" t="s">
        <v>105</v>
      </c>
      <c r="B2874">
        <f>VLOOKUP(A2874,Table1[[Item Purchased]:[Subscription Status]],8,FALSE)</f>
        <v>3.6</v>
      </c>
    </row>
    <row r="2875" spans="1:2" x14ac:dyDescent="0.3">
      <c r="A2875" s="6" t="s">
        <v>29</v>
      </c>
      <c r="B2875">
        <f>VLOOKUP(A2875,Table1[[Item Purchased]:[Subscription Status]],8,FALSE)</f>
        <v>3.1</v>
      </c>
    </row>
    <row r="2876" spans="1:2" x14ac:dyDescent="0.3">
      <c r="A2876" s="5" t="s">
        <v>54</v>
      </c>
      <c r="B2876">
        <f>VLOOKUP(A2876,Table1[[Item Purchased]:[Subscription Status]],8,FALSE)</f>
        <v>3.2</v>
      </c>
    </row>
    <row r="2877" spans="1:2" x14ac:dyDescent="0.3">
      <c r="A2877" s="6" t="s">
        <v>94</v>
      </c>
      <c r="B2877">
        <f>VLOOKUP(A2877,Table1[[Item Purchased]:[Subscription Status]],8,FALSE)</f>
        <v>3.3</v>
      </c>
    </row>
    <row r="2878" spans="1:2" x14ac:dyDescent="0.3">
      <c r="A2878" s="5" t="s">
        <v>103</v>
      </c>
      <c r="B2878">
        <f>VLOOKUP(A2878,Table1[[Item Purchased]:[Subscription Status]],8,FALSE)</f>
        <v>3.6</v>
      </c>
    </row>
    <row r="2879" spans="1:2" x14ac:dyDescent="0.3">
      <c r="A2879" s="6" t="s">
        <v>124</v>
      </c>
      <c r="B2879">
        <f>VLOOKUP(A2879,Table1[[Item Purchased]:[Subscription Status]],8,FALSE)</f>
        <v>2.9</v>
      </c>
    </row>
    <row r="2880" spans="1:2" x14ac:dyDescent="0.3">
      <c r="A2880" s="5" t="s">
        <v>80</v>
      </c>
      <c r="B2880">
        <f>VLOOKUP(A2880,Table1[[Item Purchased]:[Subscription Status]],8,FALSE)</f>
        <v>4.7</v>
      </c>
    </row>
    <row r="2881" spans="1:2" x14ac:dyDescent="0.3">
      <c r="A2881" s="6" t="s">
        <v>19</v>
      </c>
      <c r="B2881">
        <f>VLOOKUP(A2881,Table1[[Item Purchased]:[Subscription Status]],8,FALSE)</f>
        <v>3.1</v>
      </c>
    </row>
    <row r="2882" spans="1:2" x14ac:dyDescent="0.3">
      <c r="A2882" s="5" t="s">
        <v>86</v>
      </c>
      <c r="B2882">
        <f>VLOOKUP(A2882,Table1[[Item Purchased]:[Subscription Status]],8,FALSE)</f>
        <v>2.8</v>
      </c>
    </row>
    <row r="2883" spans="1:2" x14ac:dyDescent="0.3">
      <c r="A2883" s="6" t="s">
        <v>131</v>
      </c>
      <c r="B2883">
        <f>VLOOKUP(A2883,Table1[[Item Purchased]:[Subscription Status]],8,FALSE)</f>
        <v>4.7</v>
      </c>
    </row>
    <row r="2884" spans="1:2" x14ac:dyDescent="0.3">
      <c r="A2884" s="5" t="s">
        <v>19</v>
      </c>
      <c r="B2884">
        <f>VLOOKUP(A2884,Table1[[Item Purchased]:[Subscription Status]],8,FALSE)</f>
        <v>3.1</v>
      </c>
    </row>
    <row r="2885" spans="1:2" x14ac:dyDescent="0.3">
      <c r="A2885" s="6" t="s">
        <v>124</v>
      </c>
      <c r="B2885">
        <f>VLOOKUP(A2885,Table1[[Item Purchased]:[Subscription Status]],8,FALSE)</f>
        <v>2.9</v>
      </c>
    </row>
    <row r="2886" spans="1:2" x14ac:dyDescent="0.3">
      <c r="A2886" s="5" t="s">
        <v>136</v>
      </c>
      <c r="B2886">
        <f>VLOOKUP(A2886,Table1[[Item Purchased]:[Subscription Status]],8,FALSE)</f>
        <v>4.8</v>
      </c>
    </row>
    <row r="2887" spans="1:2" x14ac:dyDescent="0.3">
      <c r="A2887" s="6" t="s">
        <v>131</v>
      </c>
      <c r="B2887">
        <f>VLOOKUP(A2887,Table1[[Item Purchased]:[Subscription Status]],8,FALSE)</f>
        <v>4.7</v>
      </c>
    </row>
    <row r="2888" spans="1:2" x14ac:dyDescent="0.3">
      <c r="A2888" s="5" t="s">
        <v>123</v>
      </c>
      <c r="B2888">
        <f>VLOOKUP(A2888,Table1[[Item Purchased]:[Subscription Status]],8,FALSE)</f>
        <v>4.5999999999999996</v>
      </c>
    </row>
    <row r="2889" spans="1:2" x14ac:dyDescent="0.3">
      <c r="A2889" s="6" t="s">
        <v>40</v>
      </c>
      <c r="B2889">
        <f>VLOOKUP(A2889,Table1[[Item Purchased]:[Subscription Status]],8,FALSE)</f>
        <v>3.5</v>
      </c>
    </row>
    <row r="2890" spans="1:2" x14ac:dyDescent="0.3">
      <c r="A2890" s="5" t="s">
        <v>103</v>
      </c>
      <c r="B2890">
        <f>VLOOKUP(A2890,Table1[[Item Purchased]:[Subscription Status]],8,FALSE)</f>
        <v>3.6</v>
      </c>
    </row>
    <row r="2891" spans="1:2" x14ac:dyDescent="0.3">
      <c r="A2891" s="6" t="s">
        <v>88</v>
      </c>
      <c r="B2891">
        <f>VLOOKUP(A2891,Table1[[Item Purchased]:[Subscription Status]],8,FALSE)</f>
        <v>4.0999999999999996</v>
      </c>
    </row>
    <row r="2892" spans="1:2" x14ac:dyDescent="0.3">
      <c r="A2892" s="5" t="s">
        <v>33</v>
      </c>
      <c r="B2892">
        <f>VLOOKUP(A2892,Table1[[Item Purchased]:[Subscription Status]],8,FALSE)</f>
        <v>3.1</v>
      </c>
    </row>
    <row r="2893" spans="1:2" x14ac:dyDescent="0.3">
      <c r="A2893" s="6" t="s">
        <v>112</v>
      </c>
      <c r="B2893">
        <f>VLOOKUP(A2893,Table1[[Item Purchased]:[Subscription Status]],8,FALSE)</f>
        <v>4.5999999999999996</v>
      </c>
    </row>
    <row r="2894" spans="1:2" x14ac:dyDescent="0.3">
      <c r="A2894" s="5" t="s">
        <v>80</v>
      </c>
      <c r="B2894">
        <f>VLOOKUP(A2894,Table1[[Item Purchased]:[Subscription Status]],8,FALSE)</f>
        <v>4.7</v>
      </c>
    </row>
    <row r="2895" spans="1:2" x14ac:dyDescent="0.3">
      <c r="A2895" s="6" t="s">
        <v>132</v>
      </c>
      <c r="B2895">
        <f>VLOOKUP(A2895,Table1[[Item Purchased]:[Subscription Status]],8,FALSE)</f>
        <v>4.5999999999999996</v>
      </c>
    </row>
    <row r="2896" spans="1:2" x14ac:dyDescent="0.3">
      <c r="A2896" s="5" t="s">
        <v>105</v>
      </c>
      <c r="B2896">
        <f>VLOOKUP(A2896,Table1[[Item Purchased]:[Subscription Status]],8,FALSE)</f>
        <v>3.6</v>
      </c>
    </row>
    <row r="2897" spans="1:2" x14ac:dyDescent="0.3">
      <c r="A2897" s="6" t="s">
        <v>103</v>
      </c>
      <c r="B2897">
        <f>VLOOKUP(A2897,Table1[[Item Purchased]:[Subscription Status]],8,FALSE)</f>
        <v>3.6</v>
      </c>
    </row>
    <row r="2898" spans="1:2" x14ac:dyDescent="0.3">
      <c r="A2898" s="5" t="s">
        <v>19</v>
      </c>
      <c r="B2898">
        <f>VLOOKUP(A2898,Table1[[Item Purchased]:[Subscription Status]],8,FALSE)</f>
        <v>3.1</v>
      </c>
    </row>
    <row r="2899" spans="1:2" x14ac:dyDescent="0.3">
      <c r="A2899" s="6" t="s">
        <v>101</v>
      </c>
      <c r="B2899">
        <f>VLOOKUP(A2899,Table1[[Item Purchased]:[Subscription Status]],8,FALSE)</f>
        <v>2.9</v>
      </c>
    </row>
    <row r="2900" spans="1:2" x14ac:dyDescent="0.3">
      <c r="A2900" s="5" t="s">
        <v>49</v>
      </c>
      <c r="B2900">
        <f>VLOOKUP(A2900,Table1[[Item Purchased]:[Subscription Status]],8,FALSE)</f>
        <v>2.9</v>
      </c>
    </row>
    <row r="2901" spans="1:2" x14ac:dyDescent="0.3">
      <c r="A2901" s="6" t="s">
        <v>136</v>
      </c>
      <c r="B2901">
        <f>VLOOKUP(A2901,Table1[[Item Purchased]:[Subscription Status]],8,FALSE)</f>
        <v>4.8</v>
      </c>
    </row>
    <row r="2902" spans="1:2" x14ac:dyDescent="0.3">
      <c r="A2902" s="5" t="s">
        <v>19</v>
      </c>
      <c r="B2902">
        <f>VLOOKUP(A2902,Table1[[Item Purchased]:[Subscription Status]],8,FALSE)</f>
        <v>3.1</v>
      </c>
    </row>
    <row r="2903" spans="1:2" x14ac:dyDescent="0.3">
      <c r="A2903" s="6" t="s">
        <v>19</v>
      </c>
      <c r="B2903">
        <f>VLOOKUP(A2903,Table1[[Item Purchased]:[Subscription Status]],8,FALSE)</f>
        <v>3.1</v>
      </c>
    </row>
    <row r="2904" spans="1:2" x14ac:dyDescent="0.3">
      <c r="A2904" s="5" t="s">
        <v>136</v>
      </c>
      <c r="B2904">
        <f>VLOOKUP(A2904,Table1[[Item Purchased]:[Subscription Status]],8,FALSE)</f>
        <v>4.8</v>
      </c>
    </row>
    <row r="2905" spans="1:2" x14ac:dyDescent="0.3">
      <c r="A2905" s="6" t="s">
        <v>118</v>
      </c>
      <c r="B2905">
        <f>VLOOKUP(A2905,Table1[[Item Purchased]:[Subscription Status]],8,FALSE)</f>
        <v>4.5</v>
      </c>
    </row>
    <row r="2906" spans="1:2" x14ac:dyDescent="0.3">
      <c r="A2906" s="5" t="s">
        <v>40</v>
      </c>
      <c r="B2906">
        <f>VLOOKUP(A2906,Table1[[Item Purchased]:[Subscription Status]],8,FALSE)</f>
        <v>3.5</v>
      </c>
    </row>
    <row r="2907" spans="1:2" x14ac:dyDescent="0.3">
      <c r="A2907" s="6" t="s">
        <v>88</v>
      </c>
      <c r="B2907">
        <f>VLOOKUP(A2907,Table1[[Item Purchased]:[Subscription Status]],8,FALSE)</f>
        <v>4.0999999999999996</v>
      </c>
    </row>
    <row r="2908" spans="1:2" x14ac:dyDescent="0.3">
      <c r="A2908" s="5" t="s">
        <v>61</v>
      </c>
      <c r="B2908">
        <f>VLOOKUP(A2908,Table1[[Item Purchased]:[Subscription Status]],8,FALSE)</f>
        <v>2.6</v>
      </c>
    </row>
    <row r="2909" spans="1:2" x14ac:dyDescent="0.3">
      <c r="A2909" s="6" t="s">
        <v>88</v>
      </c>
      <c r="B2909">
        <f>VLOOKUP(A2909,Table1[[Item Purchased]:[Subscription Status]],8,FALSE)</f>
        <v>4.0999999999999996</v>
      </c>
    </row>
    <row r="2910" spans="1:2" x14ac:dyDescent="0.3">
      <c r="A2910" s="5" t="s">
        <v>19</v>
      </c>
      <c r="B2910">
        <f>VLOOKUP(A2910,Table1[[Item Purchased]:[Subscription Status]],8,FALSE)</f>
        <v>3.1</v>
      </c>
    </row>
    <row r="2911" spans="1:2" x14ac:dyDescent="0.3">
      <c r="A2911" s="6" t="s">
        <v>131</v>
      </c>
      <c r="B2911">
        <f>VLOOKUP(A2911,Table1[[Item Purchased]:[Subscription Status]],8,FALSE)</f>
        <v>4.7</v>
      </c>
    </row>
    <row r="2912" spans="1:2" x14ac:dyDescent="0.3">
      <c r="A2912" s="5" t="s">
        <v>132</v>
      </c>
      <c r="B2912">
        <f>VLOOKUP(A2912,Table1[[Item Purchased]:[Subscription Status]],8,FALSE)</f>
        <v>4.5999999999999996</v>
      </c>
    </row>
    <row r="2913" spans="1:2" x14ac:dyDescent="0.3">
      <c r="A2913" s="6" t="s">
        <v>124</v>
      </c>
      <c r="B2913">
        <f>VLOOKUP(A2913,Table1[[Item Purchased]:[Subscription Status]],8,FALSE)</f>
        <v>2.9</v>
      </c>
    </row>
    <row r="2914" spans="1:2" x14ac:dyDescent="0.3">
      <c r="A2914" s="5" t="s">
        <v>70</v>
      </c>
      <c r="B2914">
        <f>VLOOKUP(A2914,Table1[[Item Purchased]:[Subscription Status]],8,FALSE)</f>
        <v>4.0999999999999996</v>
      </c>
    </row>
    <row r="2915" spans="1:2" x14ac:dyDescent="0.3">
      <c r="A2915" s="6" t="s">
        <v>61</v>
      </c>
      <c r="B2915">
        <f>VLOOKUP(A2915,Table1[[Item Purchased]:[Subscription Status]],8,FALSE)</f>
        <v>2.6</v>
      </c>
    </row>
    <row r="2916" spans="1:2" x14ac:dyDescent="0.3">
      <c r="A2916" s="5" t="s">
        <v>29</v>
      </c>
      <c r="B2916">
        <f>VLOOKUP(A2916,Table1[[Item Purchased]:[Subscription Status]],8,FALSE)</f>
        <v>3.1</v>
      </c>
    </row>
    <row r="2917" spans="1:2" x14ac:dyDescent="0.3">
      <c r="A2917" s="6" t="s">
        <v>54</v>
      </c>
      <c r="B2917">
        <f>VLOOKUP(A2917,Table1[[Item Purchased]:[Subscription Status]],8,FALSE)</f>
        <v>3.2</v>
      </c>
    </row>
    <row r="2918" spans="1:2" x14ac:dyDescent="0.3">
      <c r="A2918" s="5" t="s">
        <v>58</v>
      </c>
      <c r="B2918">
        <f>VLOOKUP(A2918,Table1[[Item Purchased]:[Subscription Status]],8,FALSE)</f>
        <v>3.2</v>
      </c>
    </row>
    <row r="2919" spans="1:2" x14ac:dyDescent="0.3">
      <c r="A2919" s="6" t="s">
        <v>54</v>
      </c>
      <c r="B2919">
        <f>VLOOKUP(A2919,Table1[[Item Purchased]:[Subscription Status]],8,FALSE)</f>
        <v>3.2</v>
      </c>
    </row>
    <row r="2920" spans="1:2" x14ac:dyDescent="0.3">
      <c r="A2920" s="5" t="s">
        <v>88</v>
      </c>
      <c r="B2920">
        <f>VLOOKUP(A2920,Table1[[Item Purchased]:[Subscription Status]],8,FALSE)</f>
        <v>4.0999999999999996</v>
      </c>
    </row>
    <row r="2921" spans="1:2" x14ac:dyDescent="0.3">
      <c r="A2921" s="6" t="s">
        <v>70</v>
      </c>
      <c r="B2921">
        <f>VLOOKUP(A2921,Table1[[Item Purchased]:[Subscription Status]],8,FALSE)</f>
        <v>4.0999999999999996</v>
      </c>
    </row>
    <row r="2922" spans="1:2" x14ac:dyDescent="0.3">
      <c r="A2922" s="5" t="s">
        <v>88</v>
      </c>
      <c r="B2922">
        <f>VLOOKUP(A2922,Table1[[Item Purchased]:[Subscription Status]],8,FALSE)</f>
        <v>4.0999999999999996</v>
      </c>
    </row>
    <row r="2923" spans="1:2" x14ac:dyDescent="0.3">
      <c r="A2923" s="6" t="s">
        <v>65</v>
      </c>
      <c r="B2923">
        <f>VLOOKUP(A2923,Table1[[Item Purchased]:[Subscription Status]],8,FALSE)</f>
        <v>4.8</v>
      </c>
    </row>
    <row r="2924" spans="1:2" x14ac:dyDescent="0.3">
      <c r="A2924" s="5" t="s">
        <v>88</v>
      </c>
      <c r="B2924">
        <f>VLOOKUP(A2924,Table1[[Item Purchased]:[Subscription Status]],8,FALSE)</f>
        <v>4.0999999999999996</v>
      </c>
    </row>
    <row r="2925" spans="1:2" x14ac:dyDescent="0.3">
      <c r="A2925" s="6" t="s">
        <v>54</v>
      </c>
      <c r="B2925">
        <f>VLOOKUP(A2925,Table1[[Item Purchased]:[Subscription Status]],8,FALSE)</f>
        <v>3.2</v>
      </c>
    </row>
    <row r="2926" spans="1:2" x14ac:dyDescent="0.3">
      <c r="A2926" s="5" t="s">
        <v>54</v>
      </c>
      <c r="B2926">
        <f>VLOOKUP(A2926,Table1[[Item Purchased]:[Subscription Status]],8,FALSE)</f>
        <v>3.2</v>
      </c>
    </row>
    <row r="2927" spans="1:2" x14ac:dyDescent="0.3">
      <c r="A2927" s="6" t="s">
        <v>29</v>
      </c>
      <c r="B2927">
        <f>VLOOKUP(A2927,Table1[[Item Purchased]:[Subscription Status]],8,FALSE)</f>
        <v>3.1</v>
      </c>
    </row>
    <row r="2928" spans="1:2" x14ac:dyDescent="0.3">
      <c r="A2928" s="5" t="s">
        <v>65</v>
      </c>
      <c r="B2928">
        <f>VLOOKUP(A2928,Table1[[Item Purchased]:[Subscription Status]],8,FALSE)</f>
        <v>4.8</v>
      </c>
    </row>
    <row r="2929" spans="1:2" x14ac:dyDescent="0.3">
      <c r="A2929" s="6" t="s">
        <v>54</v>
      </c>
      <c r="B2929">
        <f>VLOOKUP(A2929,Table1[[Item Purchased]:[Subscription Status]],8,FALSE)</f>
        <v>3.2</v>
      </c>
    </row>
    <row r="2930" spans="1:2" x14ac:dyDescent="0.3">
      <c r="A2930" s="5" t="s">
        <v>105</v>
      </c>
      <c r="B2930">
        <f>VLOOKUP(A2930,Table1[[Item Purchased]:[Subscription Status]],8,FALSE)</f>
        <v>3.6</v>
      </c>
    </row>
    <row r="2931" spans="1:2" x14ac:dyDescent="0.3">
      <c r="A2931" s="6" t="s">
        <v>124</v>
      </c>
      <c r="B2931">
        <f>VLOOKUP(A2931,Table1[[Item Purchased]:[Subscription Status]],8,FALSE)</f>
        <v>2.9</v>
      </c>
    </row>
    <row r="2932" spans="1:2" x14ac:dyDescent="0.3">
      <c r="A2932" s="5" t="s">
        <v>112</v>
      </c>
      <c r="B2932">
        <f>VLOOKUP(A2932,Table1[[Item Purchased]:[Subscription Status]],8,FALSE)</f>
        <v>4.5999999999999996</v>
      </c>
    </row>
    <row r="2933" spans="1:2" x14ac:dyDescent="0.3">
      <c r="A2933" s="6" t="s">
        <v>105</v>
      </c>
      <c r="B2933">
        <f>VLOOKUP(A2933,Table1[[Item Purchased]:[Subscription Status]],8,FALSE)</f>
        <v>3.6</v>
      </c>
    </row>
    <row r="2934" spans="1:2" x14ac:dyDescent="0.3">
      <c r="A2934" s="5" t="s">
        <v>131</v>
      </c>
      <c r="B2934">
        <f>VLOOKUP(A2934,Table1[[Item Purchased]:[Subscription Status]],8,FALSE)</f>
        <v>4.7</v>
      </c>
    </row>
    <row r="2935" spans="1:2" x14ac:dyDescent="0.3">
      <c r="A2935" s="6" t="s">
        <v>123</v>
      </c>
      <c r="B2935">
        <f>VLOOKUP(A2935,Table1[[Item Purchased]:[Subscription Status]],8,FALSE)</f>
        <v>4.5999999999999996</v>
      </c>
    </row>
    <row r="2936" spans="1:2" x14ac:dyDescent="0.3">
      <c r="A2936" s="5" t="s">
        <v>142</v>
      </c>
      <c r="B2936">
        <f>VLOOKUP(A2936,Table1[[Item Purchased]:[Subscription Status]],8,FALSE)</f>
        <v>4.5</v>
      </c>
    </row>
    <row r="2937" spans="1:2" x14ac:dyDescent="0.3">
      <c r="A2937" s="6" t="s">
        <v>49</v>
      </c>
      <c r="B2937">
        <f>VLOOKUP(A2937,Table1[[Item Purchased]:[Subscription Status]],8,FALSE)</f>
        <v>2.9</v>
      </c>
    </row>
    <row r="2938" spans="1:2" x14ac:dyDescent="0.3">
      <c r="A2938" s="5" t="s">
        <v>86</v>
      </c>
      <c r="B2938">
        <f>VLOOKUP(A2938,Table1[[Item Purchased]:[Subscription Status]],8,FALSE)</f>
        <v>2.8</v>
      </c>
    </row>
    <row r="2939" spans="1:2" x14ac:dyDescent="0.3">
      <c r="A2939" s="6" t="s">
        <v>65</v>
      </c>
      <c r="B2939">
        <f>VLOOKUP(A2939,Table1[[Item Purchased]:[Subscription Status]],8,FALSE)</f>
        <v>4.8</v>
      </c>
    </row>
    <row r="2940" spans="1:2" x14ac:dyDescent="0.3">
      <c r="A2940" s="5" t="s">
        <v>88</v>
      </c>
      <c r="B2940">
        <f>VLOOKUP(A2940,Table1[[Item Purchased]:[Subscription Status]],8,FALSE)</f>
        <v>4.0999999999999996</v>
      </c>
    </row>
    <row r="2941" spans="1:2" x14ac:dyDescent="0.3">
      <c r="A2941" s="6" t="s">
        <v>29</v>
      </c>
      <c r="B2941">
        <f>VLOOKUP(A2941,Table1[[Item Purchased]:[Subscription Status]],8,FALSE)</f>
        <v>3.1</v>
      </c>
    </row>
    <row r="2942" spans="1:2" x14ac:dyDescent="0.3">
      <c r="A2942" s="5" t="s">
        <v>65</v>
      </c>
      <c r="B2942">
        <f>VLOOKUP(A2942,Table1[[Item Purchased]:[Subscription Status]],8,FALSE)</f>
        <v>4.8</v>
      </c>
    </row>
    <row r="2943" spans="1:2" x14ac:dyDescent="0.3">
      <c r="A2943" s="6" t="s">
        <v>86</v>
      </c>
      <c r="B2943">
        <f>VLOOKUP(A2943,Table1[[Item Purchased]:[Subscription Status]],8,FALSE)</f>
        <v>2.8</v>
      </c>
    </row>
    <row r="2944" spans="1:2" x14ac:dyDescent="0.3">
      <c r="A2944" s="5" t="s">
        <v>124</v>
      </c>
      <c r="B2944">
        <f>VLOOKUP(A2944,Table1[[Item Purchased]:[Subscription Status]],8,FALSE)</f>
        <v>2.9</v>
      </c>
    </row>
    <row r="2945" spans="1:2" x14ac:dyDescent="0.3">
      <c r="A2945" s="6" t="s">
        <v>54</v>
      </c>
      <c r="B2945">
        <f>VLOOKUP(A2945,Table1[[Item Purchased]:[Subscription Status]],8,FALSE)</f>
        <v>3.2</v>
      </c>
    </row>
    <row r="2946" spans="1:2" x14ac:dyDescent="0.3">
      <c r="A2946" s="5" t="s">
        <v>49</v>
      </c>
      <c r="B2946">
        <f>VLOOKUP(A2946,Table1[[Item Purchased]:[Subscription Status]],8,FALSE)</f>
        <v>2.9</v>
      </c>
    </row>
    <row r="2947" spans="1:2" x14ac:dyDescent="0.3">
      <c r="A2947" s="6" t="s">
        <v>132</v>
      </c>
      <c r="B2947">
        <f>VLOOKUP(A2947,Table1[[Item Purchased]:[Subscription Status]],8,FALSE)</f>
        <v>4.5999999999999996</v>
      </c>
    </row>
    <row r="2948" spans="1:2" x14ac:dyDescent="0.3">
      <c r="A2948" s="5" t="s">
        <v>94</v>
      </c>
      <c r="B2948">
        <f>VLOOKUP(A2948,Table1[[Item Purchased]:[Subscription Status]],8,FALSE)</f>
        <v>3.3</v>
      </c>
    </row>
    <row r="2949" spans="1:2" x14ac:dyDescent="0.3">
      <c r="A2949" s="6" t="s">
        <v>105</v>
      </c>
      <c r="B2949">
        <f>VLOOKUP(A2949,Table1[[Item Purchased]:[Subscription Status]],8,FALSE)</f>
        <v>3.6</v>
      </c>
    </row>
    <row r="2950" spans="1:2" x14ac:dyDescent="0.3">
      <c r="A2950" s="5" t="s">
        <v>94</v>
      </c>
      <c r="B2950">
        <f>VLOOKUP(A2950,Table1[[Item Purchased]:[Subscription Status]],8,FALSE)</f>
        <v>3.3</v>
      </c>
    </row>
    <row r="2951" spans="1:2" x14ac:dyDescent="0.3">
      <c r="A2951" s="6" t="s">
        <v>105</v>
      </c>
      <c r="B2951">
        <f>VLOOKUP(A2951,Table1[[Item Purchased]:[Subscription Status]],8,FALSE)</f>
        <v>3.6</v>
      </c>
    </row>
    <row r="2952" spans="1:2" x14ac:dyDescent="0.3">
      <c r="A2952" s="5" t="s">
        <v>33</v>
      </c>
      <c r="B2952">
        <f>VLOOKUP(A2952,Table1[[Item Purchased]:[Subscription Status]],8,FALSE)</f>
        <v>3.1</v>
      </c>
    </row>
    <row r="2953" spans="1:2" x14ac:dyDescent="0.3">
      <c r="A2953" s="6" t="s">
        <v>118</v>
      </c>
      <c r="B2953">
        <f>VLOOKUP(A2953,Table1[[Item Purchased]:[Subscription Status]],8,FALSE)</f>
        <v>4.5</v>
      </c>
    </row>
    <row r="2954" spans="1:2" x14ac:dyDescent="0.3">
      <c r="A2954" s="5" t="s">
        <v>132</v>
      </c>
      <c r="B2954">
        <f>VLOOKUP(A2954,Table1[[Item Purchased]:[Subscription Status]],8,FALSE)</f>
        <v>4.5999999999999996</v>
      </c>
    </row>
    <row r="2955" spans="1:2" x14ac:dyDescent="0.3">
      <c r="A2955" s="6" t="s">
        <v>80</v>
      </c>
      <c r="B2955">
        <f>VLOOKUP(A2955,Table1[[Item Purchased]:[Subscription Status]],8,FALSE)</f>
        <v>4.7</v>
      </c>
    </row>
    <row r="2956" spans="1:2" x14ac:dyDescent="0.3">
      <c r="A2956" s="5" t="s">
        <v>112</v>
      </c>
      <c r="B2956">
        <f>VLOOKUP(A2956,Table1[[Item Purchased]:[Subscription Status]],8,FALSE)</f>
        <v>4.5999999999999996</v>
      </c>
    </row>
    <row r="2957" spans="1:2" x14ac:dyDescent="0.3">
      <c r="A2957" s="6" t="s">
        <v>136</v>
      </c>
      <c r="B2957">
        <f>VLOOKUP(A2957,Table1[[Item Purchased]:[Subscription Status]],8,FALSE)</f>
        <v>4.8</v>
      </c>
    </row>
    <row r="2958" spans="1:2" x14ac:dyDescent="0.3">
      <c r="A2958" s="5" t="s">
        <v>80</v>
      </c>
      <c r="B2958">
        <f>VLOOKUP(A2958,Table1[[Item Purchased]:[Subscription Status]],8,FALSE)</f>
        <v>4.7</v>
      </c>
    </row>
    <row r="2959" spans="1:2" x14ac:dyDescent="0.3">
      <c r="A2959" s="6" t="s">
        <v>105</v>
      </c>
      <c r="B2959">
        <f>VLOOKUP(A2959,Table1[[Item Purchased]:[Subscription Status]],8,FALSE)</f>
        <v>3.6</v>
      </c>
    </row>
    <row r="2960" spans="1:2" x14ac:dyDescent="0.3">
      <c r="A2960" s="5" t="s">
        <v>86</v>
      </c>
      <c r="B2960">
        <f>VLOOKUP(A2960,Table1[[Item Purchased]:[Subscription Status]],8,FALSE)</f>
        <v>2.8</v>
      </c>
    </row>
    <row r="2961" spans="1:2" x14ac:dyDescent="0.3">
      <c r="A2961" s="6" t="s">
        <v>65</v>
      </c>
      <c r="B2961">
        <f>VLOOKUP(A2961,Table1[[Item Purchased]:[Subscription Status]],8,FALSE)</f>
        <v>4.8</v>
      </c>
    </row>
    <row r="2962" spans="1:2" x14ac:dyDescent="0.3">
      <c r="A2962" s="5" t="s">
        <v>61</v>
      </c>
      <c r="B2962">
        <f>VLOOKUP(A2962,Table1[[Item Purchased]:[Subscription Status]],8,FALSE)</f>
        <v>2.6</v>
      </c>
    </row>
    <row r="2963" spans="1:2" x14ac:dyDescent="0.3">
      <c r="A2963" s="6" t="s">
        <v>103</v>
      </c>
      <c r="B2963">
        <f>VLOOKUP(A2963,Table1[[Item Purchased]:[Subscription Status]],8,FALSE)</f>
        <v>3.6</v>
      </c>
    </row>
    <row r="2964" spans="1:2" x14ac:dyDescent="0.3">
      <c r="A2964" s="5" t="s">
        <v>94</v>
      </c>
      <c r="B2964">
        <f>VLOOKUP(A2964,Table1[[Item Purchased]:[Subscription Status]],8,FALSE)</f>
        <v>3.3</v>
      </c>
    </row>
    <row r="2965" spans="1:2" x14ac:dyDescent="0.3">
      <c r="A2965" s="6" t="s">
        <v>136</v>
      </c>
      <c r="B2965">
        <f>VLOOKUP(A2965,Table1[[Item Purchased]:[Subscription Status]],8,FALSE)</f>
        <v>4.8</v>
      </c>
    </row>
    <row r="2966" spans="1:2" x14ac:dyDescent="0.3">
      <c r="A2966" s="5" t="s">
        <v>61</v>
      </c>
      <c r="B2966">
        <f>VLOOKUP(A2966,Table1[[Item Purchased]:[Subscription Status]],8,FALSE)</f>
        <v>2.6</v>
      </c>
    </row>
    <row r="2967" spans="1:2" x14ac:dyDescent="0.3">
      <c r="A2967" s="6" t="s">
        <v>118</v>
      </c>
      <c r="B2967">
        <f>VLOOKUP(A2967,Table1[[Item Purchased]:[Subscription Status]],8,FALSE)</f>
        <v>4.5</v>
      </c>
    </row>
    <row r="2968" spans="1:2" x14ac:dyDescent="0.3">
      <c r="A2968" s="5" t="s">
        <v>136</v>
      </c>
      <c r="B2968">
        <f>VLOOKUP(A2968,Table1[[Item Purchased]:[Subscription Status]],8,FALSE)</f>
        <v>4.8</v>
      </c>
    </row>
    <row r="2969" spans="1:2" x14ac:dyDescent="0.3">
      <c r="A2969" s="6" t="s">
        <v>49</v>
      </c>
      <c r="B2969">
        <f>VLOOKUP(A2969,Table1[[Item Purchased]:[Subscription Status]],8,FALSE)</f>
        <v>2.9</v>
      </c>
    </row>
    <row r="2970" spans="1:2" x14ac:dyDescent="0.3">
      <c r="A2970" s="5" t="s">
        <v>29</v>
      </c>
      <c r="B2970">
        <f>VLOOKUP(A2970,Table1[[Item Purchased]:[Subscription Status]],8,FALSE)</f>
        <v>3.1</v>
      </c>
    </row>
    <row r="2971" spans="1:2" x14ac:dyDescent="0.3">
      <c r="A2971" s="6" t="s">
        <v>132</v>
      </c>
      <c r="B2971">
        <f>VLOOKUP(A2971,Table1[[Item Purchased]:[Subscription Status]],8,FALSE)</f>
        <v>4.5999999999999996</v>
      </c>
    </row>
    <row r="2972" spans="1:2" x14ac:dyDescent="0.3">
      <c r="A2972" s="5" t="s">
        <v>105</v>
      </c>
      <c r="B2972">
        <f>VLOOKUP(A2972,Table1[[Item Purchased]:[Subscription Status]],8,FALSE)</f>
        <v>3.6</v>
      </c>
    </row>
    <row r="2973" spans="1:2" x14ac:dyDescent="0.3">
      <c r="A2973" s="6" t="s">
        <v>65</v>
      </c>
      <c r="B2973">
        <f>VLOOKUP(A2973,Table1[[Item Purchased]:[Subscription Status]],8,FALSE)</f>
        <v>4.8</v>
      </c>
    </row>
    <row r="2974" spans="1:2" x14ac:dyDescent="0.3">
      <c r="A2974" s="5" t="s">
        <v>101</v>
      </c>
      <c r="B2974">
        <f>VLOOKUP(A2974,Table1[[Item Purchased]:[Subscription Status]],8,FALSE)</f>
        <v>2.9</v>
      </c>
    </row>
    <row r="2975" spans="1:2" x14ac:dyDescent="0.3">
      <c r="A2975" s="6" t="s">
        <v>136</v>
      </c>
      <c r="B2975">
        <f>VLOOKUP(A2975,Table1[[Item Purchased]:[Subscription Status]],8,FALSE)</f>
        <v>4.8</v>
      </c>
    </row>
    <row r="2976" spans="1:2" x14ac:dyDescent="0.3">
      <c r="A2976" s="5" t="s">
        <v>49</v>
      </c>
      <c r="B2976">
        <f>VLOOKUP(A2976,Table1[[Item Purchased]:[Subscription Status]],8,FALSE)</f>
        <v>2.9</v>
      </c>
    </row>
    <row r="2977" spans="1:2" x14ac:dyDescent="0.3">
      <c r="A2977" s="6" t="s">
        <v>118</v>
      </c>
      <c r="B2977">
        <f>VLOOKUP(A2977,Table1[[Item Purchased]:[Subscription Status]],8,FALSE)</f>
        <v>4.5</v>
      </c>
    </row>
    <row r="2978" spans="1:2" x14ac:dyDescent="0.3">
      <c r="A2978" s="5" t="s">
        <v>61</v>
      </c>
      <c r="B2978">
        <f>VLOOKUP(A2978,Table1[[Item Purchased]:[Subscription Status]],8,FALSE)</f>
        <v>2.6</v>
      </c>
    </row>
    <row r="2979" spans="1:2" x14ac:dyDescent="0.3">
      <c r="A2979" s="6" t="s">
        <v>58</v>
      </c>
      <c r="B2979">
        <f>VLOOKUP(A2979,Table1[[Item Purchased]:[Subscription Status]],8,FALSE)</f>
        <v>3.2</v>
      </c>
    </row>
    <row r="2980" spans="1:2" x14ac:dyDescent="0.3">
      <c r="A2980" s="5" t="s">
        <v>58</v>
      </c>
      <c r="B2980">
        <f>VLOOKUP(A2980,Table1[[Item Purchased]:[Subscription Status]],8,FALSE)</f>
        <v>3.2</v>
      </c>
    </row>
    <row r="2981" spans="1:2" x14ac:dyDescent="0.3">
      <c r="A2981" s="6" t="s">
        <v>33</v>
      </c>
      <c r="B2981">
        <f>VLOOKUP(A2981,Table1[[Item Purchased]:[Subscription Status]],8,FALSE)</f>
        <v>3.1</v>
      </c>
    </row>
    <row r="2982" spans="1:2" x14ac:dyDescent="0.3">
      <c r="A2982" s="5" t="s">
        <v>142</v>
      </c>
      <c r="B2982">
        <f>VLOOKUP(A2982,Table1[[Item Purchased]:[Subscription Status]],8,FALSE)</f>
        <v>4.5</v>
      </c>
    </row>
    <row r="2983" spans="1:2" x14ac:dyDescent="0.3">
      <c r="A2983" s="6" t="s">
        <v>94</v>
      </c>
      <c r="B2983">
        <f>VLOOKUP(A2983,Table1[[Item Purchased]:[Subscription Status]],8,FALSE)</f>
        <v>3.3</v>
      </c>
    </row>
    <row r="2984" spans="1:2" x14ac:dyDescent="0.3">
      <c r="A2984" s="5" t="s">
        <v>80</v>
      </c>
      <c r="B2984">
        <f>VLOOKUP(A2984,Table1[[Item Purchased]:[Subscription Status]],8,FALSE)</f>
        <v>4.7</v>
      </c>
    </row>
    <row r="2985" spans="1:2" x14ac:dyDescent="0.3">
      <c r="A2985" s="6" t="s">
        <v>94</v>
      </c>
      <c r="B2985">
        <f>VLOOKUP(A2985,Table1[[Item Purchased]:[Subscription Status]],8,FALSE)</f>
        <v>3.3</v>
      </c>
    </row>
    <row r="2986" spans="1:2" x14ac:dyDescent="0.3">
      <c r="A2986" s="5" t="s">
        <v>142</v>
      </c>
      <c r="B2986">
        <f>VLOOKUP(A2986,Table1[[Item Purchased]:[Subscription Status]],8,FALSE)</f>
        <v>4.5</v>
      </c>
    </row>
    <row r="2987" spans="1:2" x14ac:dyDescent="0.3">
      <c r="A2987" s="6" t="s">
        <v>132</v>
      </c>
      <c r="B2987">
        <f>VLOOKUP(A2987,Table1[[Item Purchased]:[Subscription Status]],8,FALSE)</f>
        <v>4.5999999999999996</v>
      </c>
    </row>
    <row r="2988" spans="1:2" x14ac:dyDescent="0.3">
      <c r="A2988" s="5" t="s">
        <v>132</v>
      </c>
      <c r="B2988">
        <f>VLOOKUP(A2988,Table1[[Item Purchased]:[Subscription Status]],8,FALSE)</f>
        <v>4.5999999999999996</v>
      </c>
    </row>
    <row r="2989" spans="1:2" x14ac:dyDescent="0.3">
      <c r="A2989" s="6" t="s">
        <v>86</v>
      </c>
      <c r="B2989">
        <f>VLOOKUP(A2989,Table1[[Item Purchased]:[Subscription Status]],8,FALSE)</f>
        <v>2.8</v>
      </c>
    </row>
    <row r="2990" spans="1:2" x14ac:dyDescent="0.3">
      <c r="A2990" s="5" t="s">
        <v>124</v>
      </c>
      <c r="B2990">
        <f>VLOOKUP(A2990,Table1[[Item Purchased]:[Subscription Status]],8,FALSE)</f>
        <v>2.9</v>
      </c>
    </row>
    <row r="2991" spans="1:2" x14ac:dyDescent="0.3">
      <c r="A2991" s="6" t="s">
        <v>132</v>
      </c>
      <c r="B2991">
        <f>VLOOKUP(A2991,Table1[[Item Purchased]:[Subscription Status]],8,FALSE)</f>
        <v>4.5999999999999996</v>
      </c>
    </row>
    <row r="2992" spans="1:2" x14ac:dyDescent="0.3">
      <c r="A2992" s="5" t="s">
        <v>54</v>
      </c>
      <c r="B2992">
        <f>VLOOKUP(A2992,Table1[[Item Purchased]:[Subscription Status]],8,FALSE)</f>
        <v>3.2</v>
      </c>
    </row>
    <row r="2993" spans="1:2" x14ac:dyDescent="0.3">
      <c r="A2993" s="6" t="s">
        <v>80</v>
      </c>
      <c r="B2993">
        <f>VLOOKUP(A2993,Table1[[Item Purchased]:[Subscription Status]],8,FALSE)</f>
        <v>4.7</v>
      </c>
    </row>
    <row r="2994" spans="1:2" x14ac:dyDescent="0.3">
      <c r="A2994" s="5" t="s">
        <v>124</v>
      </c>
      <c r="B2994">
        <f>VLOOKUP(A2994,Table1[[Item Purchased]:[Subscription Status]],8,FALSE)</f>
        <v>2.9</v>
      </c>
    </row>
    <row r="2995" spans="1:2" x14ac:dyDescent="0.3">
      <c r="A2995" s="6" t="s">
        <v>101</v>
      </c>
      <c r="B2995">
        <f>VLOOKUP(A2995,Table1[[Item Purchased]:[Subscription Status]],8,FALSE)</f>
        <v>2.9</v>
      </c>
    </row>
    <row r="2996" spans="1:2" x14ac:dyDescent="0.3">
      <c r="A2996" s="5" t="s">
        <v>29</v>
      </c>
      <c r="B2996">
        <f>VLOOKUP(A2996,Table1[[Item Purchased]:[Subscription Status]],8,FALSE)</f>
        <v>3.1</v>
      </c>
    </row>
    <row r="2997" spans="1:2" x14ac:dyDescent="0.3">
      <c r="A2997" s="6" t="s">
        <v>33</v>
      </c>
      <c r="B2997">
        <f>VLOOKUP(A2997,Table1[[Item Purchased]:[Subscription Status]],8,FALSE)</f>
        <v>3.1</v>
      </c>
    </row>
    <row r="2998" spans="1:2" x14ac:dyDescent="0.3">
      <c r="A2998" s="5" t="s">
        <v>105</v>
      </c>
      <c r="B2998">
        <f>VLOOKUP(A2998,Table1[[Item Purchased]:[Subscription Status]],8,FALSE)</f>
        <v>3.6</v>
      </c>
    </row>
    <row r="2999" spans="1:2" x14ac:dyDescent="0.3">
      <c r="A2999" s="6" t="s">
        <v>29</v>
      </c>
      <c r="B2999">
        <f>VLOOKUP(A2999,Table1[[Item Purchased]:[Subscription Status]],8,FALSE)</f>
        <v>3.1</v>
      </c>
    </row>
    <row r="3000" spans="1:2" x14ac:dyDescent="0.3">
      <c r="A3000" s="5" t="s">
        <v>103</v>
      </c>
      <c r="B3000">
        <f>VLOOKUP(A3000,Table1[[Item Purchased]:[Subscription Status]],8,FALSE)</f>
        <v>3.6</v>
      </c>
    </row>
    <row r="3001" spans="1:2" x14ac:dyDescent="0.3">
      <c r="A3001" s="6" t="s">
        <v>88</v>
      </c>
      <c r="B3001">
        <f>VLOOKUP(A3001,Table1[[Item Purchased]:[Subscription Status]],8,FALSE)</f>
        <v>4.0999999999999996</v>
      </c>
    </row>
    <row r="3002" spans="1:2" x14ac:dyDescent="0.3">
      <c r="A3002" s="5" t="s">
        <v>40</v>
      </c>
      <c r="B3002">
        <f>VLOOKUP(A3002,Table1[[Item Purchased]:[Subscription Status]],8,FALSE)</f>
        <v>3.5</v>
      </c>
    </row>
    <row r="3003" spans="1:2" x14ac:dyDescent="0.3">
      <c r="A3003" s="6" t="s">
        <v>61</v>
      </c>
      <c r="B3003">
        <f>VLOOKUP(A3003,Table1[[Item Purchased]:[Subscription Status]],8,FALSE)</f>
        <v>2.6</v>
      </c>
    </row>
    <row r="3004" spans="1:2" x14ac:dyDescent="0.3">
      <c r="A3004" s="5" t="s">
        <v>132</v>
      </c>
      <c r="B3004">
        <f>VLOOKUP(A3004,Table1[[Item Purchased]:[Subscription Status]],8,FALSE)</f>
        <v>4.5999999999999996</v>
      </c>
    </row>
    <row r="3005" spans="1:2" x14ac:dyDescent="0.3">
      <c r="A3005" s="6" t="s">
        <v>19</v>
      </c>
      <c r="B3005">
        <f>VLOOKUP(A3005,Table1[[Item Purchased]:[Subscription Status]],8,FALSE)</f>
        <v>3.1</v>
      </c>
    </row>
    <row r="3006" spans="1:2" x14ac:dyDescent="0.3">
      <c r="A3006" s="5" t="s">
        <v>86</v>
      </c>
      <c r="B3006">
        <f>VLOOKUP(A3006,Table1[[Item Purchased]:[Subscription Status]],8,FALSE)</f>
        <v>2.8</v>
      </c>
    </row>
    <row r="3007" spans="1:2" x14ac:dyDescent="0.3">
      <c r="A3007" s="6" t="s">
        <v>58</v>
      </c>
      <c r="B3007">
        <f>VLOOKUP(A3007,Table1[[Item Purchased]:[Subscription Status]],8,FALSE)</f>
        <v>3.2</v>
      </c>
    </row>
    <row r="3008" spans="1:2" x14ac:dyDescent="0.3">
      <c r="A3008" s="5" t="s">
        <v>80</v>
      </c>
      <c r="B3008">
        <f>VLOOKUP(A3008,Table1[[Item Purchased]:[Subscription Status]],8,FALSE)</f>
        <v>4.7</v>
      </c>
    </row>
    <row r="3009" spans="1:2" x14ac:dyDescent="0.3">
      <c r="A3009" s="6" t="s">
        <v>88</v>
      </c>
      <c r="B3009">
        <f>VLOOKUP(A3009,Table1[[Item Purchased]:[Subscription Status]],8,FALSE)</f>
        <v>4.0999999999999996</v>
      </c>
    </row>
    <row r="3010" spans="1:2" x14ac:dyDescent="0.3">
      <c r="A3010" s="5" t="s">
        <v>70</v>
      </c>
      <c r="B3010">
        <f>VLOOKUP(A3010,Table1[[Item Purchased]:[Subscription Status]],8,FALSE)</f>
        <v>4.0999999999999996</v>
      </c>
    </row>
    <row r="3011" spans="1:2" x14ac:dyDescent="0.3">
      <c r="A3011" s="6" t="s">
        <v>132</v>
      </c>
      <c r="B3011">
        <f>VLOOKUP(A3011,Table1[[Item Purchased]:[Subscription Status]],8,FALSE)</f>
        <v>4.5999999999999996</v>
      </c>
    </row>
    <row r="3012" spans="1:2" x14ac:dyDescent="0.3">
      <c r="A3012" s="5" t="s">
        <v>132</v>
      </c>
      <c r="B3012">
        <f>VLOOKUP(A3012,Table1[[Item Purchased]:[Subscription Status]],8,FALSE)</f>
        <v>4.5999999999999996</v>
      </c>
    </row>
    <row r="3013" spans="1:2" x14ac:dyDescent="0.3">
      <c r="A3013" s="6" t="s">
        <v>132</v>
      </c>
      <c r="B3013">
        <f>VLOOKUP(A3013,Table1[[Item Purchased]:[Subscription Status]],8,FALSE)</f>
        <v>4.5999999999999996</v>
      </c>
    </row>
    <row r="3014" spans="1:2" x14ac:dyDescent="0.3">
      <c r="A3014" s="5" t="s">
        <v>132</v>
      </c>
      <c r="B3014">
        <f>VLOOKUP(A3014,Table1[[Item Purchased]:[Subscription Status]],8,FALSE)</f>
        <v>4.5999999999999996</v>
      </c>
    </row>
    <row r="3015" spans="1:2" x14ac:dyDescent="0.3">
      <c r="A3015" s="6" t="s">
        <v>86</v>
      </c>
      <c r="B3015">
        <f>VLOOKUP(A3015,Table1[[Item Purchased]:[Subscription Status]],8,FALSE)</f>
        <v>2.8</v>
      </c>
    </row>
    <row r="3016" spans="1:2" x14ac:dyDescent="0.3">
      <c r="A3016" s="5" t="s">
        <v>112</v>
      </c>
      <c r="B3016">
        <f>VLOOKUP(A3016,Table1[[Item Purchased]:[Subscription Status]],8,FALSE)</f>
        <v>4.5999999999999996</v>
      </c>
    </row>
    <row r="3017" spans="1:2" x14ac:dyDescent="0.3">
      <c r="A3017" s="6" t="s">
        <v>118</v>
      </c>
      <c r="B3017">
        <f>VLOOKUP(A3017,Table1[[Item Purchased]:[Subscription Status]],8,FALSE)</f>
        <v>4.5</v>
      </c>
    </row>
    <row r="3018" spans="1:2" x14ac:dyDescent="0.3">
      <c r="A3018" s="5" t="s">
        <v>19</v>
      </c>
      <c r="B3018">
        <f>VLOOKUP(A3018,Table1[[Item Purchased]:[Subscription Status]],8,FALSE)</f>
        <v>3.1</v>
      </c>
    </row>
    <row r="3019" spans="1:2" x14ac:dyDescent="0.3">
      <c r="A3019" s="6" t="s">
        <v>88</v>
      </c>
      <c r="B3019">
        <f>VLOOKUP(A3019,Table1[[Item Purchased]:[Subscription Status]],8,FALSE)</f>
        <v>4.0999999999999996</v>
      </c>
    </row>
    <row r="3020" spans="1:2" x14ac:dyDescent="0.3">
      <c r="A3020" s="5" t="s">
        <v>136</v>
      </c>
      <c r="B3020">
        <f>VLOOKUP(A3020,Table1[[Item Purchased]:[Subscription Status]],8,FALSE)</f>
        <v>4.8</v>
      </c>
    </row>
    <row r="3021" spans="1:2" x14ac:dyDescent="0.3">
      <c r="A3021" s="6" t="s">
        <v>101</v>
      </c>
      <c r="B3021">
        <f>VLOOKUP(A3021,Table1[[Item Purchased]:[Subscription Status]],8,FALSE)</f>
        <v>2.9</v>
      </c>
    </row>
    <row r="3022" spans="1:2" x14ac:dyDescent="0.3">
      <c r="A3022" s="5" t="s">
        <v>33</v>
      </c>
      <c r="B3022">
        <f>VLOOKUP(A3022,Table1[[Item Purchased]:[Subscription Status]],8,FALSE)</f>
        <v>3.1</v>
      </c>
    </row>
    <row r="3023" spans="1:2" x14ac:dyDescent="0.3">
      <c r="A3023" s="6" t="s">
        <v>88</v>
      </c>
      <c r="B3023">
        <f>VLOOKUP(A3023,Table1[[Item Purchased]:[Subscription Status]],8,FALSE)</f>
        <v>4.0999999999999996</v>
      </c>
    </row>
    <row r="3024" spans="1:2" x14ac:dyDescent="0.3">
      <c r="A3024" s="5" t="s">
        <v>40</v>
      </c>
      <c r="B3024">
        <f>VLOOKUP(A3024,Table1[[Item Purchased]:[Subscription Status]],8,FALSE)</f>
        <v>3.5</v>
      </c>
    </row>
    <row r="3025" spans="1:2" x14ac:dyDescent="0.3">
      <c r="A3025" s="6" t="s">
        <v>131</v>
      </c>
      <c r="B3025">
        <f>VLOOKUP(A3025,Table1[[Item Purchased]:[Subscription Status]],8,FALSE)</f>
        <v>4.7</v>
      </c>
    </row>
    <row r="3026" spans="1:2" x14ac:dyDescent="0.3">
      <c r="A3026" s="5" t="s">
        <v>19</v>
      </c>
      <c r="B3026">
        <f>VLOOKUP(A3026,Table1[[Item Purchased]:[Subscription Status]],8,FALSE)</f>
        <v>3.1</v>
      </c>
    </row>
    <row r="3027" spans="1:2" x14ac:dyDescent="0.3">
      <c r="A3027" s="6" t="s">
        <v>70</v>
      </c>
      <c r="B3027">
        <f>VLOOKUP(A3027,Table1[[Item Purchased]:[Subscription Status]],8,FALSE)</f>
        <v>4.0999999999999996</v>
      </c>
    </row>
    <row r="3028" spans="1:2" x14ac:dyDescent="0.3">
      <c r="A3028" s="5" t="s">
        <v>54</v>
      </c>
      <c r="B3028">
        <f>VLOOKUP(A3028,Table1[[Item Purchased]:[Subscription Status]],8,FALSE)</f>
        <v>3.2</v>
      </c>
    </row>
    <row r="3029" spans="1:2" x14ac:dyDescent="0.3">
      <c r="A3029" s="6" t="s">
        <v>103</v>
      </c>
      <c r="B3029">
        <f>VLOOKUP(A3029,Table1[[Item Purchased]:[Subscription Status]],8,FALSE)</f>
        <v>3.6</v>
      </c>
    </row>
    <row r="3030" spans="1:2" x14ac:dyDescent="0.3">
      <c r="A3030" s="5" t="s">
        <v>80</v>
      </c>
      <c r="B3030">
        <f>VLOOKUP(A3030,Table1[[Item Purchased]:[Subscription Status]],8,FALSE)</f>
        <v>4.7</v>
      </c>
    </row>
    <row r="3031" spans="1:2" x14ac:dyDescent="0.3">
      <c r="A3031" s="6" t="s">
        <v>80</v>
      </c>
      <c r="B3031">
        <f>VLOOKUP(A3031,Table1[[Item Purchased]:[Subscription Status]],8,FALSE)</f>
        <v>4.7</v>
      </c>
    </row>
    <row r="3032" spans="1:2" x14ac:dyDescent="0.3">
      <c r="A3032" s="5" t="s">
        <v>49</v>
      </c>
      <c r="B3032">
        <f>VLOOKUP(A3032,Table1[[Item Purchased]:[Subscription Status]],8,FALSE)</f>
        <v>2.9</v>
      </c>
    </row>
    <row r="3033" spans="1:2" x14ac:dyDescent="0.3">
      <c r="A3033" s="6" t="s">
        <v>19</v>
      </c>
      <c r="B3033">
        <f>VLOOKUP(A3033,Table1[[Item Purchased]:[Subscription Status]],8,FALSE)</f>
        <v>3.1</v>
      </c>
    </row>
    <row r="3034" spans="1:2" x14ac:dyDescent="0.3">
      <c r="A3034" s="5" t="s">
        <v>131</v>
      </c>
      <c r="B3034">
        <f>VLOOKUP(A3034,Table1[[Item Purchased]:[Subscription Status]],8,FALSE)</f>
        <v>4.7</v>
      </c>
    </row>
    <row r="3035" spans="1:2" x14ac:dyDescent="0.3">
      <c r="A3035" s="6" t="s">
        <v>29</v>
      </c>
      <c r="B3035">
        <f>VLOOKUP(A3035,Table1[[Item Purchased]:[Subscription Status]],8,FALSE)</f>
        <v>3.1</v>
      </c>
    </row>
    <row r="3036" spans="1:2" x14ac:dyDescent="0.3">
      <c r="A3036" s="5" t="s">
        <v>136</v>
      </c>
      <c r="B3036">
        <f>VLOOKUP(A3036,Table1[[Item Purchased]:[Subscription Status]],8,FALSE)</f>
        <v>4.8</v>
      </c>
    </row>
    <row r="3037" spans="1:2" x14ac:dyDescent="0.3">
      <c r="A3037" s="6" t="s">
        <v>65</v>
      </c>
      <c r="B3037">
        <f>VLOOKUP(A3037,Table1[[Item Purchased]:[Subscription Status]],8,FALSE)</f>
        <v>4.8</v>
      </c>
    </row>
    <row r="3038" spans="1:2" x14ac:dyDescent="0.3">
      <c r="A3038" s="5" t="s">
        <v>103</v>
      </c>
      <c r="B3038">
        <f>VLOOKUP(A3038,Table1[[Item Purchased]:[Subscription Status]],8,FALSE)</f>
        <v>3.6</v>
      </c>
    </row>
    <row r="3039" spans="1:2" x14ac:dyDescent="0.3">
      <c r="A3039" s="6" t="s">
        <v>132</v>
      </c>
      <c r="B3039">
        <f>VLOOKUP(A3039,Table1[[Item Purchased]:[Subscription Status]],8,FALSE)</f>
        <v>4.5999999999999996</v>
      </c>
    </row>
    <row r="3040" spans="1:2" x14ac:dyDescent="0.3">
      <c r="A3040" s="5" t="s">
        <v>105</v>
      </c>
      <c r="B3040">
        <f>VLOOKUP(A3040,Table1[[Item Purchased]:[Subscription Status]],8,FALSE)</f>
        <v>3.6</v>
      </c>
    </row>
    <row r="3041" spans="1:2" x14ac:dyDescent="0.3">
      <c r="A3041" s="6" t="s">
        <v>19</v>
      </c>
      <c r="B3041">
        <f>VLOOKUP(A3041,Table1[[Item Purchased]:[Subscription Status]],8,FALSE)</f>
        <v>3.1</v>
      </c>
    </row>
    <row r="3042" spans="1:2" x14ac:dyDescent="0.3">
      <c r="A3042" s="5" t="s">
        <v>65</v>
      </c>
      <c r="B3042">
        <f>VLOOKUP(A3042,Table1[[Item Purchased]:[Subscription Status]],8,FALSE)</f>
        <v>4.8</v>
      </c>
    </row>
    <row r="3043" spans="1:2" x14ac:dyDescent="0.3">
      <c r="A3043" s="6" t="s">
        <v>65</v>
      </c>
      <c r="B3043">
        <f>VLOOKUP(A3043,Table1[[Item Purchased]:[Subscription Status]],8,FALSE)</f>
        <v>4.8</v>
      </c>
    </row>
    <row r="3044" spans="1:2" x14ac:dyDescent="0.3">
      <c r="A3044" s="5" t="s">
        <v>61</v>
      </c>
      <c r="B3044">
        <f>VLOOKUP(A3044,Table1[[Item Purchased]:[Subscription Status]],8,FALSE)</f>
        <v>2.6</v>
      </c>
    </row>
    <row r="3045" spans="1:2" x14ac:dyDescent="0.3">
      <c r="A3045" s="6" t="s">
        <v>132</v>
      </c>
      <c r="B3045">
        <f>VLOOKUP(A3045,Table1[[Item Purchased]:[Subscription Status]],8,FALSE)</f>
        <v>4.5999999999999996</v>
      </c>
    </row>
    <row r="3046" spans="1:2" x14ac:dyDescent="0.3">
      <c r="A3046" s="5" t="s">
        <v>136</v>
      </c>
      <c r="B3046">
        <f>VLOOKUP(A3046,Table1[[Item Purchased]:[Subscription Status]],8,FALSE)</f>
        <v>4.8</v>
      </c>
    </row>
    <row r="3047" spans="1:2" x14ac:dyDescent="0.3">
      <c r="A3047" s="6" t="s">
        <v>124</v>
      </c>
      <c r="B3047">
        <f>VLOOKUP(A3047,Table1[[Item Purchased]:[Subscription Status]],8,FALSE)</f>
        <v>2.9</v>
      </c>
    </row>
    <row r="3048" spans="1:2" x14ac:dyDescent="0.3">
      <c r="A3048" s="5" t="s">
        <v>70</v>
      </c>
      <c r="B3048">
        <f>VLOOKUP(A3048,Table1[[Item Purchased]:[Subscription Status]],8,FALSE)</f>
        <v>4.0999999999999996</v>
      </c>
    </row>
    <row r="3049" spans="1:2" x14ac:dyDescent="0.3">
      <c r="A3049" s="6" t="s">
        <v>49</v>
      </c>
      <c r="B3049">
        <f>VLOOKUP(A3049,Table1[[Item Purchased]:[Subscription Status]],8,FALSE)</f>
        <v>2.9</v>
      </c>
    </row>
    <row r="3050" spans="1:2" x14ac:dyDescent="0.3">
      <c r="A3050" s="5" t="s">
        <v>105</v>
      </c>
      <c r="B3050">
        <f>VLOOKUP(A3050,Table1[[Item Purchased]:[Subscription Status]],8,FALSE)</f>
        <v>3.6</v>
      </c>
    </row>
    <row r="3051" spans="1:2" x14ac:dyDescent="0.3">
      <c r="A3051" s="6" t="s">
        <v>65</v>
      </c>
      <c r="B3051">
        <f>VLOOKUP(A3051,Table1[[Item Purchased]:[Subscription Status]],8,FALSE)</f>
        <v>4.8</v>
      </c>
    </row>
    <row r="3052" spans="1:2" x14ac:dyDescent="0.3">
      <c r="A3052" s="5" t="s">
        <v>61</v>
      </c>
      <c r="B3052">
        <f>VLOOKUP(A3052,Table1[[Item Purchased]:[Subscription Status]],8,FALSE)</f>
        <v>2.6</v>
      </c>
    </row>
    <row r="3053" spans="1:2" x14ac:dyDescent="0.3">
      <c r="A3053" s="6" t="s">
        <v>88</v>
      </c>
      <c r="B3053">
        <f>VLOOKUP(A3053,Table1[[Item Purchased]:[Subscription Status]],8,FALSE)</f>
        <v>4.0999999999999996</v>
      </c>
    </row>
    <row r="3054" spans="1:2" x14ac:dyDescent="0.3">
      <c r="A3054" s="5" t="s">
        <v>70</v>
      </c>
      <c r="B3054">
        <f>VLOOKUP(A3054,Table1[[Item Purchased]:[Subscription Status]],8,FALSE)</f>
        <v>4.0999999999999996</v>
      </c>
    </row>
    <row r="3055" spans="1:2" x14ac:dyDescent="0.3">
      <c r="A3055" s="6" t="s">
        <v>70</v>
      </c>
      <c r="B3055">
        <f>VLOOKUP(A3055,Table1[[Item Purchased]:[Subscription Status]],8,FALSE)</f>
        <v>4.0999999999999996</v>
      </c>
    </row>
    <row r="3056" spans="1:2" x14ac:dyDescent="0.3">
      <c r="A3056" s="5" t="s">
        <v>136</v>
      </c>
      <c r="B3056">
        <f>VLOOKUP(A3056,Table1[[Item Purchased]:[Subscription Status]],8,FALSE)</f>
        <v>4.8</v>
      </c>
    </row>
    <row r="3057" spans="1:2" x14ac:dyDescent="0.3">
      <c r="A3057" s="6" t="s">
        <v>40</v>
      </c>
      <c r="B3057">
        <f>VLOOKUP(A3057,Table1[[Item Purchased]:[Subscription Status]],8,FALSE)</f>
        <v>3.5</v>
      </c>
    </row>
    <row r="3058" spans="1:2" x14ac:dyDescent="0.3">
      <c r="A3058" s="5" t="s">
        <v>142</v>
      </c>
      <c r="B3058">
        <f>VLOOKUP(A3058,Table1[[Item Purchased]:[Subscription Status]],8,FALSE)</f>
        <v>4.5</v>
      </c>
    </row>
    <row r="3059" spans="1:2" x14ac:dyDescent="0.3">
      <c r="A3059" s="6" t="s">
        <v>131</v>
      </c>
      <c r="B3059">
        <f>VLOOKUP(A3059,Table1[[Item Purchased]:[Subscription Status]],8,FALSE)</f>
        <v>4.7</v>
      </c>
    </row>
    <row r="3060" spans="1:2" x14ac:dyDescent="0.3">
      <c r="A3060" s="5" t="s">
        <v>65</v>
      </c>
      <c r="B3060">
        <f>VLOOKUP(A3060,Table1[[Item Purchased]:[Subscription Status]],8,FALSE)</f>
        <v>4.8</v>
      </c>
    </row>
    <row r="3061" spans="1:2" x14ac:dyDescent="0.3">
      <c r="A3061" s="6" t="s">
        <v>29</v>
      </c>
      <c r="B3061">
        <f>VLOOKUP(A3061,Table1[[Item Purchased]:[Subscription Status]],8,FALSE)</f>
        <v>3.1</v>
      </c>
    </row>
    <row r="3062" spans="1:2" x14ac:dyDescent="0.3">
      <c r="A3062" s="5" t="s">
        <v>61</v>
      </c>
      <c r="B3062">
        <f>VLOOKUP(A3062,Table1[[Item Purchased]:[Subscription Status]],8,FALSE)</f>
        <v>2.6</v>
      </c>
    </row>
    <row r="3063" spans="1:2" x14ac:dyDescent="0.3">
      <c r="A3063" s="6" t="s">
        <v>112</v>
      </c>
      <c r="B3063">
        <f>VLOOKUP(A3063,Table1[[Item Purchased]:[Subscription Status]],8,FALSE)</f>
        <v>4.5999999999999996</v>
      </c>
    </row>
    <row r="3064" spans="1:2" x14ac:dyDescent="0.3">
      <c r="A3064" s="5" t="s">
        <v>131</v>
      </c>
      <c r="B3064">
        <f>VLOOKUP(A3064,Table1[[Item Purchased]:[Subscription Status]],8,FALSE)</f>
        <v>4.7</v>
      </c>
    </row>
    <row r="3065" spans="1:2" x14ac:dyDescent="0.3">
      <c r="A3065" s="6" t="s">
        <v>88</v>
      </c>
      <c r="B3065">
        <f>VLOOKUP(A3065,Table1[[Item Purchased]:[Subscription Status]],8,FALSE)</f>
        <v>4.0999999999999996</v>
      </c>
    </row>
    <row r="3066" spans="1:2" x14ac:dyDescent="0.3">
      <c r="A3066" s="5" t="s">
        <v>132</v>
      </c>
      <c r="B3066">
        <f>VLOOKUP(A3066,Table1[[Item Purchased]:[Subscription Status]],8,FALSE)</f>
        <v>4.5999999999999996</v>
      </c>
    </row>
    <row r="3067" spans="1:2" x14ac:dyDescent="0.3">
      <c r="A3067" s="6" t="s">
        <v>101</v>
      </c>
      <c r="B3067">
        <f>VLOOKUP(A3067,Table1[[Item Purchased]:[Subscription Status]],8,FALSE)</f>
        <v>2.9</v>
      </c>
    </row>
    <row r="3068" spans="1:2" x14ac:dyDescent="0.3">
      <c r="A3068" s="5" t="s">
        <v>86</v>
      </c>
      <c r="B3068">
        <f>VLOOKUP(A3068,Table1[[Item Purchased]:[Subscription Status]],8,FALSE)</f>
        <v>2.8</v>
      </c>
    </row>
    <row r="3069" spans="1:2" x14ac:dyDescent="0.3">
      <c r="A3069" s="6" t="s">
        <v>132</v>
      </c>
      <c r="B3069">
        <f>VLOOKUP(A3069,Table1[[Item Purchased]:[Subscription Status]],8,FALSE)</f>
        <v>4.5999999999999996</v>
      </c>
    </row>
    <row r="3070" spans="1:2" x14ac:dyDescent="0.3">
      <c r="A3070" s="5" t="s">
        <v>136</v>
      </c>
      <c r="B3070">
        <f>VLOOKUP(A3070,Table1[[Item Purchased]:[Subscription Status]],8,FALSE)</f>
        <v>4.8</v>
      </c>
    </row>
    <row r="3071" spans="1:2" x14ac:dyDescent="0.3">
      <c r="A3071" s="6" t="s">
        <v>33</v>
      </c>
      <c r="B3071">
        <f>VLOOKUP(A3071,Table1[[Item Purchased]:[Subscription Status]],8,FALSE)</f>
        <v>3.1</v>
      </c>
    </row>
    <row r="3072" spans="1:2" x14ac:dyDescent="0.3">
      <c r="A3072" s="5" t="s">
        <v>70</v>
      </c>
      <c r="B3072">
        <f>VLOOKUP(A3072,Table1[[Item Purchased]:[Subscription Status]],8,FALSE)</f>
        <v>4.0999999999999996</v>
      </c>
    </row>
    <row r="3073" spans="1:2" x14ac:dyDescent="0.3">
      <c r="A3073" s="6" t="s">
        <v>29</v>
      </c>
      <c r="B3073">
        <f>VLOOKUP(A3073,Table1[[Item Purchased]:[Subscription Status]],8,FALSE)</f>
        <v>3.1</v>
      </c>
    </row>
    <row r="3074" spans="1:2" x14ac:dyDescent="0.3">
      <c r="A3074" s="5" t="s">
        <v>105</v>
      </c>
      <c r="B3074">
        <f>VLOOKUP(A3074,Table1[[Item Purchased]:[Subscription Status]],8,FALSE)</f>
        <v>3.6</v>
      </c>
    </row>
    <row r="3075" spans="1:2" x14ac:dyDescent="0.3">
      <c r="A3075" s="6" t="s">
        <v>54</v>
      </c>
      <c r="B3075">
        <f>VLOOKUP(A3075,Table1[[Item Purchased]:[Subscription Status]],8,FALSE)</f>
        <v>3.2</v>
      </c>
    </row>
    <row r="3076" spans="1:2" x14ac:dyDescent="0.3">
      <c r="A3076" s="5" t="s">
        <v>136</v>
      </c>
      <c r="B3076">
        <f>VLOOKUP(A3076,Table1[[Item Purchased]:[Subscription Status]],8,FALSE)</f>
        <v>4.8</v>
      </c>
    </row>
    <row r="3077" spans="1:2" x14ac:dyDescent="0.3">
      <c r="A3077" s="6" t="s">
        <v>58</v>
      </c>
      <c r="B3077">
        <f>VLOOKUP(A3077,Table1[[Item Purchased]:[Subscription Status]],8,FALSE)</f>
        <v>3.2</v>
      </c>
    </row>
    <row r="3078" spans="1:2" x14ac:dyDescent="0.3">
      <c r="A3078" s="5" t="s">
        <v>65</v>
      </c>
      <c r="B3078">
        <f>VLOOKUP(A3078,Table1[[Item Purchased]:[Subscription Status]],8,FALSE)</f>
        <v>4.8</v>
      </c>
    </row>
    <row r="3079" spans="1:2" x14ac:dyDescent="0.3">
      <c r="A3079" s="6" t="s">
        <v>29</v>
      </c>
      <c r="B3079">
        <f>VLOOKUP(A3079,Table1[[Item Purchased]:[Subscription Status]],8,FALSE)</f>
        <v>3.1</v>
      </c>
    </row>
    <row r="3080" spans="1:2" x14ac:dyDescent="0.3">
      <c r="A3080" s="5" t="s">
        <v>132</v>
      </c>
      <c r="B3080">
        <f>VLOOKUP(A3080,Table1[[Item Purchased]:[Subscription Status]],8,FALSE)</f>
        <v>4.5999999999999996</v>
      </c>
    </row>
    <row r="3081" spans="1:2" x14ac:dyDescent="0.3">
      <c r="A3081" s="6" t="s">
        <v>132</v>
      </c>
      <c r="B3081">
        <f>VLOOKUP(A3081,Table1[[Item Purchased]:[Subscription Status]],8,FALSE)</f>
        <v>4.5999999999999996</v>
      </c>
    </row>
    <row r="3082" spans="1:2" x14ac:dyDescent="0.3">
      <c r="A3082" s="5" t="s">
        <v>103</v>
      </c>
      <c r="B3082">
        <f>VLOOKUP(A3082,Table1[[Item Purchased]:[Subscription Status]],8,FALSE)</f>
        <v>3.6</v>
      </c>
    </row>
    <row r="3083" spans="1:2" x14ac:dyDescent="0.3">
      <c r="A3083" s="6" t="s">
        <v>49</v>
      </c>
      <c r="B3083">
        <f>VLOOKUP(A3083,Table1[[Item Purchased]:[Subscription Status]],8,FALSE)</f>
        <v>2.9</v>
      </c>
    </row>
    <row r="3084" spans="1:2" x14ac:dyDescent="0.3">
      <c r="A3084" s="5" t="s">
        <v>112</v>
      </c>
      <c r="B3084">
        <f>VLOOKUP(A3084,Table1[[Item Purchased]:[Subscription Status]],8,FALSE)</f>
        <v>4.5999999999999996</v>
      </c>
    </row>
    <row r="3085" spans="1:2" x14ac:dyDescent="0.3">
      <c r="A3085" s="6" t="s">
        <v>94</v>
      </c>
      <c r="B3085">
        <f>VLOOKUP(A3085,Table1[[Item Purchased]:[Subscription Status]],8,FALSE)</f>
        <v>3.3</v>
      </c>
    </row>
    <row r="3086" spans="1:2" x14ac:dyDescent="0.3">
      <c r="A3086" s="5" t="s">
        <v>118</v>
      </c>
      <c r="B3086">
        <f>VLOOKUP(A3086,Table1[[Item Purchased]:[Subscription Status]],8,FALSE)</f>
        <v>4.5</v>
      </c>
    </row>
    <row r="3087" spans="1:2" x14ac:dyDescent="0.3">
      <c r="A3087" s="6" t="s">
        <v>29</v>
      </c>
      <c r="B3087">
        <f>VLOOKUP(A3087,Table1[[Item Purchased]:[Subscription Status]],8,FALSE)</f>
        <v>3.1</v>
      </c>
    </row>
    <row r="3088" spans="1:2" x14ac:dyDescent="0.3">
      <c r="A3088" s="5" t="s">
        <v>65</v>
      </c>
      <c r="B3088">
        <f>VLOOKUP(A3088,Table1[[Item Purchased]:[Subscription Status]],8,FALSE)</f>
        <v>4.8</v>
      </c>
    </row>
    <row r="3089" spans="1:2" x14ac:dyDescent="0.3">
      <c r="A3089" s="6" t="s">
        <v>54</v>
      </c>
      <c r="B3089">
        <f>VLOOKUP(A3089,Table1[[Item Purchased]:[Subscription Status]],8,FALSE)</f>
        <v>3.2</v>
      </c>
    </row>
    <row r="3090" spans="1:2" x14ac:dyDescent="0.3">
      <c r="A3090" s="5" t="s">
        <v>80</v>
      </c>
      <c r="B3090">
        <f>VLOOKUP(A3090,Table1[[Item Purchased]:[Subscription Status]],8,FALSE)</f>
        <v>4.7</v>
      </c>
    </row>
    <row r="3091" spans="1:2" x14ac:dyDescent="0.3">
      <c r="A3091" s="6" t="s">
        <v>40</v>
      </c>
      <c r="B3091">
        <f>VLOOKUP(A3091,Table1[[Item Purchased]:[Subscription Status]],8,FALSE)</f>
        <v>3.5</v>
      </c>
    </row>
    <row r="3092" spans="1:2" x14ac:dyDescent="0.3">
      <c r="A3092" s="5" t="s">
        <v>54</v>
      </c>
      <c r="B3092">
        <f>VLOOKUP(A3092,Table1[[Item Purchased]:[Subscription Status]],8,FALSE)</f>
        <v>3.2</v>
      </c>
    </row>
    <row r="3093" spans="1:2" x14ac:dyDescent="0.3">
      <c r="A3093" s="6" t="s">
        <v>80</v>
      </c>
      <c r="B3093">
        <f>VLOOKUP(A3093,Table1[[Item Purchased]:[Subscription Status]],8,FALSE)</f>
        <v>4.7</v>
      </c>
    </row>
    <row r="3094" spans="1:2" x14ac:dyDescent="0.3">
      <c r="A3094" s="5" t="s">
        <v>88</v>
      </c>
      <c r="B3094">
        <f>VLOOKUP(A3094,Table1[[Item Purchased]:[Subscription Status]],8,FALSE)</f>
        <v>4.0999999999999996</v>
      </c>
    </row>
    <row r="3095" spans="1:2" x14ac:dyDescent="0.3">
      <c r="A3095" s="6" t="s">
        <v>124</v>
      </c>
      <c r="B3095">
        <f>VLOOKUP(A3095,Table1[[Item Purchased]:[Subscription Status]],8,FALSE)</f>
        <v>2.9</v>
      </c>
    </row>
    <row r="3096" spans="1:2" x14ac:dyDescent="0.3">
      <c r="A3096" s="5" t="s">
        <v>40</v>
      </c>
      <c r="B3096">
        <f>VLOOKUP(A3096,Table1[[Item Purchased]:[Subscription Status]],8,FALSE)</f>
        <v>3.5</v>
      </c>
    </row>
    <row r="3097" spans="1:2" x14ac:dyDescent="0.3">
      <c r="A3097" s="6" t="s">
        <v>123</v>
      </c>
      <c r="B3097">
        <f>VLOOKUP(A3097,Table1[[Item Purchased]:[Subscription Status]],8,FALSE)</f>
        <v>4.5999999999999996</v>
      </c>
    </row>
    <row r="3098" spans="1:2" x14ac:dyDescent="0.3">
      <c r="A3098" s="5" t="s">
        <v>54</v>
      </c>
      <c r="B3098">
        <f>VLOOKUP(A3098,Table1[[Item Purchased]:[Subscription Status]],8,FALSE)</f>
        <v>3.2</v>
      </c>
    </row>
    <row r="3099" spans="1:2" x14ac:dyDescent="0.3">
      <c r="A3099" s="6" t="s">
        <v>70</v>
      </c>
      <c r="B3099">
        <f>VLOOKUP(A3099,Table1[[Item Purchased]:[Subscription Status]],8,FALSE)</f>
        <v>4.0999999999999996</v>
      </c>
    </row>
    <row r="3100" spans="1:2" x14ac:dyDescent="0.3">
      <c r="A3100" s="5" t="s">
        <v>94</v>
      </c>
      <c r="B3100">
        <f>VLOOKUP(A3100,Table1[[Item Purchased]:[Subscription Status]],8,FALSE)</f>
        <v>3.3</v>
      </c>
    </row>
    <row r="3101" spans="1:2" x14ac:dyDescent="0.3">
      <c r="A3101" s="6" t="s">
        <v>54</v>
      </c>
      <c r="B3101">
        <f>VLOOKUP(A3101,Table1[[Item Purchased]:[Subscription Status]],8,FALSE)</f>
        <v>3.2</v>
      </c>
    </row>
    <row r="3102" spans="1:2" x14ac:dyDescent="0.3">
      <c r="A3102" s="5" t="s">
        <v>123</v>
      </c>
      <c r="B3102">
        <f>VLOOKUP(A3102,Table1[[Item Purchased]:[Subscription Status]],8,FALSE)</f>
        <v>4.5999999999999996</v>
      </c>
    </row>
    <row r="3103" spans="1:2" x14ac:dyDescent="0.3">
      <c r="A3103" s="6" t="s">
        <v>105</v>
      </c>
      <c r="B3103">
        <f>VLOOKUP(A3103,Table1[[Item Purchased]:[Subscription Status]],8,FALSE)</f>
        <v>3.6</v>
      </c>
    </row>
    <row r="3104" spans="1:2" x14ac:dyDescent="0.3">
      <c r="A3104" s="5" t="s">
        <v>101</v>
      </c>
      <c r="B3104">
        <f>VLOOKUP(A3104,Table1[[Item Purchased]:[Subscription Status]],8,FALSE)</f>
        <v>2.9</v>
      </c>
    </row>
    <row r="3105" spans="1:2" x14ac:dyDescent="0.3">
      <c r="A3105" s="6" t="s">
        <v>54</v>
      </c>
      <c r="B3105">
        <f>VLOOKUP(A3105,Table1[[Item Purchased]:[Subscription Status]],8,FALSE)</f>
        <v>3.2</v>
      </c>
    </row>
    <row r="3106" spans="1:2" x14ac:dyDescent="0.3">
      <c r="A3106" s="5" t="s">
        <v>94</v>
      </c>
      <c r="B3106">
        <f>VLOOKUP(A3106,Table1[[Item Purchased]:[Subscription Status]],8,FALSE)</f>
        <v>3.3</v>
      </c>
    </row>
    <row r="3107" spans="1:2" x14ac:dyDescent="0.3">
      <c r="A3107" s="6" t="s">
        <v>86</v>
      </c>
      <c r="B3107">
        <f>VLOOKUP(A3107,Table1[[Item Purchased]:[Subscription Status]],8,FALSE)</f>
        <v>2.8</v>
      </c>
    </row>
    <row r="3108" spans="1:2" x14ac:dyDescent="0.3">
      <c r="A3108" s="5" t="s">
        <v>40</v>
      </c>
      <c r="B3108">
        <f>VLOOKUP(A3108,Table1[[Item Purchased]:[Subscription Status]],8,FALSE)</f>
        <v>3.5</v>
      </c>
    </row>
    <row r="3109" spans="1:2" x14ac:dyDescent="0.3">
      <c r="A3109" s="6" t="s">
        <v>19</v>
      </c>
      <c r="B3109">
        <f>VLOOKUP(A3109,Table1[[Item Purchased]:[Subscription Status]],8,FALSE)</f>
        <v>3.1</v>
      </c>
    </row>
    <row r="3110" spans="1:2" x14ac:dyDescent="0.3">
      <c r="A3110" s="5" t="s">
        <v>124</v>
      </c>
      <c r="B3110">
        <f>VLOOKUP(A3110,Table1[[Item Purchased]:[Subscription Status]],8,FALSE)</f>
        <v>2.9</v>
      </c>
    </row>
    <row r="3111" spans="1:2" x14ac:dyDescent="0.3">
      <c r="A3111" s="6" t="s">
        <v>101</v>
      </c>
      <c r="B3111">
        <f>VLOOKUP(A3111,Table1[[Item Purchased]:[Subscription Status]],8,FALSE)</f>
        <v>2.9</v>
      </c>
    </row>
    <row r="3112" spans="1:2" x14ac:dyDescent="0.3">
      <c r="A3112" s="5" t="s">
        <v>65</v>
      </c>
      <c r="B3112">
        <f>VLOOKUP(A3112,Table1[[Item Purchased]:[Subscription Status]],8,FALSE)</f>
        <v>4.8</v>
      </c>
    </row>
    <row r="3113" spans="1:2" x14ac:dyDescent="0.3">
      <c r="A3113" s="6" t="s">
        <v>132</v>
      </c>
      <c r="B3113">
        <f>VLOOKUP(A3113,Table1[[Item Purchased]:[Subscription Status]],8,FALSE)</f>
        <v>4.5999999999999996</v>
      </c>
    </row>
    <row r="3114" spans="1:2" x14ac:dyDescent="0.3">
      <c r="A3114" s="5" t="s">
        <v>19</v>
      </c>
      <c r="B3114">
        <f>VLOOKUP(A3114,Table1[[Item Purchased]:[Subscription Status]],8,FALSE)</f>
        <v>3.1</v>
      </c>
    </row>
    <row r="3115" spans="1:2" x14ac:dyDescent="0.3">
      <c r="A3115" s="6" t="s">
        <v>54</v>
      </c>
      <c r="B3115">
        <f>VLOOKUP(A3115,Table1[[Item Purchased]:[Subscription Status]],8,FALSE)</f>
        <v>3.2</v>
      </c>
    </row>
    <row r="3116" spans="1:2" x14ac:dyDescent="0.3">
      <c r="A3116" s="5" t="s">
        <v>65</v>
      </c>
      <c r="B3116">
        <f>VLOOKUP(A3116,Table1[[Item Purchased]:[Subscription Status]],8,FALSE)</f>
        <v>4.8</v>
      </c>
    </row>
    <row r="3117" spans="1:2" x14ac:dyDescent="0.3">
      <c r="A3117" s="6" t="s">
        <v>118</v>
      </c>
      <c r="B3117">
        <f>VLOOKUP(A3117,Table1[[Item Purchased]:[Subscription Status]],8,FALSE)</f>
        <v>4.5</v>
      </c>
    </row>
    <row r="3118" spans="1:2" x14ac:dyDescent="0.3">
      <c r="A3118" s="5" t="s">
        <v>61</v>
      </c>
      <c r="B3118">
        <f>VLOOKUP(A3118,Table1[[Item Purchased]:[Subscription Status]],8,FALSE)</f>
        <v>2.6</v>
      </c>
    </row>
    <row r="3119" spans="1:2" x14ac:dyDescent="0.3">
      <c r="A3119" s="6" t="s">
        <v>103</v>
      </c>
      <c r="B3119">
        <f>VLOOKUP(A3119,Table1[[Item Purchased]:[Subscription Status]],8,FALSE)</f>
        <v>3.6</v>
      </c>
    </row>
    <row r="3120" spans="1:2" x14ac:dyDescent="0.3">
      <c r="A3120" s="5" t="s">
        <v>58</v>
      </c>
      <c r="B3120">
        <f>VLOOKUP(A3120,Table1[[Item Purchased]:[Subscription Status]],8,FALSE)</f>
        <v>3.2</v>
      </c>
    </row>
    <row r="3121" spans="1:2" x14ac:dyDescent="0.3">
      <c r="A3121" s="6" t="s">
        <v>40</v>
      </c>
      <c r="B3121">
        <f>VLOOKUP(A3121,Table1[[Item Purchased]:[Subscription Status]],8,FALSE)</f>
        <v>3.5</v>
      </c>
    </row>
    <row r="3122" spans="1:2" x14ac:dyDescent="0.3">
      <c r="A3122" s="5" t="s">
        <v>54</v>
      </c>
      <c r="B3122">
        <f>VLOOKUP(A3122,Table1[[Item Purchased]:[Subscription Status]],8,FALSE)</f>
        <v>3.2</v>
      </c>
    </row>
    <row r="3123" spans="1:2" x14ac:dyDescent="0.3">
      <c r="A3123" s="6" t="s">
        <v>103</v>
      </c>
      <c r="B3123">
        <f>VLOOKUP(A3123,Table1[[Item Purchased]:[Subscription Status]],8,FALSE)</f>
        <v>3.6</v>
      </c>
    </row>
    <row r="3124" spans="1:2" x14ac:dyDescent="0.3">
      <c r="A3124" s="5" t="s">
        <v>124</v>
      </c>
      <c r="B3124">
        <f>VLOOKUP(A3124,Table1[[Item Purchased]:[Subscription Status]],8,FALSE)</f>
        <v>2.9</v>
      </c>
    </row>
    <row r="3125" spans="1:2" x14ac:dyDescent="0.3">
      <c r="A3125" s="6" t="s">
        <v>65</v>
      </c>
      <c r="B3125">
        <f>VLOOKUP(A3125,Table1[[Item Purchased]:[Subscription Status]],8,FALSE)</f>
        <v>4.8</v>
      </c>
    </row>
    <row r="3126" spans="1:2" x14ac:dyDescent="0.3">
      <c r="A3126" s="5" t="s">
        <v>105</v>
      </c>
      <c r="B3126">
        <f>VLOOKUP(A3126,Table1[[Item Purchased]:[Subscription Status]],8,FALSE)</f>
        <v>3.6</v>
      </c>
    </row>
    <row r="3127" spans="1:2" x14ac:dyDescent="0.3">
      <c r="A3127" s="6" t="s">
        <v>61</v>
      </c>
      <c r="B3127">
        <f>VLOOKUP(A3127,Table1[[Item Purchased]:[Subscription Status]],8,FALSE)</f>
        <v>2.6</v>
      </c>
    </row>
    <row r="3128" spans="1:2" x14ac:dyDescent="0.3">
      <c r="A3128" s="5" t="s">
        <v>88</v>
      </c>
      <c r="B3128">
        <f>VLOOKUP(A3128,Table1[[Item Purchased]:[Subscription Status]],8,FALSE)</f>
        <v>4.0999999999999996</v>
      </c>
    </row>
    <row r="3129" spans="1:2" x14ac:dyDescent="0.3">
      <c r="A3129" s="6" t="s">
        <v>142</v>
      </c>
      <c r="B3129">
        <f>VLOOKUP(A3129,Table1[[Item Purchased]:[Subscription Status]],8,FALSE)</f>
        <v>4.5</v>
      </c>
    </row>
    <row r="3130" spans="1:2" x14ac:dyDescent="0.3">
      <c r="A3130" s="5" t="s">
        <v>101</v>
      </c>
      <c r="B3130">
        <f>VLOOKUP(A3130,Table1[[Item Purchased]:[Subscription Status]],8,FALSE)</f>
        <v>2.9</v>
      </c>
    </row>
    <row r="3131" spans="1:2" x14ac:dyDescent="0.3">
      <c r="A3131" s="6" t="s">
        <v>40</v>
      </c>
      <c r="B3131">
        <f>VLOOKUP(A3131,Table1[[Item Purchased]:[Subscription Status]],8,FALSE)</f>
        <v>3.5</v>
      </c>
    </row>
    <row r="3132" spans="1:2" x14ac:dyDescent="0.3">
      <c r="A3132" s="5" t="s">
        <v>94</v>
      </c>
      <c r="B3132">
        <f>VLOOKUP(A3132,Table1[[Item Purchased]:[Subscription Status]],8,FALSE)</f>
        <v>3.3</v>
      </c>
    </row>
    <row r="3133" spans="1:2" x14ac:dyDescent="0.3">
      <c r="A3133" s="6" t="s">
        <v>101</v>
      </c>
      <c r="B3133">
        <f>VLOOKUP(A3133,Table1[[Item Purchased]:[Subscription Status]],8,FALSE)</f>
        <v>2.9</v>
      </c>
    </row>
    <row r="3134" spans="1:2" x14ac:dyDescent="0.3">
      <c r="A3134" s="5" t="s">
        <v>29</v>
      </c>
      <c r="B3134">
        <f>VLOOKUP(A3134,Table1[[Item Purchased]:[Subscription Status]],8,FALSE)</f>
        <v>3.1</v>
      </c>
    </row>
    <row r="3135" spans="1:2" x14ac:dyDescent="0.3">
      <c r="A3135" s="6" t="s">
        <v>112</v>
      </c>
      <c r="B3135">
        <f>VLOOKUP(A3135,Table1[[Item Purchased]:[Subscription Status]],8,FALSE)</f>
        <v>4.5999999999999996</v>
      </c>
    </row>
    <row r="3136" spans="1:2" x14ac:dyDescent="0.3">
      <c r="A3136" s="5" t="s">
        <v>136</v>
      </c>
      <c r="B3136">
        <f>VLOOKUP(A3136,Table1[[Item Purchased]:[Subscription Status]],8,FALSE)</f>
        <v>4.8</v>
      </c>
    </row>
    <row r="3137" spans="1:2" x14ac:dyDescent="0.3">
      <c r="A3137" s="6" t="s">
        <v>70</v>
      </c>
      <c r="B3137">
        <f>VLOOKUP(A3137,Table1[[Item Purchased]:[Subscription Status]],8,FALSE)</f>
        <v>4.0999999999999996</v>
      </c>
    </row>
    <row r="3138" spans="1:2" x14ac:dyDescent="0.3">
      <c r="A3138" s="5" t="s">
        <v>86</v>
      </c>
      <c r="B3138">
        <f>VLOOKUP(A3138,Table1[[Item Purchased]:[Subscription Status]],8,FALSE)</f>
        <v>2.8</v>
      </c>
    </row>
    <row r="3139" spans="1:2" x14ac:dyDescent="0.3">
      <c r="A3139" s="6" t="s">
        <v>61</v>
      </c>
      <c r="B3139">
        <f>VLOOKUP(A3139,Table1[[Item Purchased]:[Subscription Status]],8,FALSE)</f>
        <v>2.6</v>
      </c>
    </row>
    <row r="3140" spans="1:2" x14ac:dyDescent="0.3">
      <c r="A3140" s="5" t="s">
        <v>19</v>
      </c>
      <c r="B3140">
        <f>VLOOKUP(A3140,Table1[[Item Purchased]:[Subscription Status]],8,FALSE)</f>
        <v>3.1</v>
      </c>
    </row>
    <row r="3141" spans="1:2" x14ac:dyDescent="0.3">
      <c r="A3141" s="6" t="s">
        <v>88</v>
      </c>
      <c r="B3141">
        <f>VLOOKUP(A3141,Table1[[Item Purchased]:[Subscription Status]],8,FALSE)</f>
        <v>4.0999999999999996</v>
      </c>
    </row>
    <row r="3142" spans="1:2" x14ac:dyDescent="0.3">
      <c r="A3142" s="5" t="s">
        <v>142</v>
      </c>
      <c r="B3142">
        <f>VLOOKUP(A3142,Table1[[Item Purchased]:[Subscription Status]],8,FALSE)</f>
        <v>4.5</v>
      </c>
    </row>
    <row r="3143" spans="1:2" x14ac:dyDescent="0.3">
      <c r="A3143" s="6" t="s">
        <v>88</v>
      </c>
      <c r="B3143">
        <f>VLOOKUP(A3143,Table1[[Item Purchased]:[Subscription Status]],8,FALSE)</f>
        <v>4.0999999999999996</v>
      </c>
    </row>
    <row r="3144" spans="1:2" x14ac:dyDescent="0.3">
      <c r="A3144" s="5" t="s">
        <v>49</v>
      </c>
      <c r="B3144">
        <f>VLOOKUP(A3144,Table1[[Item Purchased]:[Subscription Status]],8,FALSE)</f>
        <v>2.9</v>
      </c>
    </row>
    <row r="3145" spans="1:2" x14ac:dyDescent="0.3">
      <c r="A3145" s="6" t="s">
        <v>103</v>
      </c>
      <c r="B3145">
        <f>VLOOKUP(A3145,Table1[[Item Purchased]:[Subscription Status]],8,FALSE)</f>
        <v>3.6</v>
      </c>
    </row>
    <row r="3146" spans="1:2" x14ac:dyDescent="0.3">
      <c r="A3146" s="5" t="s">
        <v>136</v>
      </c>
      <c r="B3146">
        <f>VLOOKUP(A3146,Table1[[Item Purchased]:[Subscription Status]],8,FALSE)</f>
        <v>4.8</v>
      </c>
    </row>
    <row r="3147" spans="1:2" x14ac:dyDescent="0.3">
      <c r="A3147" s="6" t="s">
        <v>65</v>
      </c>
      <c r="B3147">
        <f>VLOOKUP(A3147,Table1[[Item Purchased]:[Subscription Status]],8,FALSE)</f>
        <v>4.8</v>
      </c>
    </row>
    <row r="3148" spans="1:2" x14ac:dyDescent="0.3">
      <c r="A3148" s="5" t="s">
        <v>54</v>
      </c>
      <c r="B3148">
        <f>VLOOKUP(A3148,Table1[[Item Purchased]:[Subscription Status]],8,FALSE)</f>
        <v>3.2</v>
      </c>
    </row>
    <row r="3149" spans="1:2" x14ac:dyDescent="0.3">
      <c r="A3149" s="6" t="s">
        <v>29</v>
      </c>
      <c r="B3149">
        <f>VLOOKUP(A3149,Table1[[Item Purchased]:[Subscription Status]],8,FALSE)</f>
        <v>3.1</v>
      </c>
    </row>
    <row r="3150" spans="1:2" x14ac:dyDescent="0.3">
      <c r="A3150" s="5" t="s">
        <v>58</v>
      </c>
      <c r="B3150">
        <f>VLOOKUP(A3150,Table1[[Item Purchased]:[Subscription Status]],8,FALSE)</f>
        <v>3.2</v>
      </c>
    </row>
    <row r="3151" spans="1:2" x14ac:dyDescent="0.3">
      <c r="A3151" s="6" t="s">
        <v>132</v>
      </c>
      <c r="B3151">
        <f>VLOOKUP(A3151,Table1[[Item Purchased]:[Subscription Status]],8,FALSE)</f>
        <v>4.5999999999999996</v>
      </c>
    </row>
    <row r="3152" spans="1:2" x14ac:dyDescent="0.3">
      <c r="A3152" s="5" t="s">
        <v>19</v>
      </c>
      <c r="B3152">
        <f>VLOOKUP(A3152,Table1[[Item Purchased]:[Subscription Status]],8,FALSE)</f>
        <v>3.1</v>
      </c>
    </row>
    <row r="3153" spans="1:2" x14ac:dyDescent="0.3">
      <c r="A3153" s="6" t="s">
        <v>112</v>
      </c>
      <c r="B3153">
        <f>VLOOKUP(A3153,Table1[[Item Purchased]:[Subscription Status]],8,FALSE)</f>
        <v>4.5999999999999996</v>
      </c>
    </row>
    <row r="3154" spans="1:2" x14ac:dyDescent="0.3">
      <c r="A3154" s="5" t="s">
        <v>132</v>
      </c>
      <c r="B3154">
        <f>VLOOKUP(A3154,Table1[[Item Purchased]:[Subscription Status]],8,FALSE)</f>
        <v>4.5999999999999996</v>
      </c>
    </row>
    <row r="3155" spans="1:2" x14ac:dyDescent="0.3">
      <c r="A3155" s="6" t="s">
        <v>124</v>
      </c>
      <c r="B3155">
        <f>VLOOKUP(A3155,Table1[[Item Purchased]:[Subscription Status]],8,FALSE)</f>
        <v>2.9</v>
      </c>
    </row>
    <row r="3156" spans="1:2" x14ac:dyDescent="0.3">
      <c r="A3156" s="5" t="s">
        <v>132</v>
      </c>
      <c r="B3156">
        <f>VLOOKUP(A3156,Table1[[Item Purchased]:[Subscription Status]],8,FALSE)</f>
        <v>4.5999999999999996</v>
      </c>
    </row>
    <row r="3157" spans="1:2" x14ac:dyDescent="0.3">
      <c r="A3157" s="6" t="s">
        <v>65</v>
      </c>
      <c r="B3157">
        <f>VLOOKUP(A3157,Table1[[Item Purchased]:[Subscription Status]],8,FALSE)</f>
        <v>4.8</v>
      </c>
    </row>
    <row r="3158" spans="1:2" x14ac:dyDescent="0.3">
      <c r="A3158" s="5" t="s">
        <v>54</v>
      </c>
      <c r="B3158">
        <f>VLOOKUP(A3158,Table1[[Item Purchased]:[Subscription Status]],8,FALSE)</f>
        <v>3.2</v>
      </c>
    </row>
    <row r="3159" spans="1:2" x14ac:dyDescent="0.3">
      <c r="A3159" s="6" t="s">
        <v>132</v>
      </c>
      <c r="B3159">
        <f>VLOOKUP(A3159,Table1[[Item Purchased]:[Subscription Status]],8,FALSE)</f>
        <v>4.5999999999999996</v>
      </c>
    </row>
    <row r="3160" spans="1:2" x14ac:dyDescent="0.3">
      <c r="A3160" s="5" t="s">
        <v>105</v>
      </c>
      <c r="B3160">
        <f>VLOOKUP(A3160,Table1[[Item Purchased]:[Subscription Status]],8,FALSE)</f>
        <v>3.6</v>
      </c>
    </row>
    <row r="3161" spans="1:2" x14ac:dyDescent="0.3">
      <c r="A3161" s="6" t="s">
        <v>123</v>
      </c>
      <c r="B3161">
        <f>VLOOKUP(A3161,Table1[[Item Purchased]:[Subscription Status]],8,FALSE)</f>
        <v>4.5999999999999996</v>
      </c>
    </row>
    <row r="3162" spans="1:2" x14ac:dyDescent="0.3">
      <c r="A3162" s="5" t="s">
        <v>131</v>
      </c>
      <c r="B3162">
        <f>VLOOKUP(A3162,Table1[[Item Purchased]:[Subscription Status]],8,FALSE)</f>
        <v>4.7</v>
      </c>
    </row>
    <row r="3163" spans="1:2" x14ac:dyDescent="0.3">
      <c r="A3163" s="6" t="s">
        <v>80</v>
      </c>
      <c r="B3163">
        <f>VLOOKUP(A3163,Table1[[Item Purchased]:[Subscription Status]],8,FALSE)</f>
        <v>4.7</v>
      </c>
    </row>
    <row r="3164" spans="1:2" x14ac:dyDescent="0.3">
      <c r="A3164" s="5" t="s">
        <v>70</v>
      </c>
      <c r="B3164">
        <f>VLOOKUP(A3164,Table1[[Item Purchased]:[Subscription Status]],8,FALSE)</f>
        <v>4.0999999999999996</v>
      </c>
    </row>
    <row r="3165" spans="1:2" x14ac:dyDescent="0.3">
      <c r="A3165" s="6" t="s">
        <v>94</v>
      </c>
      <c r="B3165">
        <f>VLOOKUP(A3165,Table1[[Item Purchased]:[Subscription Status]],8,FALSE)</f>
        <v>3.3</v>
      </c>
    </row>
    <row r="3166" spans="1:2" x14ac:dyDescent="0.3">
      <c r="A3166" s="5" t="s">
        <v>80</v>
      </c>
      <c r="B3166">
        <f>VLOOKUP(A3166,Table1[[Item Purchased]:[Subscription Status]],8,FALSE)</f>
        <v>4.7</v>
      </c>
    </row>
    <row r="3167" spans="1:2" x14ac:dyDescent="0.3">
      <c r="A3167" s="6" t="s">
        <v>101</v>
      </c>
      <c r="B3167">
        <f>VLOOKUP(A3167,Table1[[Item Purchased]:[Subscription Status]],8,FALSE)</f>
        <v>2.9</v>
      </c>
    </row>
    <row r="3168" spans="1:2" x14ac:dyDescent="0.3">
      <c r="A3168" s="5" t="s">
        <v>54</v>
      </c>
      <c r="B3168">
        <f>VLOOKUP(A3168,Table1[[Item Purchased]:[Subscription Status]],8,FALSE)</f>
        <v>3.2</v>
      </c>
    </row>
    <row r="3169" spans="1:2" x14ac:dyDescent="0.3">
      <c r="A3169" s="6" t="s">
        <v>80</v>
      </c>
      <c r="B3169">
        <f>VLOOKUP(A3169,Table1[[Item Purchased]:[Subscription Status]],8,FALSE)</f>
        <v>4.7</v>
      </c>
    </row>
    <row r="3170" spans="1:2" x14ac:dyDescent="0.3">
      <c r="A3170" s="5" t="s">
        <v>33</v>
      </c>
      <c r="B3170">
        <f>VLOOKUP(A3170,Table1[[Item Purchased]:[Subscription Status]],8,FALSE)</f>
        <v>3.1</v>
      </c>
    </row>
    <row r="3171" spans="1:2" x14ac:dyDescent="0.3">
      <c r="A3171" s="6" t="s">
        <v>112</v>
      </c>
      <c r="B3171">
        <f>VLOOKUP(A3171,Table1[[Item Purchased]:[Subscription Status]],8,FALSE)</f>
        <v>4.5999999999999996</v>
      </c>
    </row>
    <row r="3172" spans="1:2" x14ac:dyDescent="0.3">
      <c r="A3172" s="5" t="s">
        <v>88</v>
      </c>
      <c r="B3172">
        <f>VLOOKUP(A3172,Table1[[Item Purchased]:[Subscription Status]],8,FALSE)</f>
        <v>4.0999999999999996</v>
      </c>
    </row>
    <row r="3173" spans="1:2" x14ac:dyDescent="0.3">
      <c r="A3173" s="6" t="s">
        <v>105</v>
      </c>
      <c r="B3173">
        <f>VLOOKUP(A3173,Table1[[Item Purchased]:[Subscription Status]],8,FALSE)</f>
        <v>3.6</v>
      </c>
    </row>
    <row r="3174" spans="1:2" x14ac:dyDescent="0.3">
      <c r="A3174" s="5" t="s">
        <v>124</v>
      </c>
      <c r="B3174">
        <f>VLOOKUP(A3174,Table1[[Item Purchased]:[Subscription Status]],8,FALSE)</f>
        <v>2.9</v>
      </c>
    </row>
    <row r="3175" spans="1:2" x14ac:dyDescent="0.3">
      <c r="A3175" s="6" t="s">
        <v>86</v>
      </c>
      <c r="B3175">
        <f>VLOOKUP(A3175,Table1[[Item Purchased]:[Subscription Status]],8,FALSE)</f>
        <v>2.8</v>
      </c>
    </row>
    <row r="3176" spans="1:2" x14ac:dyDescent="0.3">
      <c r="A3176" s="5" t="s">
        <v>94</v>
      </c>
      <c r="B3176">
        <f>VLOOKUP(A3176,Table1[[Item Purchased]:[Subscription Status]],8,FALSE)</f>
        <v>3.3</v>
      </c>
    </row>
    <row r="3177" spans="1:2" x14ac:dyDescent="0.3">
      <c r="A3177" s="6" t="s">
        <v>124</v>
      </c>
      <c r="B3177">
        <f>VLOOKUP(A3177,Table1[[Item Purchased]:[Subscription Status]],8,FALSE)</f>
        <v>2.9</v>
      </c>
    </row>
    <row r="3178" spans="1:2" x14ac:dyDescent="0.3">
      <c r="A3178" s="5" t="s">
        <v>40</v>
      </c>
      <c r="B3178">
        <f>VLOOKUP(A3178,Table1[[Item Purchased]:[Subscription Status]],8,FALSE)</f>
        <v>3.5</v>
      </c>
    </row>
    <row r="3179" spans="1:2" x14ac:dyDescent="0.3">
      <c r="A3179" s="6" t="s">
        <v>132</v>
      </c>
      <c r="B3179">
        <f>VLOOKUP(A3179,Table1[[Item Purchased]:[Subscription Status]],8,FALSE)</f>
        <v>4.5999999999999996</v>
      </c>
    </row>
    <row r="3180" spans="1:2" x14ac:dyDescent="0.3">
      <c r="A3180" s="5" t="s">
        <v>40</v>
      </c>
      <c r="B3180">
        <f>VLOOKUP(A3180,Table1[[Item Purchased]:[Subscription Status]],8,FALSE)</f>
        <v>3.5</v>
      </c>
    </row>
    <row r="3181" spans="1:2" x14ac:dyDescent="0.3">
      <c r="A3181" s="6" t="s">
        <v>58</v>
      </c>
      <c r="B3181">
        <f>VLOOKUP(A3181,Table1[[Item Purchased]:[Subscription Status]],8,FALSE)</f>
        <v>3.2</v>
      </c>
    </row>
    <row r="3182" spans="1:2" x14ac:dyDescent="0.3">
      <c r="A3182" s="5" t="s">
        <v>65</v>
      </c>
      <c r="B3182">
        <f>VLOOKUP(A3182,Table1[[Item Purchased]:[Subscription Status]],8,FALSE)</f>
        <v>4.8</v>
      </c>
    </row>
    <row r="3183" spans="1:2" x14ac:dyDescent="0.3">
      <c r="A3183" s="6" t="s">
        <v>101</v>
      </c>
      <c r="B3183">
        <f>VLOOKUP(A3183,Table1[[Item Purchased]:[Subscription Status]],8,FALSE)</f>
        <v>2.9</v>
      </c>
    </row>
    <row r="3184" spans="1:2" x14ac:dyDescent="0.3">
      <c r="A3184" s="5" t="s">
        <v>88</v>
      </c>
      <c r="B3184">
        <f>VLOOKUP(A3184,Table1[[Item Purchased]:[Subscription Status]],8,FALSE)</f>
        <v>4.0999999999999996</v>
      </c>
    </row>
    <row r="3185" spans="1:2" x14ac:dyDescent="0.3">
      <c r="A3185" s="6" t="s">
        <v>49</v>
      </c>
      <c r="B3185">
        <f>VLOOKUP(A3185,Table1[[Item Purchased]:[Subscription Status]],8,FALSE)</f>
        <v>2.9</v>
      </c>
    </row>
    <row r="3186" spans="1:2" x14ac:dyDescent="0.3">
      <c r="A3186" s="5" t="s">
        <v>29</v>
      </c>
      <c r="B3186">
        <f>VLOOKUP(A3186,Table1[[Item Purchased]:[Subscription Status]],8,FALSE)</f>
        <v>3.1</v>
      </c>
    </row>
    <row r="3187" spans="1:2" x14ac:dyDescent="0.3">
      <c r="A3187" s="6" t="s">
        <v>86</v>
      </c>
      <c r="B3187">
        <f>VLOOKUP(A3187,Table1[[Item Purchased]:[Subscription Status]],8,FALSE)</f>
        <v>2.8</v>
      </c>
    </row>
    <row r="3188" spans="1:2" x14ac:dyDescent="0.3">
      <c r="A3188" s="5" t="s">
        <v>105</v>
      </c>
      <c r="B3188">
        <f>VLOOKUP(A3188,Table1[[Item Purchased]:[Subscription Status]],8,FALSE)</f>
        <v>3.6</v>
      </c>
    </row>
    <row r="3189" spans="1:2" x14ac:dyDescent="0.3">
      <c r="A3189" s="6" t="s">
        <v>19</v>
      </c>
      <c r="B3189">
        <f>VLOOKUP(A3189,Table1[[Item Purchased]:[Subscription Status]],8,FALSE)</f>
        <v>3.1</v>
      </c>
    </row>
    <row r="3190" spans="1:2" x14ac:dyDescent="0.3">
      <c r="A3190" s="5" t="s">
        <v>19</v>
      </c>
      <c r="B3190">
        <f>VLOOKUP(A3190,Table1[[Item Purchased]:[Subscription Status]],8,FALSE)</f>
        <v>3.1</v>
      </c>
    </row>
    <row r="3191" spans="1:2" x14ac:dyDescent="0.3">
      <c r="A3191" s="6" t="s">
        <v>136</v>
      </c>
      <c r="B3191">
        <f>VLOOKUP(A3191,Table1[[Item Purchased]:[Subscription Status]],8,FALSE)</f>
        <v>4.8</v>
      </c>
    </row>
    <row r="3192" spans="1:2" x14ac:dyDescent="0.3">
      <c r="A3192" s="5" t="s">
        <v>33</v>
      </c>
      <c r="B3192">
        <f>VLOOKUP(A3192,Table1[[Item Purchased]:[Subscription Status]],8,FALSE)</f>
        <v>3.1</v>
      </c>
    </row>
    <row r="3193" spans="1:2" x14ac:dyDescent="0.3">
      <c r="A3193" s="6" t="s">
        <v>103</v>
      </c>
      <c r="B3193">
        <f>VLOOKUP(A3193,Table1[[Item Purchased]:[Subscription Status]],8,FALSE)</f>
        <v>3.6</v>
      </c>
    </row>
    <row r="3194" spans="1:2" x14ac:dyDescent="0.3">
      <c r="A3194" s="5" t="s">
        <v>29</v>
      </c>
      <c r="B3194">
        <f>VLOOKUP(A3194,Table1[[Item Purchased]:[Subscription Status]],8,FALSE)</f>
        <v>3.1</v>
      </c>
    </row>
    <row r="3195" spans="1:2" x14ac:dyDescent="0.3">
      <c r="A3195" s="6" t="s">
        <v>142</v>
      </c>
      <c r="B3195">
        <f>VLOOKUP(A3195,Table1[[Item Purchased]:[Subscription Status]],8,FALSE)</f>
        <v>4.5</v>
      </c>
    </row>
    <row r="3196" spans="1:2" x14ac:dyDescent="0.3">
      <c r="A3196" s="5" t="s">
        <v>49</v>
      </c>
      <c r="B3196">
        <f>VLOOKUP(A3196,Table1[[Item Purchased]:[Subscription Status]],8,FALSE)</f>
        <v>2.9</v>
      </c>
    </row>
    <row r="3197" spans="1:2" x14ac:dyDescent="0.3">
      <c r="A3197" s="6" t="s">
        <v>88</v>
      </c>
      <c r="B3197">
        <f>VLOOKUP(A3197,Table1[[Item Purchased]:[Subscription Status]],8,FALSE)</f>
        <v>4.0999999999999996</v>
      </c>
    </row>
    <row r="3198" spans="1:2" x14ac:dyDescent="0.3">
      <c r="A3198" s="5" t="s">
        <v>132</v>
      </c>
      <c r="B3198">
        <f>VLOOKUP(A3198,Table1[[Item Purchased]:[Subscription Status]],8,FALSE)</f>
        <v>4.5999999999999996</v>
      </c>
    </row>
    <row r="3199" spans="1:2" x14ac:dyDescent="0.3">
      <c r="A3199" s="6" t="s">
        <v>29</v>
      </c>
      <c r="B3199">
        <f>VLOOKUP(A3199,Table1[[Item Purchased]:[Subscription Status]],8,FALSE)</f>
        <v>3.1</v>
      </c>
    </row>
    <row r="3200" spans="1:2" x14ac:dyDescent="0.3">
      <c r="A3200" s="5" t="s">
        <v>142</v>
      </c>
      <c r="B3200">
        <f>VLOOKUP(A3200,Table1[[Item Purchased]:[Subscription Status]],8,FALSE)</f>
        <v>4.5</v>
      </c>
    </row>
    <row r="3201" spans="1:2" x14ac:dyDescent="0.3">
      <c r="A3201" s="6" t="s">
        <v>65</v>
      </c>
      <c r="B3201">
        <f>VLOOKUP(A3201,Table1[[Item Purchased]:[Subscription Status]],8,FALSE)</f>
        <v>4.8</v>
      </c>
    </row>
    <row r="3202" spans="1:2" x14ac:dyDescent="0.3">
      <c r="A3202" s="5" t="s">
        <v>124</v>
      </c>
      <c r="B3202">
        <f>VLOOKUP(A3202,Table1[[Item Purchased]:[Subscription Status]],8,FALSE)</f>
        <v>2.9</v>
      </c>
    </row>
    <row r="3203" spans="1:2" x14ac:dyDescent="0.3">
      <c r="A3203" s="6" t="s">
        <v>94</v>
      </c>
      <c r="B3203">
        <f>VLOOKUP(A3203,Table1[[Item Purchased]:[Subscription Status]],8,FALSE)</f>
        <v>3.3</v>
      </c>
    </row>
    <row r="3204" spans="1:2" x14ac:dyDescent="0.3">
      <c r="A3204" s="5" t="s">
        <v>118</v>
      </c>
      <c r="B3204">
        <f>VLOOKUP(A3204,Table1[[Item Purchased]:[Subscription Status]],8,FALSE)</f>
        <v>4.5</v>
      </c>
    </row>
    <row r="3205" spans="1:2" x14ac:dyDescent="0.3">
      <c r="A3205" s="6" t="s">
        <v>61</v>
      </c>
      <c r="B3205">
        <f>VLOOKUP(A3205,Table1[[Item Purchased]:[Subscription Status]],8,FALSE)</f>
        <v>2.6</v>
      </c>
    </row>
    <row r="3206" spans="1:2" x14ac:dyDescent="0.3">
      <c r="A3206" s="5" t="s">
        <v>101</v>
      </c>
      <c r="B3206">
        <f>VLOOKUP(A3206,Table1[[Item Purchased]:[Subscription Status]],8,FALSE)</f>
        <v>2.9</v>
      </c>
    </row>
    <row r="3207" spans="1:2" x14ac:dyDescent="0.3">
      <c r="A3207" s="6" t="s">
        <v>103</v>
      </c>
      <c r="B3207">
        <f>VLOOKUP(A3207,Table1[[Item Purchased]:[Subscription Status]],8,FALSE)</f>
        <v>3.6</v>
      </c>
    </row>
    <row r="3208" spans="1:2" x14ac:dyDescent="0.3">
      <c r="A3208" s="5" t="s">
        <v>136</v>
      </c>
      <c r="B3208">
        <f>VLOOKUP(A3208,Table1[[Item Purchased]:[Subscription Status]],8,FALSE)</f>
        <v>4.8</v>
      </c>
    </row>
    <row r="3209" spans="1:2" x14ac:dyDescent="0.3">
      <c r="A3209" s="6" t="s">
        <v>124</v>
      </c>
      <c r="B3209">
        <f>VLOOKUP(A3209,Table1[[Item Purchased]:[Subscription Status]],8,FALSE)</f>
        <v>2.9</v>
      </c>
    </row>
    <row r="3210" spans="1:2" x14ac:dyDescent="0.3">
      <c r="A3210" s="5" t="s">
        <v>105</v>
      </c>
      <c r="B3210">
        <f>VLOOKUP(A3210,Table1[[Item Purchased]:[Subscription Status]],8,FALSE)</f>
        <v>3.6</v>
      </c>
    </row>
    <row r="3211" spans="1:2" x14ac:dyDescent="0.3">
      <c r="A3211" s="6" t="s">
        <v>70</v>
      </c>
      <c r="B3211">
        <f>VLOOKUP(A3211,Table1[[Item Purchased]:[Subscription Status]],8,FALSE)</f>
        <v>4.0999999999999996</v>
      </c>
    </row>
    <row r="3212" spans="1:2" x14ac:dyDescent="0.3">
      <c r="A3212" s="5" t="s">
        <v>124</v>
      </c>
      <c r="B3212">
        <f>VLOOKUP(A3212,Table1[[Item Purchased]:[Subscription Status]],8,FALSE)</f>
        <v>2.9</v>
      </c>
    </row>
    <row r="3213" spans="1:2" x14ac:dyDescent="0.3">
      <c r="A3213" s="6" t="s">
        <v>94</v>
      </c>
      <c r="B3213">
        <f>VLOOKUP(A3213,Table1[[Item Purchased]:[Subscription Status]],8,FALSE)</f>
        <v>3.3</v>
      </c>
    </row>
    <row r="3214" spans="1:2" x14ac:dyDescent="0.3">
      <c r="A3214" s="5" t="s">
        <v>49</v>
      </c>
      <c r="B3214">
        <f>VLOOKUP(A3214,Table1[[Item Purchased]:[Subscription Status]],8,FALSE)</f>
        <v>2.9</v>
      </c>
    </row>
    <row r="3215" spans="1:2" x14ac:dyDescent="0.3">
      <c r="A3215" s="6" t="s">
        <v>88</v>
      </c>
      <c r="B3215">
        <f>VLOOKUP(A3215,Table1[[Item Purchased]:[Subscription Status]],8,FALSE)</f>
        <v>4.0999999999999996</v>
      </c>
    </row>
    <row r="3216" spans="1:2" x14ac:dyDescent="0.3">
      <c r="A3216" s="5" t="s">
        <v>86</v>
      </c>
      <c r="B3216">
        <f>VLOOKUP(A3216,Table1[[Item Purchased]:[Subscription Status]],8,FALSE)</f>
        <v>2.8</v>
      </c>
    </row>
    <row r="3217" spans="1:2" x14ac:dyDescent="0.3">
      <c r="A3217" s="6" t="s">
        <v>61</v>
      </c>
      <c r="B3217">
        <f>VLOOKUP(A3217,Table1[[Item Purchased]:[Subscription Status]],8,FALSE)</f>
        <v>2.6</v>
      </c>
    </row>
    <row r="3218" spans="1:2" x14ac:dyDescent="0.3">
      <c r="A3218" s="5" t="s">
        <v>103</v>
      </c>
      <c r="B3218">
        <f>VLOOKUP(A3218,Table1[[Item Purchased]:[Subscription Status]],8,FALSE)</f>
        <v>3.6</v>
      </c>
    </row>
    <row r="3219" spans="1:2" x14ac:dyDescent="0.3">
      <c r="A3219" s="6" t="s">
        <v>88</v>
      </c>
      <c r="B3219">
        <f>VLOOKUP(A3219,Table1[[Item Purchased]:[Subscription Status]],8,FALSE)</f>
        <v>4.0999999999999996</v>
      </c>
    </row>
    <row r="3220" spans="1:2" x14ac:dyDescent="0.3">
      <c r="A3220" s="5" t="s">
        <v>86</v>
      </c>
      <c r="B3220">
        <f>VLOOKUP(A3220,Table1[[Item Purchased]:[Subscription Status]],8,FALSE)</f>
        <v>2.8</v>
      </c>
    </row>
    <row r="3221" spans="1:2" x14ac:dyDescent="0.3">
      <c r="A3221" s="6" t="s">
        <v>61</v>
      </c>
      <c r="B3221">
        <f>VLOOKUP(A3221,Table1[[Item Purchased]:[Subscription Status]],8,FALSE)</f>
        <v>2.6</v>
      </c>
    </row>
    <row r="3222" spans="1:2" x14ac:dyDescent="0.3">
      <c r="A3222" s="5" t="s">
        <v>65</v>
      </c>
      <c r="B3222">
        <f>VLOOKUP(A3222,Table1[[Item Purchased]:[Subscription Status]],8,FALSE)</f>
        <v>4.8</v>
      </c>
    </row>
    <row r="3223" spans="1:2" x14ac:dyDescent="0.3">
      <c r="A3223" s="6" t="s">
        <v>112</v>
      </c>
      <c r="B3223">
        <f>VLOOKUP(A3223,Table1[[Item Purchased]:[Subscription Status]],8,FALSE)</f>
        <v>4.5999999999999996</v>
      </c>
    </row>
    <row r="3224" spans="1:2" x14ac:dyDescent="0.3">
      <c r="A3224" s="5" t="s">
        <v>88</v>
      </c>
      <c r="B3224">
        <f>VLOOKUP(A3224,Table1[[Item Purchased]:[Subscription Status]],8,FALSE)</f>
        <v>4.0999999999999996</v>
      </c>
    </row>
    <row r="3225" spans="1:2" x14ac:dyDescent="0.3">
      <c r="A3225" s="6" t="s">
        <v>54</v>
      </c>
      <c r="B3225">
        <f>VLOOKUP(A3225,Table1[[Item Purchased]:[Subscription Status]],8,FALSE)</f>
        <v>3.2</v>
      </c>
    </row>
    <row r="3226" spans="1:2" x14ac:dyDescent="0.3">
      <c r="A3226" s="5" t="s">
        <v>103</v>
      </c>
      <c r="B3226">
        <f>VLOOKUP(A3226,Table1[[Item Purchased]:[Subscription Status]],8,FALSE)</f>
        <v>3.6</v>
      </c>
    </row>
    <row r="3227" spans="1:2" x14ac:dyDescent="0.3">
      <c r="A3227" s="6" t="s">
        <v>19</v>
      </c>
      <c r="B3227">
        <f>VLOOKUP(A3227,Table1[[Item Purchased]:[Subscription Status]],8,FALSE)</f>
        <v>3.1</v>
      </c>
    </row>
    <row r="3228" spans="1:2" x14ac:dyDescent="0.3">
      <c r="A3228" s="5" t="s">
        <v>49</v>
      </c>
      <c r="B3228">
        <f>VLOOKUP(A3228,Table1[[Item Purchased]:[Subscription Status]],8,FALSE)</f>
        <v>2.9</v>
      </c>
    </row>
    <row r="3229" spans="1:2" x14ac:dyDescent="0.3">
      <c r="A3229" s="6" t="s">
        <v>118</v>
      </c>
      <c r="B3229">
        <f>VLOOKUP(A3229,Table1[[Item Purchased]:[Subscription Status]],8,FALSE)</f>
        <v>4.5</v>
      </c>
    </row>
    <row r="3230" spans="1:2" x14ac:dyDescent="0.3">
      <c r="A3230" s="5" t="s">
        <v>105</v>
      </c>
      <c r="B3230">
        <f>VLOOKUP(A3230,Table1[[Item Purchased]:[Subscription Status]],8,FALSE)</f>
        <v>3.6</v>
      </c>
    </row>
    <row r="3231" spans="1:2" x14ac:dyDescent="0.3">
      <c r="A3231" s="6" t="s">
        <v>94</v>
      </c>
      <c r="B3231">
        <f>VLOOKUP(A3231,Table1[[Item Purchased]:[Subscription Status]],8,FALSE)</f>
        <v>3.3</v>
      </c>
    </row>
    <row r="3232" spans="1:2" x14ac:dyDescent="0.3">
      <c r="A3232" s="5" t="s">
        <v>49</v>
      </c>
      <c r="B3232">
        <f>VLOOKUP(A3232,Table1[[Item Purchased]:[Subscription Status]],8,FALSE)</f>
        <v>2.9</v>
      </c>
    </row>
    <row r="3233" spans="1:2" x14ac:dyDescent="0.3">
      <c r="A3233" s="6" t="s">
        <v>70</v>
      </c>
      <c r="B3233">
        <f>VLOOKUP(A3233,Table1[[Item Purchased]:[Subscription Status]],8,FALSE)</f>
        <v>4.0999999999999996</v>
      </c>
    </row>
    <row r="3234" spans="1:2" x14ac:dyDescent="0.3">
      <c r="A3234" s="5" t="s">
        <v>112</v>
      </c>
      <c r="B3234">
        <f>VLOOKUP(A3234,Table1[[Item Purchased]:[Subscription Status]],8,FALSE)</f>
        <v>4.5999999999999996</v>
      </c>
    </row>
    <row r="3235" spans="1:2" x14ac:dyDescent="0.3">
      <c r="A3235" s="6" t="s">
        <v>132</v>
      </c>
      <c r="B3235">
        <f>VLOOKUP(A3235,Table1[[Item Purchased]:[Subscription Status]],8,FALSE)</f>
        <v>4.5999999999999996</v>
      </c>
    </row>
    <row r="3236" spans="1:2" x14ac:dyDescent="0.3">
      <c r="A3236" s="5" t="s">
        <v>105</v>
      </c>
      <c r="B3236">
        <f>VLOOKUP(A3236,Table1[[Item Purchased]:[Subscription Status]],8,FALSE)</f>
        <v>3.6</v>
      </c>
    </row>
    <row r="3237" spans="1:2" x14ac:dyDescent="0.3">
      <c r="A3237" s="6" t="s">
        <v>132</v>
      </c>
      <c r="B3237">
        <f>VLOOKUP(A3237,Table1[[Item Purchased]:[Subscription Status]],8,FALSE)</f>
        <v>4.5999999999999996</v>
      </c>
    </row>
    <row r="3238" spans="1:2" x14ac:dyDescent="0.3">
      <c r="A3238" s="5" t="s">
        <v>132</v>
      </c>
      <c r="B3238">
        <f>VLOOKUP(A3238,Table1[[Item Purchased]:[Subscription Status]],8,FALSE)</f>
        <v>4.5999999999999996</v>
      </c>
    </row>
    <row r="3239" spans="1:2" x14ac:dyDescent="0.3">
      <c r="A3239" s="6" t="s">
        <v>112</v>
      </c>
      <c r="B3239">
        <f>VLOOKUP(A3239,Table1[[Item Purchased]:[Subscription Status]],8,FALSE)</f>
        <v>4.5999999999999996</v>
      </c>
    </row>
    <row r="3240" spans="1:2" x14ac:dyDescent="0.3">
      <c r="A3240" s="5" t="s">
        <v>49</v>
      </c>
      <c r="B3240">
        <f>VLOOKUP(A3240,Table1[[Item Purchased]:[Subscription Status]],8,FALSE)</f>
        <v>2.9</v>
      </c>
    </row>
    <row r="3241" spans="1:2" x14ac:dyDescent="0.3">
      <c r="A3241" s="6" t="s">
        <v>88</v>
      </c>
      <c r="B3241">
        <f>VLOOKUP(A3241,Table1[[Item Purchased]:[Subscription Status]],8,FALSE)</f>
        <v>4.0999999999999996</v>
      </c>
    </row>
    <row r="3242" spans="1:2" x14ac:dyDescent="0.3">
      <c r="A3242" s="5" t="s">
        <v>40</v>
      </c>
      <c r="B3242">
        <f>VLOOKUP(A3242,Table1[[Item Purchased]:[Subscription Status]],8,FALSE)</f>
        <v>3.5</v>
      </c>
    </row>
    <row r="3243" spans="1:2" x14ac:dyDescent="0.3">
      <c r="A3243" s="6" t="s">
        <v>65</v>
      </c>
      <c r="B3243">
        <f>VLOOKUP(A3243,Table1[[Item Purchased]:[Subscription Status]],8,FALSE)</f>
        <v>4.8</v>
      </c>
    </row>
    <row r="3244" spans="1:2" x14ac:dyDescent="0.3">
      <c r="A3244" s="5" t="s">
        <v>124</v>
      </c>
      <c r="B3244">
        <f>VLOOKUP(A3244,Table1[[Item Purchased]:[Subscription Status]],8,FALSE)</f>
        <v>2.9</v>
      </c>
    </row>
    <row r="3245" spans="1:2" x14ac:dyDescent="0.3">
      <c r="A3245" s="6" t="s">
        <v>103</v>
      </c>
      <c r="B3245">
        <f>VLOOKUP(A3245,Table1[[Item Purchased]:[Subscription Status]],8,FALSE)</f>
        <v>3.6</v>
      </c>
    </row>
    <row r="3246" spans="1:2" x14ac:dyDescent="0.3">
      <c r="A3246" s="5" t="s">
        <v>29</v>
      </c>
      <c r="B3246">
        <f>VLOOKUP(A3246,Table1[[Item Purchased]:[Subscription Status]],8,FALSE)</f>
        <v>3.1</v>
      </c>
    </row>
    <row r="3247" spans="1:2" x14ac:dyDescent="0.3">
      <c r="A3247" s="6" t="s">
        <v>94</v>
      </c>
      <c r="B3247">
        <f>VLOOKUP(A3247,Table1[[Item Purchased]:[Subscription Status]],8,FALSE)</f>
        <v>3.3</v>
      </c>
    </row>
    <row r="3248" spans="1:2" x14ac:dyDescent="0.3">
      <c r="A3248" s="5" t="s">
        <v>49</v>
      </c>
      <c r="B3248">
        <f>VLOOKUP(A3248,Table1[[Item Purchased]:[Subscription Status]],8,FALSE)</f>
        <v>2.9</v>
      </c>
    </row>
    <row r="3249" spans="1:2" x14ac:dyDescent="0.3">
      <c r="A3249" s="6" t="s">
        <v>142</v>
      </c>
      <c r="B3249">
        <f>VLOOKUP(A3249,Table1[[Item Purchased]:[Subscription Status]],8,FALSE)</f>
        <v>4.5</v>
      </c>
    </row>
    <row r="3250" spans="1:2" x14ac:dyDescent="0.3">
      <c r="A3250" s="5" t="s">
        <v>112</v>
      </c>
      <c r="B3250">
        <f>VLOOKUP(A3250,Table1[[Item Purchased]:[Subscription Status]],8,FALSE)</f>
        <v>4.5999999999999996</v>
      </c>
    </row>
    <row r="3251" spans="1:2" x14ac:dyDescent="0.3">
      <c r="A3251" s="6" t="s">
        <v>131</v>
      </c>
      <c r="B3251">
        <f>VLOOKUP(A3251,Table1[[Item Purchased]:[Subscription Status]],8,FALSE)</f>
        <v>4.7</v>
      </c>
    </row>
    <row r="3252" spans="1:2" x14ac:dyDescent="0.3">
      <c r="A3252" s="5" t="s">
        <v>61</v>
      </c>
      <c r="B3252">
        <f>VLOOKUP(A3252,Table1[[Item Purchased]:[Subscription Status]],8,FALSE)</f>
        <v>2.6</v>
      </c>
    </row>
    <row r="3253" spans="1:2" x14ac:dyDescent="0.3">
      <c r="A3253" s="6" t="s">
        <v>61</v>
      </c>
      <c r="B3253">
        <f>VLOOKUP(A3253,Table1[[Item Purchased]:[Subscription Status]],8,FALSE)</f>
        <v>2.6</v>
      </c>
    </row>
    <row r="3254" spans="1:2" x14ac:dyDescent="0.3">
      <c r="A3254" s="5" t="s">
        <v>40</v>
      </c>
      <c r="B3254">
        <f>VLOOKUP(A3254,Table1[[Item Purchased]:[Subscription Status]],8,FALSE)</f>
        <v>3.5</v>
      </c>
    </row>
    <row r="3255" spans="1:2" x14ac:dyDescent="0.3">
      <c r="A3255" s="6" t="s">
        <v>131</v>
      </c>
      <c r="B3255">
        <f>VLOOKUP(A3255,Table1[[Item Purchased]:[Subscription Status]],8,FALSE)</f>
        <v>4.7</v>
      </c>
    </row>
    <row r="3256" spans="1:2" x14ac:dyDescent="0.3">
      <c r="A3256" s="5" t="s">
        <v>29</v>
      </c>
      <c r="B3256">
        <f>VLOOKUP(A3256,Table1[[Item Purchased]:[Subscription Status]],8,FALSE)</f>
        <v>3.1</v>
      </c>
    </row>
    <row r="3257" spans="1:2" x14ac:dyDescent="0.3">
      <c r="A3257" s="6" t="s">
        <v>58</v>
      </c>
      <c r="B3257">
        <f>VLOOKUP(A3257,Table1[[Item Purchased]:[Subscription Status]],8,FALSE)</f>
        <v>3.2</v>
      </c>
    </row>
    <row r="3258" spans="1:2" x14ac:dyDescent="0.3">
      <c r="A3258" s="5" t="s">
        <v>88</v>
      </c>
      <c r="B3258">
        <f>VLOOKUP(A3258,Table1[[Item Purchased]:[Subscription Status]],8,FALSE)</f>
        <v>4.0999999999999996</v>
      </c>
    </row>
    <row r="3259" spans="1:2" x14ac:dyDescent="0.3">
      <c r="A3259" s="6" t="s">
        <v>54</v>
      </c>
      <c r="B3259">
        <f>VLOOKUP(A3259,Table1[[Item Purchased]:[Subscription Status]],8,FALSE)</f>
        <v>3.2</v>
      </c>
    </row>
    <row r="3260" spans="1:2" x14ac:dyDescent="0.3">
      <c r="A3260" s="5" t="s">
        <v>70</v>
      </c>
      <c r="B3260">
        <f>VLOOKUP(A3260,Table1[[Item Purchased]:[Subscription Status]],8,FALSE)</f>
        <v>4.0999999999999996</v>
      </c>
    </row>
    <row r="3261" spans="1:2" x14ac:dyDescent="0.3">
      <c r="A3261" s="6" t="s">
        <v>123</v>
      </c>
      <c r="B3261">
        <f>VLOOKUP(A3261,Table1[[Item Purchased]:[Subscription Status]],8,FALSE)</f>
        <v>4.5999999999999996</v>
      </c>
    </row>
    <row r="3262" spans="1:2" x14ac:dyDescent="0.3">
      <c r="A3262" s="5" t="s">
        <v>118</v>
      </c>
      <c r="B3262">
        <f>VLOOKUP(A3262,Table1[[Item Purchased]:[Subscription Status]],8,FALSE)</f>
        <v>4.5</v>
      </c>
    </row>
    <row r="3263" spans="1:2" x14ac:dyDescent="0.3">
      <c r="A3263" s="6" t="s">
        <v>132</v>
      </c>
      <c r="B3263">
        <f>VLOOKUP(A3263,Table1[[Item Purchased]:[Subscription Status]],8,FALSE)</f>
        <v>4.5999999999999996</v>
      </c>
    </row>
    <row r="3264" spans="1:2" x14ac:dyDescent="0.3">
      <c r="A3264" s="5" t="s">
        <v>112</v>
      </c>
      <c r="B3264">
        <f>VLOOKUP(A3264,Table1[[Item Purchased]:[Subscription Status]],8,FALSE)</f>
        <v>4.5999999999999996</v>
      </c>
    </row>
    <row r="3265" spans="1:2" x14ac:dyDescent="0.3">
      <c r="A3265" s="6" t="s">
        <v>58</v>
      </c>
      <c r="B3265">
        <f>VLOOKUP(A3265,Table1[[Item Purchased]:[Subscription Status]],8,FALSE)</f>
        <v>3.2</v>
      </c>
    </row>
    <row r="3266" spans="1:2" x14ac:dyDescent="0.3">
      <c r="A3266" s="5" t="s">
        <v>94</v>
      </c>
      <c r="B3266">
        <f>VLOOKUP(A3266,Table1[[Item Purchased]:[Subscription Status]],8,FALSE)</f>
        <v>3.3</v>
      </c>
    </row>
    <row r="3267" spans="1:2" x14ac:dyDescent="0.3">
      <c r="A3267" s="6" t="s">
        <v>88</v>
      </c>
      <c r="B3267">
        <f>VLOOKUP(A3267,Table1[[Item Purchased]:[Subscription Status]],8,FALSE)</f>
        <v>4.0999999999999996</v>
      </c>
    </row>
    <row r="3268" spans="1:2" x14ac:dyDescent="0.3">
      <c r="A3268" s="5" t="s">
        <v>61</v>
      </c>
      <c r="B3268">
        <f>VLOOKUP(A3268,Table1[[Item Purchased]:[Subscription Status]],8,FALSE)</f>
        <v>2.6</v>
      </c>
    </row>
    <row r="3269" spans="1:2" x14ac:dyDescent="0.3">
      <c r="A3269" s="6" t="s">
        <v>103</v>
      </c>
      <c r="B3269">
        <f>VLOOKUP(A3269,Table1[[Item Purchased]:[Subscription Status]],8,FALSE)</f>
        <v>3.6</v>
      </c>
    </row>
    <row r="3270" spans="1:2" x14ac:dyDescent="0.3">
      <c r="A3270" s="5" t="s">
        <v>80</v>
      </c>
      <c r="B3270">
        <f>VLOOKUP(A3270,Table1[[Item Purchased]:[Subscription Status]],8,FALSE)</f>
        <v>4.7</v>
      </c>
    </row>
    <row r="3271" spans="1:2" x14ac:dyDescent="0.3">
      <c r="A3271" s="6" t="s">
        <v>19</v>
      </c>
      <c r="B3271">
        <f>VLOOKUP(A3271,Table1[[Item Purchased]:[Subscription Status]],8,FALSE)</f>
        <v>3.1</v>
      </c>
    </row>
    <row r="3272" spans="1:2" x14ac:dyDescent="0.3">
      <c r="A3272" s="5" t="s">
        <v>124</v>
      </c>
      <c r="B3272">
        <f>VLOOKUP(A3272,Table1[[Item Purchased]:[Subscription Status]],8,FALSE)</f>
        <v>2.9</v>
      </c>
    </row>
    <row r="3273" spans="1:2" x14ac:dyDescent="0.3">
      <c r="A3273" s="6" t="s">
        <v>124</v>
      </c>
      <c r="B3273">
        <f>VLOOKUP(A3273,Table1[[Item Purchased]:[Subscription Status]],8,FALSE)</f>
        <v>2.9</v>
      </c>
    </row>
    <row r="3274" spans="1:2" x14ac:dyDescent="0.3">
      <c r="A3274" s="5" t="s">
        <v>70</v>
      </c>
      <c r="B3274">
        <f>VLOOKUP(A3274,Table1[[Item Purchased]:[Subscription Status]],8,FALSE)</f>
        <v>4.0999999999999996</v>
      </c>
    </row>
    <row r="3275" spans="1:2" x14ac:dyDescent="0.3">
      <c r="A3275" s="6" t="s">
        <v>132</v>
      </c>
      <c r="B3275">
        <f>VLOOKUP(A3275,Table1[[Item Purchased]:[Subscription Status]],8,FALSE)</f>
        <v>4.5999999999999996</v>
      </c>
    </row>
    <row r="3276" spans="1:2" x14ac:dyDescent="0.3">
      <c r="A3276" s="5" t="s">
        <v>29</v>
      </c>
      <c r="B3276">
        <f>VLOOKUP(A3276,Table1[[Item Purchased]:[Subscription Status]],8,FALSE)</f>
        <v>3.1</v>
      </c>
    </row>
    <row r="3277" spans="1:2" x14ac:dyDescent="0.3">
      <c r="A3277" s="6" t="s">
        <v>94</v>
      </c>
      <c r="B3277">
        <f>VLOOKUP(A3277,Table1[[Item Purchased]:[Subscription Status]],8,FALSE)</f>
        <v>3.3</v>
      </c>
    </row>
    <row r="3278" spans="1:2" x14ac:dyDescent="0.3">
      <c r="A3278" s="5" t="s">
        <v>118</v>
      </c>
      <c r="B3278">
        <f>VLOOKUP(A3278,Table1[[Item Purchased]:[Subscription Status]],8,FALSE)</f>
        <v>4.5</v>
      </c>
    </row>
    <row r="3279" spans="1:2" x14ac:dyDescent="0.3">
      <c r="A3279" s="6" t="s">
        <v>86</v>
      </c>
      <c r="B3279">
        <f>VLOOKUP(A3279,Table1[[Item Purchased]:[Subscription Status]],8,FALSE)</f>
        <v>2.8</v>
      </c>
    </row>
    <row r="3280" spans="1:2" x14ac:dyDescent="0.3">
      <c r="A3280" s="5" t="s">
        <v>80</v>
      </c>
      <c r="B3280">
        <f>VLOOKUP(A3280,Table1[[Item Purchased]:[Subscription Status]],8,FALSE)</f>
        <v>4.7</v>
      </c>
    </row>
    <row r="3281" spans="1:2" x14ac:dyDescent="0.3">
      <c r="A3281" s="6" t="s">
        <v>123</v>
      </c>
      <c r="B3281">
        <f>VLOOKUP(A3281,Table1[[Item Purchased]:[Subscription Status]],8,FALSE)</f>
        <v>4.5999999999999996</v>
      </c>
    </row>
    <row r="3282" spans="1:2" x14ac:dyDescent="0.3">
      <c r="A3282" s="5" t="s">
        <v>65</v>
      </c>
      <c r="B3282">
        <f>VLOOKUP(A3282,Table1[[Item Purchased]:[Subscription Status]],8,FALSE)</f>
        <v>4.8</v>
      </c>
    </row>
    <row r="3283" spans="1:2" x14ac:dyDescent="0.3">
      <c r="A3283" s="6" t="s">
        <v>94</v>
      </c>
      <c r="B3283">
        <f>VLOOKUP(A3283,Table1[[Item Purchased]:[Subscription Status]],8,FALSE)</f>
        <v>3.3</v>
      </c>
    </row>
    <row r="3284" spans="1:2" x14ac:dyDescent="0.3">
      <c r="A3284" s="5" t="s">
        <v>112</v>
      </c>
      <c r="B3284">
        <f>VLOOKUP(A3284,Table1[[Item Purchased]:[Subscription Status]],8,FALSE)</f>
        <v>4.5999999999999996</v>
      </c>
    </row>
    <row r="3285" spans="1:2" x14ac:dyDescent="0.3">
      <c r="A3285" s="6" t="s">
        <v>101</v>
      </c>
      <c r="B3285">
        <f>VLOOKUP(A3285,Table1[[Item Purchased]:[Subscription Status]],8,FALSE)</f>
        <v>2.9</v>
      </c>
    </row>
    <row r="3286" spans="1:2" x14ac:dyDescent="0.3">
      <c r="A3286" s="5" t="s">
        <v>118</v>
      </c>
      <c r="B3286">
        <f>VLOOKUP(A3286,Table1[[Item Purchased]:[Subscription Status]],8,FALSE)</f>
        <v>4.5</v>
      </c>
    </row>
    <row r="3287" spans="1:2" x14ac:dyDescent="0.3">
      <c r="A3287" s="6" t="s">
        <v>123</v>
      </c>
      <c r="B3287">
        <f>VLOOKUP(A3287,Table1[[Item Purchased]:[Subscription Status]],8,FALSE)</f>
        <v>4.5999999999999996</v>
      </c>
    </row>
    <row r="3288" spans="1:2" x14ac:dyDescent="0.3">
      <c r="A3288" s="5" t="s">
        <v>101</v>
      </c>
      <c r="B3288">
        <f>VLOOKUP(A3288,Table1[[Item Purchased]:[Subscription Status]],8,FALSE)</f>
        <v>2.9</v>
      </c>
    </row>
    <row r="3289" spans="1:2" x14ac:dyDescent="0.3">
      <c r="A3289" s="6" t="s">
        <v>86</v>
      </c>
      <c r="B3289">
        <f>VLOOKUP(A3289,Table1[[Item Purchased]:[Subscription Status]],8,FALSE)</f>
        <v>2.8</v>
      </c>
    </row>
    <row r="3290" spans="1:2" x14ac:dyDescent="0.3">
      <c r="A3290" s="5" t="s">
        <v>65</v>
      </c>
      <c r="B3290">
        <f>VLOOKUP(A3290,Table1[[Item Purchased]:[Subscription Status]],8,FALSE)</f>
        <v>4.8</v>
      </c>
    </row>
    <row r="3291" spans="1:2" x14ac:dyDescent="0.3">
      <c r="A3291" s="6" t="s">
        <v>131</v>
      </c>
      <c r="B3291">
        <f>VLOOKUP(A3291,Table1[[Item Purchased]:[Subscription Status]],8,FALSE)</f>
        <v>4.7</v>
      </c>
    </row>
    <row r="3292" spans="1:2" x14ac:dyDescent="0.3">
      <c r="A3292" s="5" t="s">
        <v>61</v>
      </c>
      <c r="B3292">
        <f>VLOOKUP(A3292,Table1[[Item Purchased]:[Subscription Status]],8,FALSE)</f>
        <v>2.6</v>
      </c>
    </row>
    <row r="3293" spans="1:2" x14ac:dyDescent="0.3">
      <c r="A3293" s="6" t="s">
        <v>132</v>
      </c>
      <c r="B3293">
        <f>VLOOKUP(A3293,Table1[[Item Purchased]:[Subscription Status]],8,FALSE)</f>
        <v>4.5999999999999996</v>
      </c>
    </row>
    <row r="3294" spans="1:2" x14ac:dyDescent="0.3">
      <c r="A3294" s="5" t="s">
        <v>65</v>
      </c>
      <c r="B3294">
        <f>VLOOKUP(A3294,Table1[[Item Purchased]:[Subscription Status]],8,FALSE)</f>
        <v>4.8</v>
      </c>
    </row>
    <row r="3295" spans="1:2" x14ac:dyDescent="0.3">
      <c r="A3295" s="6" t="s">
        <v>61</v>
      </c>
      <c r="B3295">
        <f>VLOOKUP(A3295,Table1[[Item Purchased]:[Subscription Status]],8,FALSE)</f>
        <v>2.6</v>
      </c>
    </row>
    <row r="3296" spans="1:2" x14ac:dyDescent="0.3">
      <c r="A3296" s="5" t="s">
        <v>29</v>
      </c>
      <c r="B3296">
        <f>VLOOKUP(A3296,Table1[[Item Purchased]:[Subscription Status]],8,FALSE)</f>
        <v>3.1</v>
      </c>
    </row>
    <row r="3297" spans="1:2" x14ac:dyDescent="0.3">
      <c r="A3297" s="6" t="s">
        <v>19</v>
      </c>
      <c r="B3297">
        <f>VLOOKUP(A3297,Table1[[Item Purchased]:[Subscription Status]],8,FALSE)</f>
        <v>3.1</v>
      </c>
    </row>
    <row r="3298" spans="1:2" x14ac:dyDescent="0.3">
      <c r="A3298" s="5" t="s">
        <v>19</v>
      </c>
      <c r="B3298">
        <f>VLOOKUP(A3298,Table1[[Item Purchased]:[Subscription Status]],8,FALSE)</f>
        <v>3.1</v>
      </c>
    </row>
    <row r="3299" spans="1:2" x14ac:dyDescent="0.3">
      <c r="A3299" s="6" t="s">
        <v>132</v>
      </c>
      <c r="B3299">
        <f>VLOOKUP(A3299,Table1[[Item Purchased]:[Subscription Status]],8,FALSE)</f>
        <v>4.5999999999999996</v>
      </c>
    </row>
    <row r="3300" spans="1:2" x14ac:dyDescent="0.3">
      <c r="A3300" s="5" t="s">
        <v>101</v>
      </c>
      <c r="B3300">
        <f>VLOOKUP(A3300,Table1[[Item Purchased]:[Subscription Status]],8,FALSE)</f>
        <v>2.9</v>
      </c>
    </row>
    <row r="3301" spans="1:2" x14ac:dyDescent="0.3">
      <c r="A3301" s="6" t="s">
        <v>58</v>
      </c>
      <c r="B3301">
        <f>VLOOKUP(A3301,Table1[[Item Purchased]:[Subscription Status]],8,FALSE)</f>
        <v>3.2</v>
      </c>
    </row>
    <row r="3302" spans="1:2" x14ac:dyDescent="0.3">
      <c r="A3302" s="5" t="s">
        <v>123</v>
      </c>
      <c r="B3302">
        <f>VLOOKUP(A3302,Table1[[Item Purchased]:[Subscription Status]],8,FALSE)</f>
        <v>4.5999999999999996</v>
      </c>
    </row>
    <row r="3303" spans="1:2" x14ac:dyDescent="0.3">
      <c r="A3303" s="6" t="s">
        <v>94</v>
      </c>
      <c r="B3303">
        <f>VLOOKUP(A3303,Table1[[Item Purchased]:[Subscription Status]],8,FALSE)</f>
        <v>3.3</v>
      </c>
    </row>
    <row r="3304" spans="1:2" x14ac:dyDescent="0.3">
      <c r="A3304" s="5" t="s">
        <v>19</v>
      </c>
      <c r="B3304">
        <f>VLOOKUP(A3304,Table1[[Item Purchased]:[Subscription Status]],8,FALSE)</f>
        <v>3.1</v>
      </c>
    </row>
    <row r="3305" spans="1:2" x14ac:dyDescent="0.3">
      <c r="A3305" s="6" t="s">
        <v>132</v>
      </c>
      <c r="B3305">
        <f>VLOOKUP(A3305,Table1[[Item Purchased]:[Subscription Status]],8,FALSE)</f>
        <v>4.5999999999999996</v>
      </c>
    </row>
    <row r="3306" spans="1:2" x14ac:dyDescent="0.3">
      <c r="A3306" s="5" t="s">
        <v>65</v>
      </c>
      <c r="B3306">
        <f>VLOOKUP(A3306,Table1[[Item Purchased]:[Subscription Status]],8,FALSE)</f>
        <v>4.8</v>
      </c>
    </row>
    <row r="3307" spans="1:2" x14ac:dyDescent="0.3">
      <c r="A3307" s="6" t="s">
        <v>103</v>
      </c>
      <c r="B3307">
        <f>VLOOKUP(A3307,Table1[[Item Purchased]:[Subscription Status]],8,FALSE)</f>
        <v>3.6</v>
      </c>
    </row>
    <row r="3308" spans="1:2" x14ac:dyDescent="0.3">
      <c r="A3308" s="5" t="s">
        <v>101</v>
      </c>
      <c r="B3308">
        <f>VLOOKUP(A3308,Table1[[Item Purchased]:[Subscription Status]],8,FALSE)</f>
        <v>2.9</v>
      </c>
    </row>
    <row r="3309" spans="1:2" x14ac:dyDescent="0.3">
      <c r="A3309" s="6" t="s">
        <v>118</v>
      </c>
      <c r="B3309">
        <f>VLOOKUP(A3309,Table1[[Item Purchased]:[Subscription Status]],8,FALSE)</f>
        <v>4.5</v>
      </c>
    </row>
    <row r="3310" spans="1:2" x14ac:dyDescent="0.3">
      <c r="A3310" s="5" t="s">
        <v>33</v>
      </c>
      <c r="B3310">
        <f>VLOOKUP(A3310,Table1[[Item Purchased]:[Subscription Status]],8,FALSE)</f>
        <v>3.1</v>
      </c>
    </row>
    <row r="3311" spans="1:2" x14ac:dyDescent="0.3">
      <c r="A3311" s="6" t="s">
        <v>65</v>
      </c>
      <c r="B3311">
        <f>VLOOKUP(A3311,Table1[[Item Purchased]:[Subscription Status]],8,FALSE)</f>
        <v>4.8</v>
      </c>
    </row>
    <row r="3312" spans="1:2" x14ac:dyDescent="0.3">
      <c r="A3312" s="5" t="s">
        <v>101</v>
      </c>
      <c r="B3312">
        <f>VLOOKUP(A3312,Table1[[Item Purchased]:[Subscription Status]],8,FALSE)</f>
        <v>2.9</v>
      </c>
    </row>
    <row r="3313" spans="1:2" x14ac:dyDescent="0.3">
      <c r="A3313" s="6" t="s">
        <v>123</v>
      </c>
      <c r="B3313">
        <f>VLOOKUP(A3313,Table1[[Item Purchased]:[Subscription Status]],8,FALSE)</f>
        <v>4.5999999999999996</v>
      </c>
    </row>
    <row r="3314" spans="1:2" x14ac:dyDescent="0.3">
      <c r="A3314" s="5" t="s">
        <v>49</v>
      </c>
      <c r="B3314">
        <f>VLOOKUP(A3314,Table1[[Item Purchased]:[Subscription Status]],8,FALSE)</f>
        <v>2.9</v>
      </c>
    </row>
    <row r="3315" spans="1:2" x14ac:dyDescent="0.3">
      <c r="A3315" s="6" t="s">
        <v>123</v>
      </c>
      <c r="B3315">
        <f>VLOOKUP(A3315,Table1[[Item Purchased]:[Subscription Status]],8,FALSE)</f>
        <v>4.5999999999999996</v>
      </c>
    </row>
    <row r="3316" spans="1:2" x14ac:dyDescent="0.3">
      <c r="A3316" s="5" t="s">
        <v>124</v>
      </c>
      <c r="B3316">
        <f>VLOOKUP(A3316,Table1[[Item Purchased]:[Subscription Status]],8,FALSE)</f>
        <v>2.9</v>
      </c>
    </row>
    <row r="3317" spans="1:2" x14ac:dyDescent="0.3">
      <c r="A3317" s="6" t="s">
        <v>118</v>
      </c>
      <c r="B3317">
        <f>VLOOKUP(A3317,Table1[[Item Purchased]:[Subscription Status]],8,FALSE)</f>
        <v>4.5</v>
      </c>
    </row>
    <row r="3318" spans="1:2" x14ac:dyDescent="0.3">
      <c r="A3318" s="5" t="s">
        <v>124</v>
      </c>
      <c r="B3318">
        <f>VLOOKUP(A3318,Table1[[Item Purchased]:[Subscription Status]],8,FALSE)</f>
        <v>2.9</v>
      </c>
    </row>
    <row r="3319" spans="1:2" x14ac:dyDescent="0.3">
      <c r="A3319" s="6" t="s">
        <v>123</v>
      </c>
      <c r="B3319">
        <f>VLOOKUP(A3319,Table1[[Item Purchased]:[Subscription Status]],8,FALSE)</f>
        <v>4.5999999999999996</v>
      </c>
    </row>
    <row r="3320" spans="1:2" x14ac:dyDescent="0.3">
      <c r="A3320" s="5" t="s">
        <v>101</v>
      </c>
      <c r="B3320">
        <f>VLOOKUP(A3320,Table1[[Item Purchased]:[Subscription Status]],8,FALSE)</f>
        <v>2.9</v>
      </c>
    </row>
    <row r="3321" spans="1:2" x14ac:dyDescent="0.3">
      <c r="A3321" s="6" t="s">
        <v>58</v>
      </c>
      <c r="B3321">
        <f>VLOOKUP(A3321,Table1[[Item Purchased]:[Subscription Status]],8,FALSE)</f>
        <v>3.2</v>
      </c>
    </row>
    <row r="3322" spans="1:2" x14ac:dyDescent="0.3">
      <c r="A3322" s="5" t="s">
        <v>19</v>
      </c>
      <c r="B3322">
        <f>VLOOKUP(A3322,Table1[[Item Purchased]:[Subscription Status]],8,FALSE)</f>
        <v>3.1</v>
      </c>
    </row>
    <row r="3323" spans="1:2" x14ac:dyDescent="0.3">
      <c r="A3323" s="6" t="s">
        <v>61</v>
      </c>
      <c r="B3323">
        <f>VLOOKUP(A3323,Table1[[Item Purchased]:[Subscription Status]],8,FALSE)</f>
        <v>2.6</v>
      </c>
    </row>
    <row r="3324" spans="1:2" x14ac:dyDescent="0.3">
      <c r="A3324" s="5" t="s">
        <v>29</v>
      </c>
      <c r="B3324">
        <f>VLOOKUP(A3324,Table1[[Item Purchased]:[Subscription Status]],8,FALSE)</f>
        <v>3.1</v>
      </c>
    </row>
    <row r="3325" spans="1:2" x14ac:dyDescent="0.3">
      <c r="A3325" s="6" t="s">
        <v>65</v>
      </c>
      <c r="B3325">
        <f>VLOOKUP(A3325,Table1[[Item Purchased]:[Subscription Status]],8,FALSE)</f>
        <v>4.8</v>
      </c>
    </row>
    <row r="3326" spans="1:2" x14ac:dyDescent="0.3">
      <c r="A3326" s="5" t="s">
        <v>112</v>
      </c>
      <c r="B3326">
        <f>VLOOKUP(A3326,Table1[[Item Purchased]:[Subscription Status]],8,FALSE)</f>
        <v>4.5999999999999996</v>
      </c>
    </row>
    <row r="3327" spans="1:2" x14ac:dyDescent="0.3">
      <c r="A3327" s="6" t="s">
        <v>40</v>
      </c>
      <c r="B3327">
        <f>VLOOKUP(A3327,Table1[[Item Purchased]:[Subscription Status]],8,FALSE)</f>
        <v>3.5</v>
      </c>
    </row>
    <row r="3328" spans="1:2" x14ac:dyDescent="0.3">
      <c r="A3328" s="5" t="s">
        <v>142</v>
      </c>
      <c r="B3328">
        <f>VLOOKUP(A3328,Table1[[Item Purchased]:[Subscription Status]],8,FALSE)</f>
        <v>4.5</v>
      </c>
    </row>
    <row r="3329" spans="1:2" x14ac:dyDescent="0.3">
      <c r="A3329" s="6" t="s">
        <v>58</v>
      </c>
      <c r="B3329">
        <f>VLOOKUP(A3329,Table1[[Item Purchased]:[Subscription Status]],8,FALSE)</f>
        <v>3.2</v>
      </c>
    </row>
    <row r="3330" spans="1:2" x14ac:dyDescent="0.3">
      <c r="A3330" s="5" t="s">
        <v>40</v>
      </c>
      <c r="B3330">
        <f>VLOOKUP(A3330,Table1[[Item Purchased]:[Subscription Status]],8,FALSE)</f>
        <v>3.5</v>
      </c>
    </row>
    <row r="3331" spans="1:2" x14ac:dyDescent="0.3">
      <c r="A3331" s="6" t="s">
        <v>131</v>
      </c>
      <c r="B3331">
        <f>VLOOKUP(A3331,Table1[[Item Purchased]:[Subscription Status]],8,FALSE)</f>
        <v>4.7</v>
      </c>
    </row>
    <row r="3332" spans="1:2" x14ac:dyDescent="0.3">
      <c r="A3332" s="5" t="s">
        <v>49</v>
      </c>
      <c r="B3332">
        <f>VLOOKUP(A3332,Table1[[Item Purchased]:[Subscription Status]],8,FALSE)</f>
        <v>2.9</v>
      </c>
    </row>
    <row r="3333" spans="1:2" x14ac:dyDescent="0.3">
      <c r="A3333" s="6" t="s">
        <v>88</v>
      </c>
      <c r="B3333">
        <f>VLOOKUP(A3333,Table1[[Item Purchased]:[Subscription Status]],8,FALSE)</f>
        <v>4.0999999999999996</v>
      </c>
    </row>
    <row r="3334" spans="1:2" x14ac:dyDescent="0.3">
      <c r="A3334" s="5" t="s">
        <v>112</v>
      </c>
      <c r="B3334">
        <f>VLOOKUP(A3334,Table1[[Item Purchased]:[Subscription Status]],8,FALSE)</f>
        <v>4.5999999999999996</v>
      </c>
    </row>
    <row r="3335" spans="1:2" x14ac:dyDescent="0.3">
      <c r="A3335" s="6" t="s">
        <v>33</v>
      </c>
      <c r="B3335">
        <f>VLOOKUP(A3335,Table1[[Item Purchased]:[Subscription Status]],8,FALSE)</f>
        <v>3.1</v>
      </c>
    </row>
    <row r="3336" spans="1:2" x14ac:dyDescent="0.3">
      <c r="A3336" s="5" t="s">
        <v>54</v>
      </c>
      <c r="B3336">
        <f>VLOOKUP(A3336,Table1[[Item Purchased]:[Subscription Status]],8,FALSE)</f>
        <v>3.2</v>
      </c>
    </row>
    <row r="3337" spans="1:2" x14ac:dyDescent="0.3">
      <c r="A3337" s="6" t="s">
        <v>123</v>
      </c>
      <c r="B3337">
        <f>VLOOKUP(A3337,Table1[[Item Purchased]:[Subscription Status]],8,FALSE)</f>
        <v>4.5999999999999996</v>
      </c>
    </row>
    <row r="3338" spans="1:2" x14ac:dyDescent="0.3">
      <c r="A3338" s="5" t="s">
        <v>19</v>
      </c>
      <c r="B3338">
        <f>VLOOKUP(A3338,Table1[[Item Purchased]:[Subscription Status]],8,FALSE)</f>
        <v>3.1</v>
      </c>
    </row>
    <row r="3339" spans="1:2" x14ac:dyDescent="0.3">
      <c r="A3339" s="6" t="s">
        <v>101</v>
      </c>
      <c r="B3339">
        <f>VLOOKUP(A3339,Table1[[Item Purchased]:[Subscription Status]],8,FALSE)</f>
        <v>2.9</v>
      </c>
    </row>
    <row r="3340" spans="1:2" x14ac:dyDescent="0.3">
      <c r="A3340" s="5" t="s">
        <v>86</v>
      </c>
      <c r="B3340">
        <f>VLOOKUP(A3340,Table1[[Item Purchased]:[Subscription Status]],8,FALSE)</f>
        <v>2.8</v>
      </c>
    </row>
    <row r="3341" spans="1:2" x14ac:dyDescent="0.3">
      <c r="A3341" s="6" t="s">
        <v>142</v>
      </c>
      <c r="B3341">
        <f>VLOOKUP(A3341,Table1[[Item Purchased]:[Subscription Status]],8,FALSE)</f>
        <v>4.5</v>
      </c>
    </row>
    <row r="3342" spans="1:2" x14ac:dyDescent="0.3">
      <c r="A3342" s="5" t="s">
        <v>112</v>
      </c>
      <c r="B3342">
        <f>VLOOKUP(A3342,Table1[[Item Purchased]:[Subscription Status]],8,FALSE)</f>
        <v>4.5999999999999996</v>
      </c>
    </row>
    <row r="3343" spans="1:2" x14ac:dyDescent="0.3">
      <c r="A3343" s="6" t="s">
        <v>101</v>
      </c>
      <c r="B3343">
        <f>VLOOKUP(A3343,Table1[[Item Purchased]:[Subscription Status]],8,FALSE)</f>
        <v>2.9</v>
      </c>
    </row>
    <row r="3344" spans="1:2" x14ac:dyDescent="0.3">
      <c r="A3344" s="5" t="s">
        <v>101</v>
      </c>
      <c r="B3344">
        <f>VLOOKUP(A3344,Table1[[Item Purchased]:[Subscription Status]],8,FALSE)</f>
        <v>2.9</v>
      </c>
    </row>
    <row r="3345" spans="1:2" x14ac:dyDescent="0.3">
      <c r="A3345" s="6" t="s">
        <v>58</v>
      </c>
      <c r="B3345">
        <f>VLOOKUP(A3345,Table1[[Item Purchased]:[Subscription Status]],8,FALSE)</f>
        <v>3.2</v>
      </c>
    </row>
    <row r="3346" spans="1:2" x14ac:dyDescent="0.3">
      <c r="A3346" s="5" t="s">
        <v>123</v>
      </c>
      <c r="B3346">
        <f>VLOOKUP(A3346,Table1[[Item Purchased]:[Subscription Status]],8,FALSE)</f>
        <v>4.5999999999999996</v>
      </c>
    </row>
    <row r="3347" spans="1:2" x14ac:dyDescent="0.3">
      <c r="A3347" s="6" t="s">
        <v>65</v>
      </c>
      <c r="B3347">
        <f>VLOOKUP(A3347,Table1[[Item Purchased]:[Subscription Status]],8,FALSE)</f>
        <v>4.8</v>
      </c>
    </row>
    <row r="3348" spans="1:2" x14ac:dyDescent="0.3">
      <c r="A3348" s="5" t="s">
        <v>33</v>
      </c>
      <c r="B3348">
        <f>VLOOKUP(A3348,Table1[[Item Purchased]:[Subscription Status]],8,FALSE)</f>
        <v>3.1</v>
      </c>
    </row>
    <row r="3349" spans="1:2" x14ac:dyDescent="0.3">
      <c r="A3349" s="6" t="s">
        <v>70</v>
      </c>
      <c r="B3349">
        <f>VLOOKUP(A3349,Table1[[Item Purchased]:[Subscription Status]],8,FALSE)</f>
        <v>4.0999999999999996</v>
      </c>
    </row>
    <row r="3350" spans="1:2" x14ac:dyDescent="0.3">
      <c r="A3350" s="5" t="s">
        <v>112</v>
      </c>
      <c r="B3350">
        <f>VLOOKUP(A3350,Table1[[Item Purchased]:[Subscription Status]],8,FALSE)</f>
        <v>4.5999999999999996</v>
      </c>
    </row>
    <row r="3351" spans="1:2" x14ac:dyDescent="0.3">
      <c r="A3351" s="6" t="s">
        <v>105</v>
      </c>
      <c r="B3351">
        <f>VLOOKUP(A3351,Table1[[Item Purchased]:[Subscription Status]],8,FALSE)</f>
        <v>3.6</v>
      </c>
    </row>
    <row r="3352" spans="1:2" x14ac:dyDescent="0.3">
      <c r="A3352" s="5" t="s">
        <v>65</v>
      </c>
      <c r="B3352">
        <f>VLOOKUP(A3352,Table1[[Item Purchased]:[Subscription Status]],8,FALSE)</f>
        <v>4.8</v>
      </c>
    </row>
    <row r="3353" spans="1:2" x14ac:dyDescent="0.3">
      <c r="A3353" s="6" t="s">
        <v>54</v>
      </c>
      <c r="B3353">
        <f>VLOOKUP(A3353,Table1[[Item Purchased]:[Subscription Status]],8,FALSE)</f>
        <v>3.2</v>
      </c>
    </row>
    <row r="3354" spans="1:2" x14ac:dyDescent="0.3">
      <c r="A3354" s="5" t="s">
        <v>132</v>
      </c>
      <c r="B3354">
        <f>VLOOKUP(A3354,Table1[[Item Purchased]:[Subscription Status]],8,FALSE)</f>
        <v>4.5999999999999996</v>
      </c>
    </row>
    <row r="3355" spans="1:2" x14ac:dyDescent="0.3">
      <c r="A3355" s="6" t="s">
        <v>80</v>
      </c>
      <c r="B3355">
        <f>VLOOKUP(A3355,Table1[[Item Purchased]:[Subscription Status]],8,FALSE)</f>
        <v>4.7</v>
      </c>
    </row>
    <row r="3356" spans="1:2" x14ac:dyDescent="0.3">
      <c r="A3356" s="5" t="s">
        <v>86</v>
      </c>
      <c r="B3356">
        <f>VLOOKUP(A3356,Table1[[Item Purchased]:[Subscription Status]],8,FALSE)</f>
        <v>2.8</v>
      </c>
    </row>
    <row r="3357" spans="1:2" x14ac:dyDescent="0.3">
      <c r="A3357" s="6" t="s">
        <v>19</v>
      </c>
      <c r="B3357">
        <f>VLOOKUP(A3357,Table1[[Item Purchased]:[Subscription Status]],8,FALSE)</f>
        <v>3.1</v>
      </c>
    </row>
    <row r="3358" spans="1:2" x14ac:dyDescent="0.3">
      <c r="A3358" s="5" t="s">
        <v>33</v>
      </c>
      <c r="B3358">
        <f>VLOOKUP(A3358,Table1[[Item Purchased]:[Subscription Status]],8,FALSE)</f>
        <v>3.1</v>
      </c>
    </row>
    <row r="3359" spans="1:2" x14ac:dyDescent="0.3">
      <c r="A3359" s="6" t="s">
        <v>103</v>
      </c>
      <c r="B3359">
        <f>VLOOKUP(A3359,Table1[[Item Purchased]:[Subscription Status]],8,FALSE)</f>
        <v>3.6</v>
      </c>
    </row>
    <row r="3360" spans="1:2" x14ac:dyDescent="0.3">
      <c r="A3360" s="5" t="s">
        <v>112</v>
      </c>
      <c r="B3360">
        <f>VLOOKUP(A3360,Table1[[Item Purchased]:[Subscription Status]],8,FALSE)</f>
        <v>4.5999999999999996</v>
      </c>
    </row>
    <row r="3361" spans="1:2" x14ac:dyDescent="0.3">
      <c r="A3361" s="6" t="s">
        <v>88</v>
      </c>
      <c r="B3361">
        <f>VLOOKUP(A3361,Table1[[Item Purchased]:[Subscription Status]],8,FALSE)</f>
        <v>4.0999999999999996</v>
      </c>
    </row>
    <row r="3362" spans="1:2" x14ac:dyDescent="0.3">
      <c r="A3362" s="5" t="s">
        <v>101</v>
      </c>
      <c r="B3362">
        <f>VLOOKUP(A3362,Table1[[Item Purchased]:[Subscription Status]],8,FALSE)</f>
        <v>2.9</v>
      </c>
    </row>
    <row r="3363" spans="1:2" x14ac:dyDescent="0.3">
      <c r="A3363" s="6" t="s">
        <v>70</v>
      </c>
      <c r="B3363">
        <f>VLOOKUP(A3363,Table1[[Item Purchased]:[Subscription Status]],8,FALSE)</f>
        <v>4.0999999999999996</v>
      </c>
    </row>
    <row r="3364" spans="1:2" x14ac:dyDescent="0.3">
      <c r="A3364" s="5" t="s">
        <v>65</v>
      </c>
      <c r="B3364">
        <f>VLOOKUP(A3364,Table1[[Item Purchased]:[Subscription Status]],8,FALSE)</f>
        <v>4.8</v>
      </c>
    </row>
    <row r="3365" spans="1:2" x14ac:dyDescent="0.3">
      <c r="A3365" s="6" t="s">
        <v>29</v>
      </c>
      <c r="B3365">
        <f>VLOOKUP(A3365,Table1[[Item Purchased]:[Subscription Status]],8,FALSE)</f>
        <v>3.1</v>
      </c>
    </row>
    <row r="3366" spans="1:2" x14ac:dyDescent="0.3">
      <c r="A3366" s="5" t="s">
        <v>118</v>
      </c>
      <c r="B3366">
        <f>VLOOKUP(A3366,Table1[[Item Purchased]:[Subscription Status]],8,FALSE)</f>
        <v>4.5</v>
      </c>
    </row>
    <row r="3367" spans="1:2" x14ac:dyDescent="0.3">
      <c r="A3367" s="6" t="s">
        <v>86</v>
      </c>
      <c r="B3367">
        <f>VLOOKUP(A3367,Table1[[Item Purchased]:[Subscription Status]],8,FALSE)</f>
        <v>2.8</v>
      </c>
    </row>
    <row r="3368" spans="1:2" x14ac:dyDescent="0.3">
      <c r="A3368" s="5" t="s">
        <v>142</v>
      </c>
      <c r="B3368">
        <f>VLOOKUP(A3368,Table1[[Item Purchased]:[Subscription Status]],8,FALSE)</f>
        <v>4.5</v>
      </c>
    </row>
    <row r="3369" spans="1:2" x14ac:dyDescent="0.3">
      <c r="A3369" s="6" t="s">
        <v>112</v>
      </c>
      <c r="B3369">
        <f>VLOOKUP(A3369,Table1[[Item Purchased]:[Subscription Status]],8,FALSE)</f>
        <v>4.5999999999999996</v>
      </c>
    </row>
    <row r="3370" spans="1:2" x14ac:dyDescent="0.3">
      <c r="A3370" s="5" t="s">
        <v>40</v>
      </c>
      <c r="B3370">
        <f>VLOOKUP(A3370,Table1[[Item Purchased]:[Subscription Status]],8,FALSE)</f>
        <v>3.5</v>
      </c>
    </row>
    <row r="3371" spans="1:2" x14ac:dyDescent="0.3">
      <c r="A3371" s="6" t="s">
        <v>29</v>
      </c>
      <c r="B3371">
        <f>VLOOKUP(A3371,Table1[[Item Purchased]:[Subscription Status]],8,FALSE)</f>
        <v>3.1</v>
      </c>
    </row>
    <row r="3372" spans="1:2" x14ac:dyDescent="0.3">
      <c r="A3372" s="5" t="s">
        <v>132</v>
      </c>
      <c r="B3372">
        <f>VLOOKUP(A3372,Table1[[Item Purchased]:[Subscription Status]],8,FALSE)</f>
        <v>4.5999999999999996</v>
      </c>
    </row>
    <row r="3373" spans="1:2" x14ac:dyDescent="0.3">
      <c r="A3373" s="6" t="s">
        <v>103</v>
      </c>
      <c r="B3373">
        <f>VLOOKUP(A3373,Table1[[Item Purchased]:[Subscription Status]],8,FALSE)</f>
        <v>3.6</v>
      </c>
    </row>
    <row r="3374" spans="1:2" x14ac:dyDescent="0.3">
      <c r="A3374" s="5" t="s">
        <v>124</v>
      </c>
      <c r="B3374">
        <f>VLOOKUP(A3374,Table1[[Item Purchased]:[Subscription Status]],8,FALSE)</f>
        <v>2.9</v>
      </c>
    </row>
    <row r="3375" spans="1:2" x14ac:dyDescent="0.3">
      <c r="A3375" s="6" t="s">
        <v>40</v>
      </c>
      <c r="B3375">
        <f>VLOOKUP(A3375,Table1[[Item Purchased]:[Subscription Status]],8,FALSE)</f>
        <v>3.5</v>
      </c>
    </row>
    <row r="3376" spans="1:2" x14ac:dyDescent="0.3">
      <c r="A3376" s="5" t="s">
        <v>19</v>
      </c>
      <c r="B3376">
        <f>VLOOKUP(A3376,Table1[[Item Purchased]:[Subscription Status]],8,FALSE)</f>
        <v>3.1</v>
      </c>
    </row>
    <row r="3377" spans="1:2" x14ac:dyDescent="0.3">
      <c r="A3377" s="6" t="s">
        <v>136</v>
      </c>
      <c r="B3377">
        <f>VLOOKUP(A3377,Table1[[Item Purchased]:[Subscription Status]],8,FALSE)</f>
        <v>4.8</v>
      </c>
    </row>
    <row r="3378" spans="1:2" x14ac:dyDescent="0.3">
      <c r="A3378" s="5" t="s">
        <v>123</v>
      </c>
      <c r="B3378">
        <f>VLOOKUP(A3378,Table1[[Item Purchased]:[Subscription Status]],8,FALSE)</f>
        <v>4.5999999999999996</v>
      </c>
    </row>
    <row r="3379" spans="1:2" x14ac:dyDescent="0.3">
      <c r="A3379" s="6" t="s">
        <v>54</v>
      </c>
      <c r="B3379">
        <f>VLOOKUP(A3379,Table1[[Item Purchased]:[Subscription Status]],8,FALSE)</f>
        <v>3.2</v>
      </c>
    </row>
    <row r="3380" spans="1:2" x14ac:dyDescent="0.3">
      <c r="A3380" s="5" t="s">
        <v>58</v>
      </c>
      <c r="B3380">
        <f>VLOOKUP(A3380,Table1[[Item Purchased]:[Subscription Status]],8,FALSE)</f>
        <v>3.2</v>
      </c>
    </row>
    <row r="3381" spans="1:2" x14ac:dyDescent="0.3">
      <c r="A3381" s="6" t="s">
        <v>65</v>
      </c>
      <c r="B3381">
        <f>VLOOKUP(A3381,Table1[[Item Purchased]:[Subscription Status]],8,FALSE)</f>
        <v>4.8</v>
      </c>
    </row>
    <row r="3382" spans="1:2" x14ac:dyDescent="0.3">
      <c r="A3382" s="5" t="s">
        <v>80</v>
      </c>
      <c r="B3382">
        <f>VLOOKUP(A3382,Table1[[Item Purchased]:[Subscription Status]],8,FALSE)</f>
        <v>4.7</v>
      </c>
    </row>
    <row r="3383" spans="1:2" x14ac:dyDescent="0.3">
      <c r="A3383" s="6" t="s">
        <v>123</v>
      </c>
      <c r="B3383">
        <f>VLOOKUP(A3383,Table1[[Item Purchased]:[Subscription Status]],8,FALSE)</f>
        <v>4.5999999999999996</v>
      </c>
    </row>
    <row r="3384" spans="1:2" x14ac:dyDescent="0.3">
      <c r="A3384" s="5" t="s">
        <v>29</v>
      </c>
      <c r="B3384">
        <f>VLOOKUP(A3384,Table1[[Item Purchased]:[Subscription Status]],8,FALSE)</f>
        <v>3.1</v>
      </c>
    </row>
    <row r="3385" spans="1:2" x14ac:dyDescent="0.3">
      <c r="A3385" s="6" t="s">
        <v>61</v>
      </c>
      <c r="B3385">
        <f>VLOOKUP(A3385,Table1[[Item Purchased]:[Subscription Status]],8,FALSE)</f>
        <v>2.6</v>
      </c>
    </row>
    <row r="3386" spans="1:2" x14ac:dyDescent="0.3">
      <c r="A3386" s="5" t="s">
        <v>103</v>
      </c>
      <c r="B3386">
        <f>VLOOKUP(A3386,Table1[[Item Purchased]:[Subscription Status]],8,FALSE)</f>
        <v>3.6</v>
      </c>
    </row>
    <row r="3387" spans="1:2" x14ac:dyDescent="0.3">
      <c r="A3387" s="6" t="s">
        <v>105</v>
      </c>
      <c r="B3387">
        <f>VLOOKUP(A3387,Table1[[Item Purchased]:[Subscription Status]],8,FALSE)</f>
        <v>3.6</v>
      </c>
    </row>
    <row r="3388" spans="1:2" x14ac:dyDescent="0.3">
      <c r="A3388" s="5" t="s">
        <v>112</v>
      </c>
      <c r="B3388">
        <f>VLOOKUP(A3388,Table1[[Item Purchased]:[Subscription Status]],8,FALSE)</f>
        <v>4.5999999999999996</v>
      </c>
    </row>
    <row r="3389" spans="1:2" x14ac:dyDescent="0.3">
      <c r="A3389" s="6" t="s">
        <v>94</v>
      </c>
      <c r="B3389">
        <f>VLOOKUP(A3389,Table1[[Item Purchased]:[Subscription Status]],8,FALSE)</f>
        <v>3.3</v>
      </c>
    </row>
    <row r="3390" spans="1:2" x14ac:dyDescent="0.3">
      <c r="A3390" s="5" t="s">
        <v>29</v>
      </c>
      <c r="B3390">
        <f>VLOOKUP(A3390,Table1[[Item Purchased]:[Subscription Status]],8,FALSE)</f>
        <v>3.1</v>
      </c>
    </row>
    <row r="3391" spans="1:2" x14ac:dyDescent="0.3">
      <c r="A3391" s="6" t="s">
        <v>94</v>
      </c>
      <c r="B3391">
        <f>VLOOKUP(A3391,Table1[[Item Purchased]:[Subscription Status]],8,FALSE)</f>
        <v>3.3</v>
      </c>
    </row>
    <row r="3392" spans="1:2" x14ac:dyDescent="0.3">
      <c r="A3392" s="5" t="s">
        <v>124</v>
      </c>
      <c r="B3392">
        <f>VLOOKUP(A3392,Table1[[Item Purchased]:[Subscription Status]],8,FALSE)</f>
        <v>2.9</v>
      </c>
    </row>
    <row r="3393" spans="1:2" x14ac:dyDescent="0.3">
      <c r="A3393" s="6" t="s">
        <v>103</v>
      </c>
      <c r="B3393">
        <f>VLOOKUP(A3393,Table1[[Item Purchased]:[Subscription Status]],8,FALSE)</f>
        <v>3.6</v>
      </c>
    </row>
    <row r="3394" spans="1:2" x14ac:dyDescent="0.3">
      <c r="A3394" s="5" t="s">
        <v>118</v>
      </c>
      <c r="B3394">
        <f>VLOOKUP(A3394,Table1[[Item Purchased]:[Subscription Status]],8,FALSE)</f>
        <v>4.5</v>
      </c>
    </row>
    <row r="3395" spans="1:2" x14ac:dyDescent="0.3">
      <c r="A3395" s="6" t="s">
        <v>80</v>
      </c>
      <c r="B3395">
        <f>VLOOKUP(A3395,Table1[[Item Purchased]:[Subscription Status]],8,FALSE)</f>
        <v>4.7</v>
      </c>
    </row>
    <row r="3396" spans="1:2" x14ac:dyDescent="0.3">
      <c r="A3396" s="5" t="s">
        <v>40</v>
      </c>
      <c r="B3396">
        <f>VLOOKUP(A3396,Table1[[Item Purchased]:[Subscription Status]],8,FALSE)</f>
        <v>3.5</v>
      </c>
    </row>
    <row r="3397" spans="1:2" x14ac:dyDescent="0.3">
      <c r="A3397" s="6" t="s">
        <v>80</v>
      </c>
      <c r="B3397">
        <f>VLOOKUP(A3397,Table1[[Item Purchased]:[Subscription Status]],8,FALSE)</f>
        <v>4.7</v>
      </c>
    </row>
    <row r="3398" spans="1:2" x14ac:dyDescent="0.3">
      <c r="A3398" s="5" t="s">
        <v>94</v>
      </c>
      <c r="B3398">
        <f>VLOOKUP(A3398,Table1[[Item Purchased]:[Subscription Status]],8,FALSE)</f>
        <v>3.3</v>
      </c>
    </row>
    <row r="3399" spans="1:2" x14ac:dyDescent="0.3">
      <c r="A3399" s="6" t="s">
        <v>19</v>
      </c>
      <c r="B3399">
        <f>VLOOKUP(A3399,Table1[[Item Purchased]:[Subscription Status]],8,FALSE)</f>
        <v>3.1</v>
      </c>
    </row>
    <row r="3400" spans="1:2" x14ac:dyDescent="0.3">
      <c r="A3400" s="5" t="s">
        <v>33</v>
      </c>
      <c r="B3400">
        <f>VLOOKUP(A3400,Table1[[Item Purchased]:[Subscription Status]],8,FALSE)</f>
        <v>3.1</v>
      </c>
    </row>
    <row r="3401" spans="1:2" x14ac:dyDescent="0.3">
      <c r="A3401" s="6" t="s">
        <v>94</v>
      </c>
      <c r="B3401">
        <f>VLOOKUP(A3401,Table1[[Item Purchased]:[Subscription Status]],8,FALSE)</f>
        <v>3.3</v>
      </c>
    </row>
    <row r="3402" spans="1:2" x14ac:dyDescent="0.3">
      <c r="A3402" s="5" t="s">
        <v>88</v>
      </c>
      <c r="B3402">
        <f>VLOOKUP(A3402,Table1[[Item Purchased]:[Subscription Status]],8,FALSE)</f>
        <v>4.0999999999999996</v>
      </c>
    </row>
    <row r="3403" spans="1:2" x14ac:dyDescent="0.3">
      <c r="A3403" s="6" t="s">
        <v>131</v>
      </c>
      <c r="B3403">
        <f>VLOOKUP(A3403,Table1[[Item Purchased]:[Subscription Status]],8,FALSE)</f>
        <v>4.7</v>
      </c>
    </row>
    <row r="3404" spans="1:2" x14ac:dyDescent="0.3">
      <c r="A3404" s="5" t="s">
        <v>103</v>
      </c>
      <c r="B3404">
        <f>VLOOKUP(A3404,Table1[[Item Purchased]:[Subscription Status]],8,FALSE)</f>
        <v>3.6</v>
      </c>
    </row>
    <row r="3405" spans="1:2" x14ac:dyDescent="0.3">
      <c r="A3405" s="6" t="s">
        <v>136</v>
      </c>
      <c r="B3405">
        <f>VLOOKUP(A3405,Table1[[Item Purchased]:[Subscription Status]],8,FALSE)</f>
        <v>4.8</v>
      </c>
    </row>
    <row r="3406" spans="1:2" x14ac:dyDescent="0.3">
      <c r="A3406" s="5" t="s">
        <v>142</v>
      </c>
      <c r="B3406">
        <f>VLOOKUP(A3406,Table1[[Item Purchased]:[Subscription Status]],8,FALSE)</f>
        <v>4.5</v>
      </c>
    </row>
    <row r="3407" spans="1:2" x14ac:dyDescent="0.3">
      <c r="A3407" s="6" t="s">
        <v>19</v>
      </c>
      <c r="B3407">
        <f>VLOOKUP(A3407,Table1[[Item Purchased]:[Subscription Status]],8,FALSE)</f>
        <v>3.1</v>
      </c>
    </row>
    <row r="3408" spans="1:2" x14ac:dyDescent="0.3">
      <c r="A3408" s="5" t="s">
        <v>29</v>
      </c>
      <c r="B3408">
        <f>VLOOKUP(A3408,Table1[[Item Purchased]:[Subscription Status]],8,FALSE)</f>
        <v>3.1</v>
      </c>
    </row>
    <row r="3409" spans="1:2" x14ac:dyDescent="0.3">
      <c r="A3409" s="6" t="s">
        <v>80</v>
      </c>
      <c r="B3409">
        <f>VLOOKUP(A3409,Table1[[Item Purchased]:[Subscription Status]],8,FALSE)</f>
        <v>4.7</v>
      </c>
    </row>
    <row r="3410" spans="1:2" x14ac:dyDescent="0.3">
      <c r="A3410" s="5" t="s">
        <v>124</v>
      </c>
      <c r="B3410">
        <f>VLOOKUP(A3410,Table1[[Item Purchased]:[Subscription Status]],8,FALSE)</f>
        <v>2.9</v>
      </c>
    </row>
    <row r="3411" spans="1:2" x14ac:dyDescent="0.3">
      <c r="A3411" s="6" t="s">
        <v>54</v>
      </c>
      <c r="B3411">
        <f>VLOOKUP(A3411,Table1[[Item Purchased]:[Subscription Status]],8,FALSE)</f>
        <v>3.2</v>
      </c>
    </row>
    <row r="3412" spans="1:2" x14ac:dyDescent="0.3">
      <c r="A3412" s="5" t="s">
        <v>40</v>
      </c>
      <c r="B3412">
        <f>VLOOKUP(A3412,Table1[[Item Purchased]:[Subscription Status]],8,FALSE)</f>
        <v>3.5</v>
      </c>
    </row>
    <row r="3413" spans="1:2" x14ac:dyDescent="0.3">
      <c r="A3413" s="6" t="s">
        <v>70</v>
      </c>
      <c r="B3413">
        <f>VLOOKUP(A3413,Table1[[Item Purchased]:[Subscription Status]],8,FALSE)</f>
        <v>4.0999999999999996</v>
      </c>
    </row>
    <row r="3414" spans="1:2" x14ac:dyDescent="0.3">
      <c r="A3414" s="5" t="s">
        <v>40</v>
      </c>
      <c r="B3414">
        <f>VLOOKUP(A3414,Table1[[Item Purchased]:[Subscription Status]],8,FALSE)</f>
        <v>3.5</v>
      </c>
    </row>
    <row r="3415" spans="1:2" x14ac:dyDescent="0.3">
      <c r="A3415" s="6" t="s">
        <v>142</v>
      </c>
      <c r="B3415">
        <f>VLOOKUP(A3415,Table1[[Item Purchased]:[Subscription Status]],8,FALSE)</f>
        <v>4.5</v>
      </c>
    </row>
    <row r="3416" spans="1:2" x14ac:dyDescent="0.3">
      <c r="A3416" s="5" t="s">
        <v>136</v>
      </c>
      <c r="B3416">
        <f>VLOOKUP(A3416,Table1[[Item Purchased]:[Subscription Status]],8,FALSE)</f>
        <v>4.8</v>
      </c>
    </row>
    <row r="3417" spans="1:2" x14ac:dyDescent="0.3">
      <c r="A3417" s="6" t="s">
        <v>19</v>
      </c>
      <c r="B3417">
        <f>VLOOKUP(A3417,Table1[[Item Purchased]:[Subscription Status]],8,FALSE)</f>
        <v>3.1</v>
      </c>
    </row>
    <row r="3418" spans="1:2" x14ac:dyDescent="0.3">
      <c r="A3418" s="5" t="s">
        <v>40</v>
      </c>
      <c r="B3418">
        <f>VLOOKUP(A3418,Table1[[Item Purchased]:[Subscription Status]],8,FALSE)</f>
        <v>3.5</v>
      </c>
    </row>
    <row r="3419" spans="1:2" x14ac:dyDescent="0.3">
      <c r="A3419" s="6" t="s">
        <v>61</v>
      </c>
      <c r="B3419">
        <f>VLOOKUP(A3419,Table1[[Item Purchased]:[Subscription Status]],8,FALSE)</f>
        <v>2.6</v>
      </c>
    </row>
    <row r="3420" spans="1:2" x14ac:dyDescent="0.3">
      <c r="A3420" s="5" t="s">
        <v>101</v>
      </c>
      <c r="B3420">
        <f>VLOOKUP(A3420,Table1[[Item Purchased]:[Subscription Status]],8,FALSE)</f>
        <v>2.9</v>
      </c>
    </row>
    <row r="3421" spans="1:2" x14ac:dyDescent="0.3">
      <c r="A3421" s="6" t="s">
        <v>105</v>
      </c>
      <c r="B3421">
        <f>VLOOKUP(A3421,Table1[[Item Purchased]:[Subscription Status]],8,FALSE)</f>
        <v>3.6</v>
      </c>
    </row>
    <row r="3422" spans="1:2" x14ac:dyDescent="0.3">
      <c r="A3422" s="5" t="s">
        <v>123</v>
      </c>
      <c r="B3422">
        <f>VLOOKUP(A3422,Table1[[Item Purchased]:[Subscription Status]],8,FALSE)</f>
        <v>4.5999999999999996</v>
      </c>
    </row>
    <row r="3423" spans="1:2" x14ac:dyDescent="0.3">
      <c r="A3423" s="6" t="s">
        <v>70</v>
      </c>
      <c r="B3423">
        <f>VLOOKUP(A3423,Table1[[Item Purchased]:[Subscription Status]],8,FALSE)</f>
        <v>4.0999999999999996</v>
      </c>
    </row>
    <row r="3424" spans="1:2" x14ac:dyDescent="0.3">
      <c r="A3424" s="5" t="s">
        <v>61</v>
      </c>
      <c r="B3424">
        <f>VLOOKUP(A3424,Table1[[Item Purchased]:[Subscription Status]],8,FALSE)</f>
        <v>2.6</v>
      </c>
    </row>
    <row r="3425" spans="1:2" x14ac:dyDescent="0.3">
      <c r="A3425" s="6" t="s">
        <v>136</v>
      </c>
      <c r="B3425">
        <f>VLOOKUP(A3425,Table1[[Item Purchased]:[Subscription Status]],8,FALSE)</f>
        <v>4.8</v>
      </c>
    </row>
    <row r="3426" spans="1:2" x14ac:dyDescent="0.3">
      <c r="A3426" s="5" t="s">
        <v>118</v>
      </c>
      <c r="B3426">
        <f>VLOOKUP(A3426,Table1[[Item Purchased]:[Subscription Status]],8,FALSE)</f>
        <v>4.5</v>
      </c>
    </row>
    <row r="3427" spans="1:2" x14ac:dyDescent="0.3">
      <c r="A3427" s="6" t="s">
        <v>123</v>
      </c>
      <c r="B3427">
        <f>VLOOKUP(A3427,Table1[[Item Purchased]:[Subscription Status]],8,FALSE)</f>
        <v>4.5999999999999996</v>
      </c>
    </row>
    <row r="3428" spans="1:2" x14ac:dyDescent="0.3">
      <c r="A3428" s="5" t="s">
        <v>124</v>
      </c>
      <c r="B3428">
        <f>VLOOKUP(A3428,Table1[[Item Purchased]:[Subscription Status]],8,FALSE)</f>
        <v>2.9</v>
      </c>
    </row>
    <row r="3429" spans="1:2" x14ac:dyDescent="0.3">
      <c r="A3429" s="6" t="s">
        <v>112</v>
      </c>
      <c r="B3429">
        <f>VLOOKUP(A3429,Table1[[Item Purchased]:[Subscription Status]],8,FALSE)</f>
        <v>4.5999999999999996</v>
      </c>
    </row>
    <row r="3430" spans="1:2" x14ac:dyDescent="0.3">
      <c r="A3430" s="5" t="s">
        <v>105</v>
      </c>
      <c r="B3430">
        <f>VLOOKUP(A3430,Table1[[Item Purchased]:[Subscription Status]],8,FALSE)</f>
        <v>3.6</v>
      </c>
    </row>
    <row r="3431" spans="1:2" x14ac:dyDescent="0.3">
      <c r="A3431" s="6" t="s">
        <v>86</v>
      </c>
      <c r="B3431">
        <f>VLOOKUP(A3431,Table1[[Item Purchased]:[Subscription Status]],8,FALSE)</f>
        <v>2.8</v>
      </c>
    </row>
    <row r="3432" spans="1:2" x14ac:dyDescent="0.3">
      <c r="A3432" s="5" t="s">
        <v>124</v>
      </c>
      <c r="B3432">
        <f>VLOOKUP(A3432,Table1[[Item Purchased]:[Subscription Status]],8,FALSE)</f>
        <v>2.9</v>
      </c>
    </row>
    <row r="3433" spans="1:2" x14ac:dyDescent="0.3">
      <c r="A3433" s="6" t="s">
        <v>132</v>
      </c>
      <c r="B3433">
        <f>VLOOKUP(A3433,Table1[[Item Purchased]:[Subscription Status]],8,FALSE)</f>
        <v>4.5999999999999996</v>
      </c>
    </row>
    <row r="3434" spans="1:2" x14ac:dyDescent="0.3">
      <c r="A3434" s="5" t="s">
        <v>136</v>
      </c>
      <c r="B3434">
        <f>VLOOKUP(A3434,Table1[[Item Purchased]:[Subscription Status]],8,FALSE)</f>
        <v>4.8</v>
      </c>
    </row>
    <row r="3435" spans="1:2" x14ac:dyDescent="0.3">
      <c r="A3435" s="6" t="s">
        <v>124</v>
      </c>
      <c r="B3435">
        <f>VLOOKUP(A3435,Table1[[Item Purchased]:[Subscription Status]],8,FALSE)</f>
        <v>2.9</v>
      </c>
    </row>
    <row r="3436" spans="1:2" x14ac:dyDescent="0.3">
      <c r="A3436" s="5" t="s">
        <v>94</v>
      </c>
      <c r="B3436">
        <f>VLOOKUP(A3436,Table1[[Item Purchased]:[Subscription Status]],8,FALSE)</f>
        <v>3.3</v>
      </c>
    </row>
    <row r="3437" spans="1:2" x14ac:dyDescent="0.3">
      <c r="A3437" s="6" t="s">
        <v>124</v>
      </c>
      <c r="B3437">
        <f>VLOOKUP(A3437,Table1[[Item Purchased]:[Subscription Status]],8,FALSE)</f>
        <v>2.9</v>
      </c>
    </row>
    <row r="3438" spans="1:2" x14ac:dyDescent="0.3">
      <c r="A3438" s="5" t="s">
        <v>132</v>
      </c>
      <c r="B3438">
        <f>VLOOKUP(A3438,Table1[[Item Purchased]:[Subscription Status]],8,FALSE)</f>
        <v>4.5999999999999996</v>
      </c>
    </row>
    <row r="3439" spans="1:2" x14ac:dyDescent="0.3">
      <c r="A3439" s="6" t="s">
        <v>101</v>
      </c>
      <c r="B3439">
        <f>VLOOKUP(A3439,Table1[[Item Purchased]:[Subscription Status]],8,FALSE)</f>
        <v>2.9</v>
      </c>
    </row>
    <row r="3440" spans="1:2" x14ac:dyDescent="0.3">
      <c r="A3440" s="5" t="s">
        <v>54</v>
      </c>
      <c r="B3440">
        <f>VLOOKUP(A3440,Table1[[Item Purchased]:[Subscription Status]],8,FALSE)</f>
        <v>3.2</v>
      </c>
    </row>
    <row r="3441" spans="1:2" x14ac:dyDescent="0.3">
      <c r="A3441" s="6" t="s">
        <v>142</v>
      </c>
      <c r="B3441">
        <f>VLOOKUP(A3441,Table1[[Item Purchased]:[Subscription Status]],8,FALSE)</f>
        <v>4.5</v>
      </c>
    </row>
    <row r="3442" spans="1:2" x14ac:dyDescent="0.3">
      <c r="A3442" s="5" t="s">
        <v>65</v>
      </c>
      <c r="B3442">
        <f>VLOOKUP(A3442,Table1[[Item Purchased]:[Subscription Status]],8,FALSE)</f>
        <v>4.8</v>
      </c>
    </row>
    <row r="3443" spans="1:2" x14ac:dyDescent="0.3">
      <c r="A3443" s="6" t="s">
        <v>29</v>
      </c>
      <c r="B3443">
        <f>VLOOKUP(A3443,Table1[[Item Purchased]:[Subscription Status]],8,FALSE)</f>
        <v>3.1</v>
      </c>
    </row>
    <row r="3444" spans="1:2" x14ac:dyDescent="0.3">
      <c r="A3444" s="5" t="s">
        <v>86</v>
      </c>
      <c r="B3444">
        <f>VLOOKUP(A3444,Table1[[Item Purchased]:[Subscription Status]],8,FALSE)</f>
        <v>2.8</v>
      </c>
    </row>
    <row r="3445" spans="1:2" x14ac:dyDescent="0.3">
      <c r="A3445" s="6" t="s">
        <v>80</v>
      </c>
      <c r="B3445">
        <f>VLOOKUP(A3445,Table1[[Item Purchased]:[Subscription Status]],8,FALSE)</f>
        <v>4.7</v>
      </c>
    </row>
    <row r="3446" spans="1:2" x14ac:dyDescent="0.3">
      <c r="A3446" s="5" t="s">
        <v>94</v>
      </c>
      <c r="B3446">
        <f>VLOOKUP(A3446,Table1[[Item Purchased]:[Subscription Status]],8,FALSE)</f>
        <v>3.3</v>
      </c>
    </row>
    <row r="3447" spans="1:2" x14ac:dyDescent="0.3">
      <c r="A3447" s="6" t="s">
        <v>123</v>
      </c>
      <c r="B3447">
        <f>VLOOKUP(A3447,Table1[[Item Purchased]:[Subscription Status]],8,FALSE)</f>
        <v>4.5999999999999996</v>
      </c>
    </row>
    <row r="3448" spans="1:2" x14ac:dyDescent="0.3">
      <c r="A3448" s="5" t="s">
        <v>136</v>
      </c>
      <c r="B3448">
        <f>VLOOKUP(A3448,Table1[[Item Purchased]:[Subscription Status]],8,FALSE)</f>
        <v>4.8</v>
      </c>
    </row>
    <row r="3449" spans="1:2" x14ac:dyDescent="0.3">
      <c r="A3449" s="6" t="s">
        <v>40</v>
      </c>
      <c r="B3449">
        <f>VLOOKUP(A3449,Table1[[Item Purchased]:[Subscription Status]],8,FALSE)</f>
        <v>3.5</v>
      </c>
    </row>
    <row r="3450" spans="1:2" x14ac:dyDescent="0.3">
      <c r="A3450" s="5" t="s">
        <v>61</v>
      </c>
      <c r="B3450">
        <f>VLOOKUP(A3450,Table1[[Item Purchased]:[Subscription Status]],8,FALSE)</f>
        <v>2.6</v>
      </c>
    </row>
    <row r="3451" spans="1:2" x14ac:dyDescent="0.3">
      <c r="A3451" s="6" t="s">
        <v>19</v>
      </c>
      <c r="B3451">
        <f>VLOOKUP(A3451,Table1[[Item Purchased]:[Subscription Status]],8,FALSE)</f>
        <v>3.1</v>
      </c>
    </row>
    <row r="3452" spans="1:2" x14ac:dyDescent="0.3">
      <c r="A3452" s="5" t="s">
        <v>58</v>
      </c>
      <c r="B3452">
        <f>VLOOKUP(A3452,Table1[[Item Purchased]:[Subscription Status]],8,FALSE)</f>
        <v>3.2</v>
      </c>
    </row>
    <row r="3453" spans="1:2" x14ac:dyDescent="0.3">
      <c r="A3453" s="6" t="s">
        <v>19</v>
      </c>
      <c r="B3453">
        <f>VLOOKUP(A3453,Table1[[Item Purchased]:[Subscription Status]],8,FALSE)</f>
        <v>3.1</v>
      </c>
    </row>
    <row r="3454" spans="1:2" x14ac:dyDescent="0.3">
      <c r="A3454" s="5" t="s">
        <v>101</v>
      </c>
      <c r="B3454">
        <f>VLOOKUP(A3454,Table1[[Item Purchased]:[Subscription Status]],8,FALSE)</f>
        <v>2.9</v>
      </c>
    </row>
    <row r="3455" spans="1:2" x14ac:dyDescent="0.3">
      <c r="A3455" s="6" t="s">
        <v>54</v>
      </c>
      <c r="B3455">
        <f>VLOOKUP(A3455,Table1[[Item Purchased]:[Subscription Status]],8,FALSE)</f>
        <v>3.2</v>
      </c>
    </row>
    <row r="3456" spans="1:2" x14ac:dyDescent="0.3">
      <c r="A3456" s="5" t="s">
        <v>65</v>
      </c>
      <c r="B3456">
        <f>VLOOKUP(A3456,Table1[[Item Purchased]:[Subscription Status]],8,FALSE)</f>
        <v>4.8</v>
      </c>
    </row>
    <row r="3457" spans="1:2" x14ac:dyDescent="0.3">
      <c r="A3457" s="6" t="s">
        <v>112</v>
      </c>
      <c r="B3457">
        <f>VLOOKUP(A3457,Table1[[Item Purchased]:[Subscription Status]],8,FALSE)</f>
        <v>4.5999999999999996</v>
      </c>
    </row>
    <row r="3458" spans="1:2" x14ac:dyDescent="0.3">
      <c r="A3458" s="5" t="s">
        <v>103</v>
      </c>
      <c r="B3458">
        <f>VLOOKUP(A3458,Table1[[Item Purchased]:[Subscription Status]],8,FALSE)</f>
        <v>3.6</v>
      </c>
    </row>
    <row r="3459" spans="1:2" x14ac:dyDescent="0.3">
      <c r="A3459" s="6" t="s">
        <v>105</v>
      </c>
      <c r="B3459">
        <f>VLOOKUP(A3459,Table1[[Item Purchased]:[Subscription Status]],8,FALSE)</f>
        <v>3.6</v>
      </c>
    </row>
    <row r="3460" spans="1:2" x14ac:dyDescent="0.3">
      <c r="A3460" s="5" t="s">
        <v>105</v>
      </c>
      <c r="B3460">
        <f>VLOOKUP(A3460,Table1[[Item Purchased]:[Subscription Status]],8,FALSE)</f>
        <v>3.6</v>
      </c>
    </row>
    <row r="3461" spans="1:2" x14ac:dyDescent="0.3">
      <c r="A3461" s="6" t="s">
        <v>103</v>
      </c>
      <c r="B3461">
        <f>VLOOKUP(A3461,Table1[[Item Purchased]:[Subscription Status]],8,FALSE)</f>
        <v>3.6</v>
      </c>
    </row>
    <row r="3462" spans="1:2" x14ac:dyDescent="0.3">
      <c r="A3462" s="5" t="s">
        <v>118</v>
      </c>
      <c r="B3462">
        <f>VLOOKUP(A3462,Table1[[Item Purchased]:[Subscription Status]],8,FALSE)</f>
        <v>4.5</v>
      </c>
    </row>
    <row r="3463" spans="1:2" x14ac:dyDescent="0.3">
      <c r="A3463" s="6" t="s">
        <v>70</v>
      </c>
      <c r="B3463">
        <f>VLOOKUP(A3463,Table1[[Item Purchased]:[Subscription Status]],8,FALSE)</f>
        <v>4.0999999999999996</v>
      </c>
    </row>
    <row r="3464" spans="1:2" x14ac:dyDescent="0.3">
      <c r="A3464" s="5" t="s">
        <v>33</v>
      </c>
      <c r="B3464">
        <f>VLOOKUP(A3464,Table1[[Item Purchased]:[Subscription Status]],8,FALSE)</f>
        <v>3.1</v>
      </c>
    </row>
    <row r="3465" spans="1:2" x14ac:dyDescent="0.3">
      <c r="A3465" s="6" t="s">
        <v>105</v>
      </c>
      <c r="B3465">
        <f>VLOOKUP(A3465,Table1[[Item Purchased]:[Subscription Status]],8,FALSE)</f>
        <v>3.6</v>
      </c>
    </row>
    <row r="3466" spans="1:2" x14ac:dyDescent="0.3">
      <c r="A3466" s="5" t="s">
        <v>61</v>
      </c>
      <c r="B3466">
        <f>VLOOKUP(A3466,Table1[[Item Purchased]:[Subscription Status]],8,FALSE)</f>
        <v>2.6</v>
      </c>
    </row>
    <row r="3467" spans="1:2" x14ac:dyDescent="0.3">
      <c r="A3467" s="6" t="s">
        <v>131</v>
      </c>
      <c r="B3467">
        <f>VLOOKUP(A3467,Table1[[Item Purchased]:[Subscription Status]],8,FALSE)</f>
        <v>4.7</v>
      </c>
    </row>
    <row r="3468" spans="1:2" x14ac:dyDescent="0.3">
      <c r="A3468" s="5" t="s">
        <v>124</v>
      </c>
      <c r="B3468">
        <f>VLOOKUP(A3468,Table1[[Item Purchased]:[Subscription Status]],8,FALSE)</f>
        <v>2.9</v>
      </c>
    </row>
    <row r="3469" spans="1:2" x14ac:dyDescent="0.3">
      <c r="A3469" s="6" t="s">
        <v>118</v>
      </c>
      <c r="B3469">
        <f>VLOOKUP(A3469,Table1[[Item Purchased]:[Subscription Status]],8,FALSE)</f>
        <v>4.5</v>
      </c>
    </row>
    <row r="3470" spans="1:2" x14ac:dyDescent="0.3">
      <c r="A3470" s="5" t="s">
        <v>88</v>
      </c>
      <c r="B3470">
        <f>VLOOKUP(A3470,Table1[[Item Purchased]:[Subscription Status]],8,FALSE)</f>
        <v>4.0999999999999996</v>
      </c>
    </row>
    <row r="3471" spans="1:2" x14ac:dyDescent="0.3">
      <c r="A3471" s="6" t="s">
        <v>124</v>
      </c>
      <c r="B3471">
        <f>VLOOKUP(A3471,Table1[[Item Purchased]:[Subscription Status]],8,FALSE)</f>
        <v>2.9</v>
      </c>
    </row>
    <row r="3472" spans="1:2" x14ac:dyDescent="0.3">
      <c r="A3472" s="5" t="s">
        <v>61</v>
      </c>
      <c r="B3472">
        <f>VLOOKUP(A3472,Table1[[Item Purchased]:[Subscription Status]],8,FALSE)</f>
        <v>2.6</v>
      </c>
    </row>
    <row r="3473" spans="1:2" x14ac:dyDescent="0.3">
      <c r="A3473" s="6" t="s">
        <v>40</v>
      </c>
      <c r="B3473">
        <f>VLOOKUP(A3473,Table1[[Item Purchased]:[Subscription Status]],8,FALSE)</f>
        <v>3.5</v>
      </c>
    </row>
    <row r="3474" spans="1:2" x14ac:dyDescent="0.3">
      <c r="A3474" s="5" t="s">
        <v>19</v>
      </c>
      <c r="B3474">
        <f>VLOOKUP(A3474,Table1[[Item Purchased]:[Subscription Status]],8,FALSE)</f>
        <v>3.1</v>
      </c>
    </row>
    <row r="3475" spans="1:2" x14ac:dyDescent="0.3">
      <c r="A3475" s="6" t="s">
        <v>80</v>
      </c>
      <c r="B3475">
        <f>VLOOKUP(A3475,Table1[[Item Purchased]:[Subscription Status]],8,FALSE)</f>
        <v>4.7</v>
      </c>
    </row>
    <row r="3476" spans="1:2" x14ac:dyDescent="0.3">
      <c r="A3476" s="5" t="s">
        <v>94</v>
      </c>
      <c r="B3476">
        <f>VLOOKUP(A3476,Table1[[Item Purchased]:[Subscription Status]],8,FALSE)</f>
        <v>3.3</v>
      </c>
    </row>
    <row r="3477" spans="1:2" x14ac:dyDescent="0.3">
      <c r="A3477" s="6" t="s">
        <v>49</v>
      </c>
      <c r="B3477">
        <f>VLOOKUP(A3477,Table1[[Item Purchased]:[Subscription Status]],8,FALSE)</f>
        <v>2.9</v>
      </c>
    </row>
    <row r="3478" spans="1:2" x14ac:dyDescent="0.3">
      <c r="A3478" s="5" t="s">
        <v>136</v>
      </c>
      <c r="B3478">
        <f>VLOOKUP(A3478,Table1[[Item Purchased]:[Subscription Status]],8,FALSE)</f>
        <v>4.8</v>
      </c>
    </row>
    <row r="3479" spans="1:2" x14ac:dyDescent="0.3">
      <c r="A3479" s="6" t="s">
        <v>65</v>
      </c>
      <c r="B3479">
        <f>VLOOKUP(A3479,Table1[[Item Purchased]:[Subscription Status]],8,FALSE)</f>
        <v>4.8</v>
      </c>
    </row>
    <row r="3480" spans="1:2" x14ac:dyDescent="0.3">
      <c r="A3480" s="5" t="s">
        <v>65</v>
      </c>
      <c r="B3480">
        <f>VLOOKUP(A3480,Table1[[Item Purchased]:[Subscription Status]],8,FALSE)</f>
        <v>4.8</v>
      </c>
    </row>
    <row r="3481" spans="1:2" x14ac:dyDescent="0.3">
      <c r="A3481" s="6" t="s">
        <v>29</v>
      </c>
      <c r="B3481">
        <f>VLOOKUP(A3481,Table1[[Item Purchased]:[Subscription Status]],8,FALSE)</f>
        <v>3.1</v>
      </c>
    </row>
    <row r="3482" spans="1:2" x14ac:dyDescent="0.3">
      <c r="A3482" s="5" t="s">
        <v>40</v>
      </c>
      <c r="B3482">
        <f>VLOOKUP(A3482,Table1[[Item Purchased]:[Subscription Status]],8,FALSE)</f>
        <v>3.5</v>
      </c>
    </row>
    <row r="3483" spans="1:2" x14ac:dyDescent="0.3">
      <c r="A3483" s="6" t="s">
        <v>124</v>
      </c>
      <c r="B3483">
        <f>VLOOKUP(A3483,Table1[[Item Purchased]:[Subscription Status]],8,FALSE)</f>
        <v>2.9</v>
      </c>
    </row>
    <row r="3484" spans="1:2" x14ac:dyDescent="0.3">
      <c r="A3484" s="5" t="s">
        <v>142</v>
      </c>
      <c r="B3484">
        <f>VLOOKUP(A3484,Table1[[Item Purchased]:[Subscription Status]],8,FALSE)</f>
        <v>4.5</v>
      </c>
    </row>
    <row r="3485" spans="1:2" x14ac:dyDescent="0.3">
      <c r="A3485" s="6" t="s">
        <v>103</v>
      </c>
      <c r="B3485">
        <f>VLOOKUP(A3485,Table1[[Item Purchased]:[Subscription Status]],8,FALSE)</f>
        <v>3.6</v>
      </c>
    </row>
    <row r="3486" spans="1:2" x14ac:dyDescent="0.3">
      <c r="A3486" s="5" t="s">
        <v>80</v>
      </c>
      <c r="B3486">
        <f>VLOOKUP(A3486,Table1[[Item Purchased]:[Subscription Status]],8,FALSE)</f>
        <v>4.7</v>
      </c>
    </row>
    <row r="3487" spans="1:2" x14ac:dyDescent="0.3">
      <c r="A3487" s="6" t="s">
        <v>54</v>
      </c>
      <c r="B3487">
        <f>VLOOKUP(A3487,Table1[[Item Purchased]:[Subscription Status]],8,FALSE)</f>
        <v>3.2</v>
      </c>
    </row>
    <row r="3488" spans="1:2" x14ac:dyDescent="0.3">
      <c r="A3488" s="5" t="s">
        <v>58</v>
      </c>
      <c r="B3488">
        <f>VLOOKUP(A3488,Table1[[Item Purchased]:[Subscription Status]],8,FALSE)</f>
        <v>3.2</v>
      </c>
    </row>
    <row r="3489" spans="1:2" x14ac:dyDescent="0.3">
      <c r="A3489" s="6" t="s">
        <v>40</v>
      </c>
      <c r="B3489">
        <f>VLOOKUP(A3489,Table1[[Item Purchased]:[Subscription Status]],8,FALSE)</f>
        <v>3.5</v>
      </c>
    </row>
    <row r="3490" spans="1:2" x14ac:dyDescent="0.3">
      <c r="A3490" s="5" t="s">
        <v>29</v>
      </c>
      <c r="B3490">
        <f>VLOOKUP(A3490,Table1[[Item Purchased]:[Subscription Status]],8,FALSE)</f>
        <v>3.1</v>
      </c>
    </row>
    <row r="3491" spans="1:2" x14ac:dyDescent="0.3">
      <c r="A3491" s="6" t="s">
        <v>80</v>
      </c>
      <c r="B3491">
        <f>VLOOKUP(A3491,Table1[[Item Purchased]:[Subscription Status]],8,FALSE)</f>
        <v>4.7</v>
      </c>
    </row>
    <row r="3492" spans="1:2" x14ac:dyDescent="0.3">
      <c r="A3492" s="5" t="s">
        <v>136</v>
      </c>
      <c r="B3492">
        <f>VLOOKUP(A3492,Table1[[Item Purchased]:[Subscription Status]],8,FALSE)</f>
        <v>4.8</v>
      </c>
    </row>
    <row r="3493" spans="1:2" x14ac:dyDescent="0.3">
      <c r="A3493" s="6" t="s">
        <v>94</v>
      </c>
      <c r="B3493">
        <f>VLOOKUP(A3493,Table1[[Item Purchased]:[Subscription Status]],8,FALSE)</f>
        <v>3.3</v>
      </c>
    </row>
    <row r="3494" spans="1:2" x14ac:dyDescent="0.3">
      <c r="A3494" s="5" t="s">
        <v>142</v>
      </c>
      <c r="B3494">
        <f>VLOOKUP(A3494,Table1[[Item Purchased]:[Subscription Status]],8,FALSE)</f>
        <v>4.5</v>
      </c>
    </row>
    <row r="3495" spans="1:2" x14ac:dyDescent="0.3">
      <c r="A3495" s="6" t="s">
        <v>94</v>
      </c>
      <c r="B3495">
        <f>VLOOKUP(A3495,Table1[[Item Purchased]:[Subscription Status]],8,FALSE)</f>
        <v>3.3</v>
      </c>
    </row>
    <row r="3496" spans="1:2" x14ac:dyDescent="0.3">
      <c r="A3496" s="5" t="s">
        <v>118</v>
      </c>
      <c r="B3496">
        <f>VLOOKUP(A3496,Table1[[Item Purchased]:[Subscription Status]],8,FALSE)</f>
        <v>4.5</v>
      </c>
    </row>
    <row r="3497" spans="1:2" x14ac:dyDescent="0.3">
      <c r="A3497" s="6" t="s">
        <v>58</v>
      </c>
      <c r="B3497">
        <f>VLOOKUP(A3497,Table1[[Item Purchased]:[Subscription Status]],8,FALSE)</f>
        <v>3.2</v>
      </c>
    </row>
    <row r="3498" spans="1:2" x14ac:dyDescent="0.3">
      <c r="A3498" s="5" t="s">
        <v>70</v>
      </c>
      <c r="B3498">
        <f>VLOOKUP(A3498,Table1[[Item Purchased]:[Subscription Status]],8,FALSE)</f>
        <v>4.0999999999999996</v>
      </c>
    </row>
    <row r="3499" spans="1:2" x14ac:dyDescent="0.3">
      <c r="A3499" s="6" t="s">
        <v>65</v>
      </c>
      <c r="B3499">
        <f>VLOOKUP(A3499,Table1[[Item Purchased]:[Subscription Status]],8,FALSE)</f>
        <v>4.8</v>
      </c>
    </row>
    <row r="3500" spans="1:2" x14ac:dyDescent="0.3">
      <c r="A3500" s="5" t="s">
        <v>40</v>
      </c>
      <c r="B3500">
        <f>VLOOKUP(A3500,Table1[[Item Purchased]:[Subscription Status]],8,FALSE)</f>
        <v>3.5</v>
      </c>
    </row>
    <row r="3501" spans="1:2" x14ac:dyDescent="0.3">
      <c r="A3501" s="6" t="s">
        <v>124</v>
      </c>
      <c r="B3501">
        <f>VLOOKUP(A3501,Table1[[Item Purchased]:[Subscription Status]],8,FALSE)</f>
        <v>2.9</v>
      </c>
    </row>
    <row r="3502" spans="1:2" x14ac:dyDescent="0.3">
      <c r="A3502" s="5" t="s">
        <v>54</v>
      </c>
      <c r="B3502">
        <f>VLOOKUP(A3502,Table1[[Item Purchased]:[Subscription Status]],8,FALSE)</f>
        <v>3.2</v>
      </c>
    </row>
    <row r="3503" spans="1:2" x14ac:dyDescent="0.3">
      <c r="A3503" s="6" t="s">
        <v>70</v>
      </c>
      <c r="B3503">
        <f>VLOOKUP(A3503,Table1[[Item Purchased]:[Subscription Status]],8,FALSE)</f>
        <v>4.0999999999999996</v>
      </c>
    </row>
    <row r="3504" spans="1:2" x14ac:dyDescent="0.3">
      <c r="A3504" s="5" t="s">
        <v>131</v>
      </c>
      <c r="B3504">
        <f>VLOOKUP(A3504,Table1[[Item Purchased]:[Subscription Status]],8,FALSE)</f>
        <v>4.7</v>
      </c>
    </row>
    <row r="3505" spans="1:2" x14ac:dyDescent="0.3">
      <c r="A3505" s="6" t="s">
        <v>54</v>
      </c>
      <c r="B3505">
        <f>VLOOKUP(A3505,Table1[[Item Purchased]:[Subscription Status]],8,FALSE)</f>
        <v>3.2</v>
      </c>
    </row>
    <row r="3506" spans="1:2" x14ac:dyDescent="0.3">
      <c r="A3506" s="5" t="s">
        <v>65</v>
      </c>
      <c r="B3506">
        <f>VLOOKUP(A3506,Table1[[Item Purchased]:[Subscription Status]],8,FALSE)</f>
        <v>4.8</v>
      </c>
    </row>
    <row r="3507" spans="1:2" x14ac:dyDescent="0.3">
      <c r="A3507" s="6" t="s">
        <v>105</v>
      </c>
      <c r="B3507">
        <f>VLOOKUP(A3507,Table1[[Item Purchased]:[Subscription Status]],8,FALSE)</f>
        <v>3.6</v>
      </c>
    </row>
    <row r="3508" spans="1:2" x14ac:dyDescent="0.3">
      <c r="A3508" s="5" t="s">
        <v>54</v>
      </c>
      <c r="B3508">
        <f>VLOOKUP(A3508,Table1[[Item Purchased]:[Subscription Status]],8,FALSE)</f>
        <v>3.2</v>
      </c>
    </row>
    <row r="3509" spans="1:2" x14ac:dyDescent="0.3">
      <c r="A3509" s="6" t="s">
        <v>65</v>
      </c>
      <c r="B3509">
        <f>VLOOKUP(A3509,Table1[[Item Purchased]:[Subscription Status]],8,FALSE)</f>
        <v>4.8</v>
      </c>
    </row>
    <row r="3510" spans="1:2" x14ac:dyDescent="0.3">
      <c r="A3510" s="5" t="s">
        <v>94</v>
      </c>
      <c r="B3510">
        <f>VLOOKUP(A3510,Table1[[Item Purchased]:[Subscription Status]],8,FALSE)</f>
        <v>3.3</v>
      </c>
    </row>
    <row r="3511" spans="1:2" x14ac:dyDescent="0.3">
      <c r="A3511" s="6" t="s">
        <v>112</v>
      </c>
      <c r="B3511">
        <f>VLOOKUP(A3511,Table1[[Item Purchased]:[Subscription Status]],8,FALSE)</f>
        <v>4.5999999999999996</v>
      </c>
    </row>
    <row r="3512" spans="1:2" x14ac:dyDescent="0.3">
      <c r="A3512" s="5" t="s">
        <v>49</v>
      </c>
      <c r="B3512">
        <f>VLOOKUP(A3512,Table1[[Item Purchased]:[Subscription Status]],8,FALSE)</f>
        <v>2.9</v>
      </c>
    </row>
    <row r="3513" spans="1:2" x14ac:dyDescent="0.3">
      <c r="A3513" s="6" t="s">
        <v>105</v>
      </c>
      <c r="B3513">
        <f>VLOOKUP(A3513,Table1[[Item Purchased]:[Subscription Status]],8,FALSE)</f>
        <v>3.6</v>
      </c>
    </row>
    <row r="3514" spans="1:2" x14ac:dyDescent="0.3">
      <c r="A3514" s="5" t="s">
        <v>54</v>
      </c>
      <c r="B3514">
        <f>VLOOKUP(A3514,Table1[[Item Purchased]:[Subscription Status]],8,FALSE)</f>
        <v>3.2</v>
      </c>
    </row>
    <row r="3515" spans="1:2" x14ac:dyDescent="0.3">
      <c r="A3515" s="6" t="s">
        <v>19</v>
      </c>
      <c r="B3515">
        <f>VLOOKUP(A3515,Table1[[Item Purchased]:[Subscription Status]],8,FALSE)</f>
        <v>3.1</v>
      </c>
    </row>
    <row r="3516" spans="1:2" x14ac:dyDescent="0.3">
      <c r="A3516" s="5" t="s">
        <v>49</v>
      </c>
      <c r="B3516">
        <f>VLOOKUP(A3516,Table1[[Item Purchased]:[Subscription Status]],8,FALSE)</f>
        <v>2.9</v>
      </c>
    </row>
    <row r="3517" spans="1:2" x14ac:dyDescent="0.3">
      <c r="A3517" s="6" t="s">
        <v>80</v>
      </c>
      <c r="B3517">
        <f>VLOOKUP(A3517,Table1[[Item Purchased]:[Subscription Status]],8,FALSE)</f>
        <v>4.7</v>
      </c>
    </row>
    <row r="3518" spans="1:2" x14ac:dyDescent="0.3">
      <c r="A3518" s="5" t="s">
        <v>136</v>
      </c>
      <c r="B3518">
        <f>VLOOKUP(A3518,Table1[[Item Purchased]:[Subscription Status]],8,FALSE)</f>
        <v>4.8</v>
      </c>
    </row>
    <row r="3519" spans="1:2" x14ac:dyDescent="0.3">
      <c r="A3519" s="6" t="s">
        <v>86</v>
      </c>
      <c r="B3519">
        <f>VLOOKUP(A3519,Table1[[Item Purchased]:[Subscription Status]],8,FALSE)</f>
        <v>2.8</v>
      </c>
    </row>
    <row r="3520" spans="1:2" x14ac:dyDescent="0.3">
      <c r="A3520" s="5" t="s">
        <v>54</v>
      </c>
      <c r="B3520">
        <f>VLOOKUP(A3520,Table1[[Item Purchased]:[Subscription Status]],8,FALSE)</f>
        <v>3.2</v>
      </c>
    </row>
    <row r="3521" spans="1:2" x14ac:dyDescent="0.3">
      <c r="A3521" s="6" t="s">
        <v>58</v>
      </c>
      <c r="B3521">
        <f>VLOOKUP(A3521,Table1[[Item Purchased]:[Subscription Status]],8,FALSE)</f>
        <v>3.2</v>
      </c>
    </row>
    <row r="3522" spans="1:2" x14ac:dyDescent="0.3">
      <c r="A3522" s="5" t="s">
        <v>123</v>
      </c>
      <c r="B3522">
        <f>VLOOKUP(A3522,Table1[[Item Purchased]:[Subscription Status]],8,FALSE)</f>
        <v>4.5999999999999996</v>
      </c>
    </row>
    <row r="3523" spans="1:2" x14ac:dyDescent="0.3">
      <c r="A3523" s="6" t="s">
        <v>70</v>
      </c>
      <c r="B3523">
        <f>VLOOKUP(A3523,Table1[[Item Purchased]:[Subscription Status]],8,FALSE)</f>
        <v>4.0999999999999996</v>
      </c>
    </row>
    <row r="3524" spans="1:2" x14ac:dyDescent="0.3">
      <c r="A3524" s="5" t="s">
        <v>94</v>
      </c>
      <c r="B3524">
        <f>VLOOKUP(A3524,Table1[[Item Purchased]:[Subscription Status]],8,FALSE)</f>
        <v>3.3</v>
      </c>
    </row>
    <row r="3525" spans="1:2" x14ac:dyDescent="0.3">
      <c r="A3525" s="6" t="s">
        <v>131</v>
      </c>
      <c r="B3525">
        <f>VLOOKUP(A3525,Table1[[Item Purchased]:[Subscription Status]],8,FALSE)</f>
        <v>4.7</v>
      </c>
    </row>
    <row r="3526" spans="1:2" x14ac:dyDescent="0.3">
      <c r="A3526" s="5" t="s">
        <v>94</v>
      </c>
      <c r="B3526">
        <f>VLOOKUP(A3526,Table1[[Item Purchased]:[Subscription Status]],8,FALSE)</f>
        <v>3.3</v>
      </c>
    </row>
    <row r="3527" spans="1:2" x14ac:dyDescent="0.3">
      <c r="A3527" s="6" t="s">
        <v>88</v>
      </c>
      <c r="B3527">
        <f>VLOOKUP(A3527,Table1[[Item Purchased]:[Subscription Status]],8,FALSE)</f>
        <v>4.0999999999999996</v>
      </c>
    </row>
    <row r="3528" spans="1:2" x14ac:dyDescent="0.3">
      <c r="A3528" s="5" t="s">
        <v>29</v>
      </c>
      <c r="B3528">
        <f>VLOOKUP(A3528,Table1[[Item Purchased]:[Subscription Status]],8,FALSE)</f>
        <v>3.1</v>
      </c>
    </row>
    <row r="3529" spans="1:2" x14ac:dyDescent="0.3">
      <c r="A3529" s="6" t="s">
        <v>19</v>
      </c>
      <c r="B3529">
        <f>VLOOKUP(A3529,Table1[[Item Purchased]:[Subscription Status]],8,FALSE)</f>
        <v>3.1</v>
      </c>
    </row>
    <row r="3530" spans="1:2" x14ac:dyDescent="0.3">
      <c r="A3530" s="5" t="s">
        <v>118</v>
      </c>
      <c r="B3530">
        <f>VLOOKUP(A3530,Table1[[Item Purchased]:[Subscription Status]],8,FALSE)</f>
        <v>4.5</v>
      </c>
    </row>
    <row r="3531" spans="1:2" x14ac:dyDescent="0.3">
      <c r="A3531" s="6" t="s">
        <v>112</v>
      </c>
      <c r="B3531">
        <f>VLOOKUP(A3531,Table1[[Item Purchased]:[Subscription Status]],8,FALSE)</f>
        <v>4.5999999999999996</v>
      </c>
    </row>
    <row r="3532" spans="1:2" x14ac:dyDescent="0.3">
      <c r="A3532" s="5" t="s">
        <v>88</v>
      </c>
      <c r="B3532">
        <f>VLOOKUP(A3532,Table1[[Item Purchased]:[Subscription Status]],8,FALSE)</f>
        <v>4.0999999999999996</v>
      </c>
    </row>
    <row r="3533" spans="1:2" x14ac:dyDescent="0.3">
      <c r="A3533" s="6" t="s">
        <v>70</v>
      </c>
      <c r="B3533">
        <f>VLOOKUP(A3533,Table1[[Item Purchased]:[Subscription Status]],8,FALSE)</f>
        <v>4.0999999999999996</v>
      </c>
    </row>
    <row r="3534" spans="1:2" x14ac:dyDescent="0.3">
      <c r="A3534" s="5" t="s">
        <v>94</v>
      </c>
      <c r="B3534">
        <f>VLOOKUP(A3534,Table1[[Item Purchased]:[Subscription Status]],8,FALSE)</f>
        <v>3.3</v>
      </c>
    </row>
    <row r="3535" spans="1:2" x14ac:dyDescent="0.3">
      <c r="A3535" s="6" t="s">
        <v>49</v>
      </c>
      <c r="B3535">
        <f>VLOOKUP(A3535,Table1[[Item Purchased]:[Subscription Status]],8,FALSE)</f>
        <v>2.9</v>
      </c>
    </row>
    <row r="3536" spans="1:2" x14ac:dyDescent="0.3">
      <c r="A3536" s="5" t="s">
        <v>70</v>
      </c>
      <c r="B3536">
        <f>VLOOKUP(A3536,Table1[[Item Purchased]:[Subscription Status]],8,FALSE)</f>
        <v>4.0999999999999996</v>
      </c>
    </row>
    <row r="3537" spans="1:2" x14ac:dyDescent="0.3">
      <c r="A3537" s="6" t="s">
        <v>58</v>
      </c>
      <c r="B3537">
        <f>VLOOKUP(A3537,Table1[[Item Purchased]:[Subscription Status]],8,FALSE)</f>
        <v>3.2</v>
      </c>
    </row>
    <row r="3538" spans="1:2" x14ac:dyDescent="0.3">
      <c r="A3538" s="5" t="s">
        <v>65</v>
      </c>
      <c r="B3538">
        <f>VLOOKUP(A3538,Table1[[Item Purchased]:[Subscription Status]],8,FALSE)</f>
        <v>4.8</v>
      </c>
    </row>
    <row r="3539" spans="1:2" x14ac:dyDescent="0.3">
      <c r="A3539" s="6" t="s">
        <v>65</v>
      </c>
      <c r="B3539">
        <f>VLOOKUP(A3539,Table1[[Item Purchased]:[Subscription Status]],8,FALSE)</f>
        <v>4.8</v>
      </c>
    </row>
    <row r="3540" spans="1:2" x14ac:dyDescent="0.3">
      <c r="A3540" s="5" t="s">
        <v>70</v>
      </c>
      <c r="B3540">
        <f>VLOOKUP(A3540,Table1[[Item Purchased]:[Subscription Status]],8,FALSE)</f>
        <v>4.0999999999999996</v>
      </c>
    </row>
    <row r="3541" spans="1:2" x14ac:dyDescent="0.3">
      <c r="A3541" s="6" t="s">
        <v>105</v>
      </c>
      <c r="B3541">
        <f>VLOOKUP(A3541,Table1[[Item Purchased]:[Subscription Status]],8,FALSE)</f>
        <v>3.6</v>
      </c>
    </row>
    <row r="3542" spans="1:2" x14ac:dyDescent="0.3">
      <c r="A3542" s="5" t="s">
        <v>58</v>
      </c>
      <c r="B3542">
        <f>VLOOKUP(A3542,Table1[[Item Purchased]:[Subscription Status]],8,FALSE)</f>
        <v>3.2</v>
      </c>
    </row>
    <row r="3543" spans="1:2" x14ac:dyDescent="0.3">
      <c r="A3543" s="6" t="s">
        <v>19</v>
      </c>
      <c r="B3543">
        <f>VLOOKUP(A3543,Table1[[Item Purchased]:[Subscription Status]],8,FALSE)</f>
        <v>3.1</v>
      </c>
    </row>
    <row r="3544" spans="1:2" x14ac:dyDescent="0.3">
      <c r="A3544" s="5" t="s">
        <v>61</v>
      </c>
      <c r="B3544">
        <f>VLOOKUP(A3544,Table1[[Item Purchased]:[Subscription Status]],8,FALSE)</f>
        <v>2.6</v>
      </c>
    </row>
    <row r="3545" spans="1:2" x14ac:dyDescent="0.3">
      <c r="A3545" s="6" t="s">
        <v>123</v>
      </c>
      <c r="B3545">
        <f>VLOOKUP(A3545,Table1[[Item Purchased]:[Subscription Status]],8,FALSE)</f>
        <v>4.5999999999999996</v>
      </c>
    </row>
    <row r="3546" spans="1:2" x14ac:dyDescent="0.3">
      <c r="A3546" s="5" t="s">
        <v>124</v>
      </c>
      <c r="B3546">
        <f>VLOOKUP(A3546,Table1[[Item Purchased]:[Subscription Status]],8,FALSE)</f>
        <v>2.9</v>
      </c>
    </row>
    <row r="3547" spans="1:2" x14ac:dyDescent="0.3">
      <c r="A3547" s="6" t="s">
        <v>40</v>
      </c>
      <c r="B3547">
        <f>VLOOKUP(A3547,Table1[[Item Purchased]:[Subscription Status]],8,FALSE)</f>
        <v>3.5</v>
      </c>
    </row>
    <row r="3548" spans="1:2" x14ac:dyDescent="0.3">
      <c r="A3548" s="5" t="s">
        <v>118</v>
      </c>
      <c r="B3548">
        <f>VLOOKUP(A3548,Table1[[Item Purchased]:[Subscription Status]],8,FALSE)</f>
        <v>4.5</v>
      </c>
    </row>
    <row r="3549" spans="1:2" x14ac:dyDescent="0.3">
      <c r="A3549" s="6" t="s">
        <v>118</v>
      </c>
      <c r="B3549">
        <f>VLOOKUP(A3549,Table1[[Item Purchased]:[Subscription Status]],8,FALSE)</f>
        <v>4.5</v>
      </c>
    </row>
    <row r="3550" spans="1:2" x14ac:dyDescent="0.3">
      <c r="A3550" s="5" t="s">
        <v>19</v>
      </c>
      <c r="B3550">
        <f>VLOOKUP(A3550,Table1[[Item Purchased]:[Subscription Status]],8,FALSE)</f>
        <v>3.1</v>
      </c>
    </row>
    <row r="3551" spans="1:2" x14ac:dyDescent="0.3">
      <c r="A3551" s="6" t="s">
        <v>112</v>
      </c>
      <c r="B3551">
        <f>VLOOKUP(A3551,Table1[[Item Purchased]:[Subscription Status]],8,FALSE)</f>
        <v>4.5999999999999996</v>
      </c>
    </row>
    <row r="3552" spans="1:2" x14ac:dyDescent="0.3">
      <c r="A3552" s="5" t="s">
        <v>70</v>
      </c>
      <c r="B3552">
        <f>VLOOKUP(A3552,Table1[[Item Purchased]:[Subscription Status]],8,FALSE)</f>
        <v>4.0999999999999996</v>
      </c>
    </row>
    <row r="3553" spans="1:2" x14ac:dyDescent="0.3">
      <c r="A3553" s="6" t="s">
        <v>142</v>
      </c>
      <c r="B3553">
        <f>VLOOKUP(A3553,Table1[[Item Purchased]:[Subscription Status]],8,FALSE)</f>
        <v>4.5</v>
      </c>
    </row>
    <row r="3554" spans="1:2" x14ac:dyDescent="0.3">
      <c r="A3554" s="5" t="s">
        <v>88</v>
      </c>
      <c r="B3554">
        <f>VLOOKUP(A3554,Table1[[Item Purchased]:[Subscription Status]],8,FALSE)</f>
        <v>4.0999999999999996</v>
      </c>
    </row>
    <row r="3555" spans="1:2" x14ac:dyDescent="0.3">
      <c r="A3555" s="6" t="s">
        <v>70</v>
      </c>
      <c r="B3555">
        <f>VLOOKUP(A3555,Table1[[Item Purchased]:[Subscription Status]],8,FALSE)</f>
        <v>4.0999999999999996</v>
      </c>
    </row>
    <row r="3556" spans="1:2" x14ac:dyDescent="0.3">
      <c r="A3556" s="5" t="s">
        <v>80</v>
      </c>
      <c r="B3556">
        <f>VLOOKUP(A3556,Table1[[Item Purchased]:[Subscription Status]],8,FALSE)</f>
        <v>4.7</v>
      </c>
    </row>
    <row r="3557" spans="1:2" x14ac:dyDescent="0.3">
      <c r="A3557" s="6" t="s">
        <v>19</v>
      </c>
      <c r="B3557">
        <f>VLOOKUP(A3557,Table1[[Item Purchased]:[Subscription Status]],8,FALSE)</f>
        <v>3.1</v>
      </c>
    </row>
    <row r="3558" spans="1:2" x14ac:dyDescent="0.3">
      <c r="A3558" s="5" t="s">
        <v>29</v>
      </c>
      <c r="B3558">
        <f>VLOOKUP(A3558,Table1[[Item Purchased]:[Subscription Status]],8,FALSE)</f>
        <v>3.1</v>
      </c>
    </row>
    <row r="3559" spans="1:2" x14ac:dyDescent="0.3">
      <c r="A3559" s="6" t="s">
        <v>101</v>
      </c>
      <c r="B3559">
        <f>VLOOKUP(A3559,Table1[[Item Purchased]:[Subscription Status]],8,FALSE)</f>
        <v>2.9</v>
      </c>
    </row>
    <row r="3560" spans="1:2" x14ac:dyDescent="0.3">
      <c r="A3560" s="5" t="s">
        <v>131</v>
      </c>
      <c r="B3560">
        <f>VLOOKUP(A3560,Table1[[Item Purchased]:[Subscription Status]],8,FALSE)</f>
        <v>4.7</v>
      </c>
    </row>
    <row r="3561" spans="1:2" x14ac:dyDescent="0.3">
      <c r="A3561" s="6" t="s">
        <v>58</v>
      </c>
      <c r="B3561">
        <f>VLOOKUP(A3561,Table1[[Item Purchased]:[Subscription Status]],8,FALSE)</f>
        <v>3.2</v>
      </c>
    </row>
    <row r="3562" spans="1:2" x14ac:dyDescent="0.3">
      <c r="A3562" s="5" t="s">
        <v>124</v>
      </c>
      <c r="B3562">
        <f>VLOOKUP(A3562,Table1[[Item Purchased]:[Subscription Status]],8,FALSE)</f>
        <v>2.9</v>
      </c>
    </row>
    <row r="3563" spans="1:2" x14ac:dyDescent="0.3">
      <c r="A3563" s="6" t="s">
        <v>49</v>
      </c>
      <c r="B3563">
        <f>VLOOKUP(A3563,Table1[[Item Purchased]:[Subscription Status]],8,FALSE)</f>
        <v>2.9</v>
      </c>
    </row>
    <row r="3564" spans="1:2" x14ac:dyDescent="0.3">
      <c r="A3564" s="5" t="s">
        <v>49</v>
      </c>
      <c r="B3564">
        <f>VLOOKUP(A3564,Table1[[Item Purchased]:[Subscription Status]],8,FALSE)</f>
        <v>2.9</v>
      </c>
    </row>
    <row r="3565" spans="1:2" x14ac:dyDescent="0.3">
      <c r="A3565" s="6" t="s">
        <v>19</v>
      </c>
      <c r="B3565">
        <f>VLOOKUP(A3565,Table1[[Item Purchased]:[Subscription Status]],8,FALSE)</f>
        <v>3.1</v>
      </c>
    </row>
    <row r="3566" spans="1:2" x14ac:dyDescent="0.3">
      <c r="A3566" s="5" t="s">
        <v>142</v>
      </c>
      <c r="B3566">
        <f>VLOOKUP(A3566,Table1[[Item Purchased]:[Subscription Status]],8,FALSE)</f>
        <v>4.5</v>
      </c>
    </row>
    <row r="3567" spans="1:2" x14ac:dyDescent="0.3">
      <c r="A3567" s="6" t="s">
        <v>65</v>
      </c>
      <c r="B3567">
        <f>VLOOKUP(A3567,Table1[[Item Purchased]:[Subscription Status]],8,FALSE)</f>
        <v>4.8</v>
      </c>
    </row>
    <row r="3568" spans="1:2" x14ac:dyDescent="0.3">
      <c r="A3568" s="5" t="s">
        <v>33</v>
      </c>
      <c r="B3568">
        <f>VLOOKUP(A3568,Table1[[Item Purchased]:[Subscription Status]],8,FALSE)</f>
        <v>3.1</v>
      </c>
    </row>
    <row r="3569" spans="1:2" x14ac:dyDescent="0.3">
      <c r="A3569" s="6" t="s">
        <v>118</v>
      </c>
      <c r="B3569">
        <f>VLOOKUP(A3569,Table1[[Item Purchased]:[Subscription Status]],8,FALSE)</f>
        <v>4.5</v>
      </c>
    </row>
    <row r="3570" spans="1:2" x14ac:dyDescent="0.3">
      <c r="A3570" s="5" t="s">
        <v>40</v>
      </c>
      <c r="B3570">
        <f>VLOOKUP(A3570,Table1[[Item Purchased]:[Subscription Status]],8,FALSE)</f>
        <v>3.5</v>
      </c>
    </row>
    <row r="3571" spans="1:2" x14ac:dyDescent="0.3">
      <c r="A3571" s="6" t="s">
        <v>40</v>
      </c>
      <c r="B3571">
        <f>VLOOKUP(A3571,Table1[[Item Purchased]:[Subscription Status]],8,FALSE)</f>
        <v>3.5</v>
      </c>
    </row>
    <row r="3572" spans="1:2" x14ac:dyDescent="0.3">
      <c r="A3572" s="5" t="s">
        <v>80</v>
      </c>
      <c r="B3572">
        <f>VLOOKUP(A3572,Table1[[Item Purchased]:[Subscription Status]],8,FALSE)</f>
        <v>4.7</v>
      </c>
    </row>
    <row r="3573" spans="1:2" x14ac:dyDescent="0.3">
      <c r="A3573" s="6" t="s">
        <v>86</v>
      </c>
      <c r="B3573">
        <f>VLOOKUP(A3573,Table1[[Item Purchased]:[Subscription Status]],8,FALSE)</f>
        <v>2.8</v>
      </c>
    </row>
    <row r="3574" spans="1:2" x14ac:dyDescent="0.3">
      <c r="A3574" s="5" t="s">
        <v>58</v>
      </c>
      <c r="B3574">
        <f>VLOOKUP(A3574,Table1[[Item Purchased]:[Subscription Status]],8,FALSE)</f>
        <v>3.2</v>
      </c>
    </row>
    <row r="3575" spans="1:2" x14ac:dyDescent="0.3">
      <c r="A3575" s="6" t="s">
        <v>33</v>
      </c>
      <c r="B3575">
        <f>VLOOKUP(A3575,Table1[[Item Purchased]:[Subscription Status]],8,FALSE)</f>
        <v>3.1</v>
      </c>
    </row>
    <row r="3576" spans="1:2" x14ac:dyDescent="0.3">
      <c r="A3576" s="5" t="s">
        <v>124</v>
      </c>
      <c r="B3576">
        <f>VLOOKUP(A3576,Table1[[Item Purchased]:[Subscription Status]],8,FALSE)</f>
        <v>2.9</v>
      </c>
    </row>
    <row r="3577" spans="1:2" x14ac:dyDescent="0.3">
      <c r="A3577" s="6" t="s">
        <v>61</v>
      </c>
      <c r="B3577">
        <f>VLOOKUP(A3577,Table1[[Item Purchased]:[Subscription Status]],8,FALSE)</f>
        <v>2.6</v>
      </c>
    </row>
    <row r="3578" spans="1:2" x14ac:dyDescent="0.3">
      <c r="A3578" s="5" t="s">
        <v>136</v>
      </c>
      <c r="B3578">
        <f>VLOOKUP(A3578,Table1[[Item Purchased]:[Subscription Status]],8,FALSE)</f>
        <v>4.8</v>
      </c>
    </row>
    <row r="3579" spans="1:2" x14ac:dyDescent="0.3">
      <c r="A3579" s="6" t="s">
        <v>132</v>
      </c>
      <c r="B3579">
        <f>VLOOKUP(A3579,Table1[[Item Purchased]:[Subscription Status]],8,FALSE)</f>
        <v>4.5999999999999996</v>
      </c>
    </row>
    <row r="3580" spans="1:2" x14ac:dyDescent="0.3">
      <c r="A3580" s="5" t="s">
        <v>70</v>
      </c>
      <c r="B3580">
        <f>VLOOKUP(A3580,Table1[[Item Purchased]:[Subscription Status]],8,FALSE)</f>
        <v>4.0999999999999996</v>
      </c>
    </row>
    <row r="3581" spans="1:2" x14ac:dyDescent="0.3">
      <c r="A3581" s="6" t="s">
        <v>118</v>
      </c>
      <c r="B3581">
        <f>VLOOKUP(A3581,Table1[[Item Purchased]:[Subscription Status]],8,FALSE)</f>
        <v>4.5</v>
      </c>
    </row>
    <row r="3582" spans="1:2" x14ac:dyDescent="0.3">
      <c r="A3582" s="5" t="s">
        <v>19</v>
      </c>
      <c r="B3582">
        <f>VLOOKUP(A3582,Table1[[Item Purchased]:[Subscription Status]],8,FALSE)</f>
        <v>3.1</v>
      </c>
    </row>
    <row r="3583" spans="1:2" x14ac:dyDescent="0.3">
      <c r="A3583" s="6" t="s">
        <v>80</v>
      </c>
      <c r="B3583">
        <f>VLOOKUP(A3583,Table1[[Item Purchased]:[Subscription Status]],8,FALSE)</f>
        <v>4.7</v>
      </c>
    </row>
    <row r="3584" spans="1:2" x14ac:dyDescent="0.3">
      <c r="A3584" s="5" t="s">
        <v>58</v>
      </c>
      <c r="B3584">
        <f>VLOOKUP(A3584,Table1[[Item Purchased]:[Subscription Status]],8,FALSE)</f>
        <v>3.2</v>
      </c>
    </row>
    <row r="3585" spans="1:2" x14ac:dyDescent="0.3">
      <c r="A3585" s="6" t="s">
        <v>19</v>
      </c>
      <c r="B3585">
        <f>VLOOKUP(A3585,Table1[[Item Purchased]:[Subscription Status]],8,FALSE)</f>
        <v>3.1</v>
      </c>
    </row>
    <row r="3586" spans="1:2" x14ac:dyDescent="0.3">
      <c r="A3586" s="5" t="s">
        <v>49</v>
      </c>
      <c r="B3586">
        <f>VLOOKUP(A3586,Table1[[Item Purchased]:[Subscription Status]],8,FALSE)</f>
        <v>2.9</v>
      </c>
    </row>
    <row r="3587" spans="1:2" x14ac:dyDescent="0.3">
      <c r="A3587" s="6" t="s">
        <v>142</v>
      </c>
      <c r="B3587">
        <f>VLOOKUP(A3587,Table1[[Item Purchased]:[Subscription Status]],8,FALSE)</f>
        <v>4.5</v>
      </c>
    </row>
    <row r="3588" spans="1:2" x14ac:dyDescent="0.3">
      <c r="A3588" s="5" t="s">
        <v>103</v>
      </c>
      <c r="B3588">
        <f>VLOOKUP(A3588,Table1[[Item Purchased]:[Subscription Status]],8,FALSE)</f>
        <v>3.6</v>
      </c>
    </row>
    <row r="3589" spans="1:2" x14ac:dyDescent="0.3">
      <c r="A3589" s="6" t="s">
        <v>29</v>
      </c>
      <c r="B3589">
        <f>VLOOKUP(A3589,Table1[[Item Purchased]:[Subscription Status]],8,FALSE)</f>
        <v>3.1</v>
      </c>
    </row>
    <row r="3590" spans="1:2" x14ac:dyDescent="0.3">
      <c r="A3590" s="5" t="s">
        <v>88</v>
      </c>
      <c r="B3590">
        <f>VLOOKUP(A3590,Table1[[Item Purchased]:[Subscription Status]],8,FALSE)</f>
        <v>4.0999999999999996</v>
      </c>
    </row>
    <row r="3591" spans="1:2" x14ac:dyDescent="0.3">
      <c r="A3591" s="6" t="s">
        <v>132</v>
      </c>
      <c r="B3591">
        <f>VLOOKUP(A3591,Table1[[Item Purchased]:[Subscription Status]],8,FALSE)</f>
        <v>4.5999999999999996</v>
      </c>
    </row>
    <row r="3592" spans="1:2" x14ac:dyDescent="0.3">
      <c r="A3592" s="5" t="s">
        <v>80</v>
      </c>
      <c r="B3592">
        <f>VLOOKUP(A3592,Table1[[Item Purchased]:[Subscription Status]],8,FALSE)</f>
        <v>4.7</v>
      </c>
    </row>
    <row r="3593" spans="1:2" x14ac:dyDescent="0.3">
      <c r="A3593" s="6" t="s">
        <v>101</v>
      </c>
      <c r="B3593">
        <f>VLOOKUP(A3593,Table1[[Item Purchased]:[Subscription Status]],8,FALSE)</f>
        <v>2.9</v>
      </c>
    </row>
    <row r="3594" spans="1:2" x14ac:dyDescent="0.3">
      <c r="A3594" s="5" t="s">
        <v>136</v>
      </c>
      <c r="B3594">
        <f>VLOOKUP(A3594,Table1[[Item Purchased]:[Subscription Status]],8,FALSE)</f>
        <v>4.8</v>
      </c>
    </row>
    <row r="3595" spans="1:2" x14ac:dyDescent="0.3">
      <c r="A3595" s="6" t="s">
        <v>40</v>
      </c>
      <c r="B3595">
        <f>VLOOKUP(A3595,Table1[[Item Purchased]:[Subscription Status]],8,FALSE)</f>
        <v>3.5</v>
      </c>
    </row>
    <row r="3596" spans="1:2" x14ac:dyDescent="0.3">
      <c r="A3596" s="5" t="s">
        <v>118</v>
      </c>
      <c r="B3596">
        <f>VLOOKUP(A3596,Table1[[Item Purchased]:[Subscription Status]],8,FALSE)</f>
        <v>4.5</v>
      </c>
    </row>
    <row r="3597" spans="1:2" x14ac:dyDescent="0.3">
      <c r="A3597" s="6" t="s">
        <v>19</v>
      </c>
      <c r="B3597">
        <f>VLOOKUP(A3597,Table1[[Item Purchased]:[Subscription Status]],8,FALSE)</f>
        <v>3.1</v>
      </c>
    </row>
    <row r="3598" spans="1:2" x14ac:dyDescent="0.3">
      <c r="A3598" s="5" t="s">
        <v>103</v>
      </c>
      <c r="B3598">
        <f>VLOOKUP(A3598,Table1[[Item Purchased]:[Subscription Status]],8,FALSE)</f>
        <v>3.6</v>
      </c>
    </row>
    <row r="3599" spans="1:2" x14ac:dyDescent="0.3">
      <c r="A3599" s="6" t="s">
        <v>88</v>
      </c>
      <c r="B3599">
        <f>VLOOKUP(A3599,Table1[[Item Purchased]:[Subscription Status]],8,FALSE)</f>
        <v>4.0999999999999996</v>
      </c>
    </row>
    <row r="3600" spans="1:2" x14ac:dyDescent="0.3">
      <c r="A3600" s="5" t="s">
        <v>103</v>
      </c>
      <c r="B3600">
        <f>VLOOKUP(A3600,Table1[[Item Purchased]:[Subscription Status]],8,FALSE)</f>
        <v>3.6</v>
      </c>
    </row>
    <row r="3601" spans="1:2" x14ac:dyDescent="0.3">
      <c r="A3601" s="6" t="s">
        <v>118</v>
      </c>
      <c r="B3601">
        <f>VLOOKUP(A3601,Table1[[Item Purchased]:[Subscription Status]],8,FALSE)</f>
        <v>4.5</v>
      </c>
    </row>
    <row r="3602" spans="1:2" x14ac:dyDescent="0.3">
      <c r="A3602" s="5" t="s">
        <v>80</v>
      </c>
      <c r="B3602">
        <f>VLOOKUP(A3602,Table1[[Item Purchased]:[Subscription Status]],8,FALSE)</f>
        <v>4.7</v>
      </c>
    </row>
    <row r="3603" spans="1:2" x14ac:dyDescent="0.3">
      <c r="A3603" s="6" t="s">
        <v>112</v>
      </c>
      <c r="B3603">
        <f>VLOOKUP(A3603,Table1[[Item Purchased]:[Subscription Status]],8,FALSE)</f>
        <v>4.5999999999999996</v>
      </c>
    </row>
    <row r="3604" spans="1:2" x14ac:dyDescent="0.3">
      <c r="A3604" s="5" t="s">
        <v>86</v>
      </c>
      <c r="B3604">
        <f>VLOOKUP(A3604,Table1[[Item Purchased]:[Subscription Status]],8,FALSE)</f>
        <v>2.8</v>
      </c>
    </row>
    <row r="3605" spans="1:2" x14ac:dyDescent="0.3">
      <c r="A3605" s="6" t="s">
        <v>33</v>
      </c>
      <c r="B3605">
        <f>VLOOKUP(A3605,Table1[[Item Purchased]:[Subscription Status]],8,FALSE)</f>
        <v>3.1</v>
      </c>
    </row>
    <row r="3606" spans="1:2" x14ac:dyDescent="0.3">
      <c r="A3606" s="5" t="s">
        <v>103</v>
      </c>
      <c r="B3606">
        <f>VLOOKUP(A3606,Table1[[Item Purchased]:[Subscription Status]],8,FALSE)</f>
        <v>3.6</v>
      </c>
    </row>
    <row r="3607" spans="1:2" x14ac:dyDescent="0.3">
      <c r="A3607" s="6" t="s">
        <v>33</v>
      </c>
      <c r="B3607">
        <f>VLOOKUP(A3607,Table1[[Item Purchased]:[Subscription Status]],8,FALSE)</f>
        <v>3.1</v>
      </c>
    </row>
    <row r="3608" spans="1:2" x14ac:dyDescent="0.3">
      <c r="A3608" s="5" t="s">
        <v>40</v>
      </c>
      <c r="B3608">
        <f>VLOOKUP(A3608,Table1[[Item Purchased]:[Subscription Status]],8,FALSE)</f>
        <v>3.5</v>
      </c>
    </row>
    <row r="3609" spans="1:2" x14ac:dyDescent="0.3">
      <c r="A3609" s="6" t="s">
        <v>123</v>
      </c>
      <c r="B3609">
        <f>VLOOKUP(A3609,Table1[[Item Purchased]:[Subscription Status]],8,FALSE)</f>
        <v>4.5999999999999996</v>
      </c>
    </row>
    <row r="3610" spans="1:2" x14ac:dyDescent="0.3">
      <c r="A3610" s="5" t="s">
        <v>142</v>
      </c>
      <c r="B3610">
        <f>VLOOKUP(A3610,Table1[[Item Purchased]:[Subscription Status]],8,FALSE)</f>
        <v>4.5</v>
      </c>
    </row>
    <row r="3611" spans="1:2" x14ac:dyDescent="0.3">
      <c r="A3611" s="6" t="s">
        <v>124</v>
      </c>
      <c r="B3611">
        <f>VLOOKUP(A3611,Table1[[Item Purchased]:[Subscription Status]],8,FALSE)</f>
        <v>2.9</v>
      </c>
    </row>
    <row r="3612" spans="1:2" x14ac:dyDescent="0.3">
      <c r="A3612" s="5" t="s">
        <v>101</v>
      </c>
      <c r="B3612">
        <f>VLOOKUP(A3612,Table1[[Item Purchased]:[Subscription Status]],8,FALSE)</f>
        <v>2.9</v>
      </c>
    </row>
    <row r="3613" spans="1:2" x14ac:dyDescent="0.3">
      <c r="A3613" s="6" t="s">
        <v>112</v>
      </c>
      <c r="B3613">
        <f>VLOOKUP(A3613,Table1[[Item Purchased]:[Subscription Status]],8,FALSE)</f>
        <v>4.5999999999999996</v>
      </c>
    </row>
    <row r="3614" spans="1:2" x14ac:dyDescent="0.3">
      <c r="A3614" s="5" t="s">
        <v>40</v>
      </c>
      <c r="B3614">
        <f>VLOOKUP(A3614,Table1[[Item Purchased]:[Subscription Status]],8,FALSE)</f>
        <v>3.5</v>
      </c>
    </row>
    <row r="3615" spans="1:2" x14ac:dyDescent="0.3">
      <c r="A3615" s="6" t="s">
        <v>123</v>
      </c>
      <c r="B3615">
        <f>VLOOKUP(A3615,Table1[[Item Purchased]:[Subscription Status]],8,FALSE)</f>
        <v>4.5999999999999996</v>
      </c>
    </row>
    <row r="3616" spans="1:2" x14ac:dyDescent="0.3">
      <c r="A3616" s="5" t="s">
        <v>142</v>
      </c>
      <c r="B3616">
        <f>VLOOKUP(A3616,Table1[[Item Purchased]:[Subscription Status]],8,FALSE)</f>
        <v>4.5</v>
      </c>
    </row>
    <row r="3617" spans="1:2" x14ac:dyDescent="0.3">
      <c r="A3617" s="6" t="s">
        <v>80</v>
      </c>
      <c r="B3617">
        <f>VLOOKUP(A3617,Table1[[Item Purchased]:[Subscription Status]],8,FALSE)</f>
        <v>4.7</v>
      </c>
    </row>
    <row r="3618" spans="1:2" x14ac:dyDescent="0.3">
      <c r="A3618" s="5" t="s">
        <v>103</v>
      </c>
      <c r="B3618">
        <f>VLOOKUP(A3618,Table1[[Item Purchased]:[Subscription Status]],8,FALSE)</f>
        <v>3.6</v>
      </c>
    </row>
    <row r="3619" spans="1:2" x14ac:dyDescent="0.3">
      <c r="A3619" s="6" t="s">
        <v>132</v>
      </c>
      <c r="B3619">
        <f>VLOOKUP(A3619,Table1[[Item Purchased]:[Subscription Status]],8,FALSE)</f>
        <v>4.5999999999999996</v>
      </c>
    </row>
    <row r="3620" spans="1:2" x14ac:dyDescent="0.3">
      <c r="A3620" s="5" t="s">
        <v>142</v>
      </c>
      <c r="B3620">
        <f>VLOOKUP(A3620,Table1[[Item Purchased]:[Subscription Status]],8,FALSE)</f>
        <v>4.5</v>
      </c>
    </row>
    <row r="3621" spans="1:2" x14ac:dyDescent="0.3">
      <c r="A3621" s="6" t="s">
        <v>118</v>
      </c>
      <c r="B3621">
        <f>VLOOKUP(A3621,Table1[[Item Purchased]:[Subscription Status]],8,FALSE)</f>
        <v>4.5</v>
      </c>
    </row>
    <row r="3622" spans="1:2" x14ac:dyDescent="0.3">
      <c r="A3622" s="5" t="s">
        <v>40</v>
      </c>
      <c r="B3622">
        <f>VLOOKUP(A3622,Table1[[Item Purchased]:[Subscription Status]],8,FALSE)</f>
        <v>3.5</v>
      </c>
    </row>
    <row r="3623" spans="1:2" x14ac:dyDescent="0.3">
      <c r="A3623" s="6" t="s">
        <v>49</v>
      </c>
      <c r="B3623">
        <f>VLOOKUP(A3623,Table1[[Item Purchased]:[Subscription Status]],8,FALSE)</f>
        <v>2.9</v>
      </c>
    </row>
    <row r="3624" spans="1:2" x14ac:dyDescent="0.3">
      <c r="A3624" s="5" t="s">
        <v>80</v>
      </c>
      <c r="B3624">
        <f>VLOOKUP(A3624,Table1[[Item Purchased]:[Subscription Status]],8,FALSE)</f>
        <v>4.7</v>
      </c>
    </row>
    <row r="3625" spans="1:2" x14ac:dyDescent="0.3">
      <c r="A3625" s="6" t="s">
        <v>105</v>
      </c>
      <c r="B3625">
        <f>VLOOKUP(A3625,Table1[[Item Purchased]:[Subscription Status]],8,FALSE)</f>
        <v>3.6</v>
      </c>
    </row>
    <row r="3626" spans="1:2" x14ac:dyDescent="0.3">
      <c r="A3626" s="5" t="s">
        <v>123</v>
      </c>
      <c r="B3626">
        <f>VLOOKUP(A3626,Table1[[Item Purchased]:[Subscription Status]],8,FALSE)</f>
        <v>4.5999999999999996</v>
      </c>
    </row>
    <row r="3627" spans="1:2" x14ac:dyDescent="0.3">
      <c r="A3627" s="6" t="s">
        <v>118</v>
      </c>
      <c r="B3627">
        <f>VLOOKUP(A3627,Table1[[Item Purchased]:[Subscription Status]],8,FALSE)</f>
        <v>4.5</v>
      </c>
    </row>
    <row r="3628" spans="1:2" x14ac:dyDescent="0.3">
      <c r="A3628" s="5" t="s">
        <v>19</v>
      </c>
      <c r="B3628">
        <f>VLOOKUP(A3628,Table1[[Item Purchased]:[Subscription Status]],8,FALSE)</f>
        <v>3.1</v>
      </c>
    </row>
    <row r="3629" spans="1:2" x14ac:dyDescent="0.3">
      <c r="A3629" s="6" t="s">
        <v>132</v>
      </c>
      <c r="B3629">
        <f>VLOOKUP(A3629,Table1[[Item Purchased]:[Subscription Status]],8,FALSE)</f>
        <v>4.5999999999999996</v>
      </c>
    </row>
    <row r="3630" spans="1:2" x14ac:dyDescent="0.3">
      <c r="A3630" s="5" t="s">
        <v>19</v>
      </c>
      <c r="B3630">
        <f>VLOOKUP(A3630,Table1[[Item Purchased]:[Subscription Status]],8,FALSE)</f>
        <v>3.1</v>
      </c>
    </row>
    <row r="3631" spans="1:2" x14ac:dyDescent="0.3">
      <c r="A3631" s="6" t="s">
        <v>112</v>
      </c>
      <c r="B3631">
        <f>VLOOKUP(A3631,Table1[[Item Purchased]:[Subscription Status]],8,FALSE)</f>
        <v>4.5999999999999996</v>
      </c>
    </row>
    <row r="3632" spans="1:2" x14ac:dyDescent="0.3">
      <c r="A3632" s="5" t="s">
        <v>123</v>
      </c>
      <c r="B3632">
        <f>VLOOKUP(A3632,Table1[[Item Purchased]:[Subscription Status]],8,FALSE)</f>
        <v>4.5999999999999996</v>
      </c>
    </row>
    <row r="3633" spans="1:2" x14ac:dyDescent="0.3">
      <c r="A3633" s="6" t="s">
        <v>123</v>
      </c>
      <c r="B3633">
        <f>VLOOKUP(A3633,Table1[[Item Purchased]:[Subscription Status]],8,FALSE)</f>
        <v>4.5999999999999996</v>
      </c>
    </row>
    <row r="3634" spans="1:2" x14ac:dyDescent="0.3">
      <c r="A3634" s="5" t="s">
        <v>49</v>
      </c>
      <c r="B3634">
        <f>VLOOKUP(A3634,Table1[[Item Purchased]:[Subscription Status]],8,FALSE)</f>
        <v>2.9</v>
      </c>
    </row>
    <row r="3635" spans="1:2" x14ac:dyDescent="0.3">
      <c r="A3635" s="6" t="s">
        <v>142</v>
      </c>
      <c r="B3635">
        <f>VLOOKUP(A3635,Table1[[Item Purchased]:[Subscription Status]],8,FALSE)</f>
        <v>4.5</v>
      </c>
    </row>
    <row r="3636" spans="1:2" x14ac:dyDescent="0.3">
      <c r="A3636" s="5" t="s">
        <v>124</v>
      </c>
      <c r="B3636">
        <f>VLOOKUP(A3636,Table1[[Item Purchased]:[Subscription Status]],8,FALSE)</f>
        <v>2.9</v>
      </c>
    </row>
    <row r="3637" spans="1:2" x14ac:dyDescent="0.3">
      <c r="A3637" s="6" t="s">
        <v>40</v>
      </c>
      <c r="B3637">
        <f>VLOOKUP(A3637,Table1[[Item Purchased]:[Subscription Status]],8,FALSE)</f>
        <v>3.5</v>
      </c>
    </row>
    <row r="3638" spans="1:2" x14ac:dyDescent="0.3">
      <c r="A3638" s="5" t="s">
        <v>40</v>
      </c>
      <c r="B3638">
        <f>VLOOKUP(A3638,Table1[[Item Purchased]:[Subscription Status]],8,FALSE)</f>
        <v>3.5</v>
      </c>
    </row>
    <row r="3639" spans="1:2" x14ac:dyDescent="0.3">
      <c r="A3639" s="6" t="s">
        <v>136</v>
      </c>
      <c r="B3639">
        <f>VLOOKUP(A3639,Table1[[Item Purchased]:[Subscription Status]],8,FALSE)</f>
        <v>4.8</v>
      </c>
    </row>
    <row r="3640" spans="1:2" x14ac:dyDescent="0.3">
      <c r="A3640" s="5" t="s">
        <v>131</v>
      </c>
      <c r="B3640">
        <f>VLOOKUP(A3640,Table1[[Item Purchased]:[Subscription Status]],8,FALSE)</f>
        <v>4.7</v>
      </c>
    </row>
    <row r="3641" spans="1:2" x14ac:dyDescent="0.3">
      <c r="A3641" s="6" t="s">
        <v>61</v>
      </c>
      <c r="B3641">
        <f>VLOOKUP(A3641,Table1[[Item Purchased]:[Subscription Status]],8,FALSE)</f>
        <v>2.6</v>
      </c>
    </row>
    <row r="3642" spans="1:2" x14ac:dyDescent="0.3">
      <c r="A3642" s="5" t="s">
        <v>88</v>
      </c>
      <c r="B3642">
        <f>VLOOKUP(A3642,Table1[[Item Purchased]:[Subscription Status]],8,FALSE)</f>
        <v>4.0999999999999996</v>
      </c>
    </row>
    <row r="3643" spans="1:2" x14ac:dyDescent="0.3">
      <c r="A3643" s="6" t="s">
        <v>101</v>
      </c>
      <c r="B3643">
        <f>VLOOKUP(A3643,Table1[[Item Purchased]:[Subscription Status]],8,FALSE)</f>
        <v>2.9</v>
      </c>
    </row>
    <row r="3644" spans="1:2" x14ac:dyDescent="0.3">
      <c r="A3644" s="5" t="s">
        <v>80</v>
      </c>
      <c r="B3644">
        <f>VLOOKUP(A3644,Table1[[Item Purchased]:[Subscription Status]],8,FALSE)</f>
        <v>4.7</v>
      </c>
    </row>
    <row r="3645" spans="1:2" x14ac:dyDescent="0.3">
      <c r="A3645" s="6" t="s">
        <v>118</v>
      </c>
      <c r="B3645">
        <f>VLOOKUP(A3645,Table1[[Item Purchased]:[Subscription Status]],8,FALSE)</f>
        <v>4.5</v>
      </c>
    </row>
    <row r="3646" spans="1:2" x14ac:dyDescent="0.3">
      <c r="A3646" s="5" t="s">
        <v>19</v>
      </c>
      <c r="B3646">
        <f>VLOOKUP(A3646,Table1[[Item Purchased]:[Subscription Status]],8,FALSE)</f>
        <v>3.1</v>
      </c>
    </row>
    <row r="3647" spans="1:2" x14ac:dyDescent="0.3">
      <c r="A3647" s="6" t="s">
        <v>131</v>
      </c>
      <c r="B3647">
        <f>VLOOKUP(A3647,Table1[[Item Purchased]:[Subscription Status]],8,FALSE)</f>
        <v>4.7</v>
      </c>
    </row>
    <row r="3648" spans="1:2" x14ac:dyDescent="0.3">
      <c r="A3648" s="5" t="s">
        <v>105</v>
      </c>
      <c r="B3648">
        <f>VLOOKUP(A3648,Table1[[Item Purchased]:[Subscription Status]],8,FALSE)</f>
        <v>3.6</v>
      </c>
    </row>
    <row r="3649" spans="1:2" x14ac:dyDescent="0.3">
      <c r="A3649" s="6" t="s">
        <v>58</v>
      </c>
      <c r="B3649">
        <f>VLOOKUP(A3649,Table1[[Item Purchased]:[Subscription Status]],8,FALSE)</f>
        <v>3.2</v>
      </c>
    </row>
    <row r="3650" spans="1:2" x14ac:dyDescent="0.3">
      <c r="A3650" s="5" t="s">
        <v>86</v>
      </c>
      <c r="B3650">
        <f>VLOOKUP(A3650,Table1[[Item Purchased]:[Subscription Status]],8,FALSE)</f>
        <v>2.8</v>
      </c>
    </row>
    <row r="3651" spans="1:2" x14ac:dyDescent="0.3">
      <c r="A3651" s="6" t="s">
        <v>86</v>
      </c>
      <c r="B3651">
        <f>VLOOKUP(A3651,Table1[[Item Purchased]:[Subscription Status]],8,FALSE)</f>
        <v>2.8</v>
      </c>
    </row>
    <row r="3652" spans="1:2" x14ac:dyDescent="0.3">
      <c r="A3652" s="5" t="s">
        <v>33</v>
      </c>
      <c r="B3652">
        <f>VLOOKUP(A3652,Table1[[Item Purchased]:[Subscription Status]],8,FALSE)</f>
        <v>3.1</v>
      </c>
    </row>
    <row r="3653" spans="1:2" x14ac:dyDescent="0.3">
      <c r="A3653" s="6" t="s">
        <v>65</v>
      </c>
      <c r="B3653">
        <f>VLOOKUP(A3653,Table1[[Item Purchased]:[Subscription Status]],8,FALSE)</f>
        <v>4.8</v>
      </c>
    </row>
    <row r="3654" spans="1:2" x14ac:dyDescent="0.3">
      <c r="A3654" s="5" t="s">
        <v>65</v>
      </c>
      <c r="B3654">
        <f>VLOOKUP(A3654,Table1[[Item Purchased]:[Subscription Status]],8,FALSE)</f>
        <v>4.8</v>
      </c>
    </row>
    <row r="3655" spans="1:2" x14ac:dyDescent="0.3">
      <c r="A3655" s="6" t="s">
        <v>61</v>
      </c>
      <c r="B3655">
        <f>VLOOKUP(A3655,Table1[[Item Purchased]:[Subscription Status]],8,FALSE)</f>
        <v>2.6</v>
      </c>
    </row>
    <row r="3656" spans="1:2" x14ac:dyDescent="0.3">
      <c r="A3656" s="5" t="s">
        <v>105</v>
      </c>
      <c r="B3656">
        <f>VLOOKUP(A3656,Table1[[Item Purchased]:[Subscription Status]],8,FALSE)</f>
        <v>3.6</v>
      </c>
    </row>
    <row r="3657" spans="1:2" x14ac:dyDescent="0.3">
      <c r="A3657" s="6" t="s">
        <v>29</v>
      </c>
      <c r="B3657">
        <f>VLOOKUP(A3657,Table1[[Item Purchased]:[Subscription Status]],8,FALSE)</f>
        <v>3.1</v>
      </c>
    </row>
    <row r="3658" spans="1:2" x14ac:dyDescent="0.3">
      <c r="A3658" s="5" t="s">
        <v>101</v>
      </c>
      <c r="B3658">
        <f>VLOOKUP(A3658,Table1[[Item Purchased]:[Subscription Status]],8,FALSE)</f>
        <v>2.9</v>
      </c>
    </row>
    <row r="3659" spans="1:2" x14ac:dyDescent="0.3">
      <c r="A3659" s="6" t="s">
        <v>70</v>
      </c>
      <c r="B3659">
        <f>VLOOKUP(A3659,Table1[[Item Purchased]:[Subscription Status]],8,FALSE)</f>
        <v>4.0999999999999996</v>
      </c>
    </row>
    <row r="3660" spans="1:2" x14ac:dyDescent="0.3">
      <c r="A3660" s="5" t="s">
        <v>112</v>
      </c>
      <c r="B3660">
        <f>VLOOKUP(A3660,Table1[[Item Purchased]:[Subscription Status]],8,FALSE)</f>
        <v>4.5999999999999996</v>
      </c>
    </row>
    <row r="3661" spans="1:2" x14ac:dyDescent="0.3">
      <c r="A3661" s="6" t="s">
        <v>40</v>
      </c>
      <c r="B3661">
        <f>VLOOKUP(A3661,Table1[[Item Purchased]:[Subscription Status]],8,FALSE)</f>
        <v>3.5</v>
      </c>
    </row>
    <row r="3662" spans="1:2" x14ac:dyDescent="0.3">
      <c r="A3662" s="5" t="s">
        <v>70</v>
      </c>
      <c r="B3662">
        <f>VLOOKUP(A3662,Table1[[Item Purchased]:[Subscription Status]],8,FALSE)</f>
        <v>4.0999999999999996</v>
      </c>
    </row>
    <row r="3663" spans="1:2" x14ac:dyDescent="0.3">
      <c r="A3663" s="6" t="s">
        <v>40</v>
      </c>
      <c r="B3663">
        <f>VLOOKUP(A3663,Table1[[Item Purchased]:[Subscription Status]],8,FALSE)</f>
        <v>3.5</v>
      </c>
    </row>
    <row r="3664" spans="1:2" x14ac:dyDescent="0.3">
      <c r="A3664" s="5" t="s">
        <v>58</v>
      </c>
      <c r="B3664">
        <f>VLOOKUP(A3664,Table1[[Item Purchased]:[Subscription Status]],8,FALSE)</f>
        <v>3.2</v>
      </c>
    </row>
    <row r="3665" spans="1:2" x14ac:dyDescent="0.3">
      <c r="A3665" s="6" t="s">
        <v>131</v>
      </c>
      <c r="B3665">
        <f>VLOOKUP(A3665,Table1[[Item Purchased]:[Subscription Status]],8,FALSE)</f>
        <v>4.7</v>
      </c>
    </row>
    <row r="3666" spans="1:2" x14ac:dyDescent="0.3">
      <c r="A3666" s="5" t="s">
        <v>101</v>
      </c>
      <c r="B3666">
        <f>VLOOKUP(A3666,Table1[[Item Purchased]:[Subscription Status]],8,FALSE)</f>
        <v>2.9</v>
      </c>
    </row>
    <row r="3667" spans="1:2" x14ac:dyDescent="0.3">
      <c r="A3667" s="6" t="s">
        <v>124</v>
      </c>
      <c r="B3667">
        <f>VLOOKUP(A3667,Table1[[Item Purchased]:[Subscription Status]],8,FALSE)</f>
        <v>2.9</v>
      </c>
    </row>
    <row r="3668" spans="1:2" x14ac:dyDescent="0.3">
      <c r="A3668" s="5" t="s">
        <v>105</v>
      </c>
      <c r="B3668">
        <f>VLOOKUP(A3668,Table1[[Item Purchased]:[Subscription Status]],8,FALSE)</f>
        <v>3.6</v>
      </c>
    </row>
    <row r="3669" spans="1:2" x14ac:dyDescent="0.3">
      <c r="A3669" s="6" t="s">
        <v>94</v>
      </c>
      <c r="B3669">
        <f>VLOOKUP(A3669,Table1[[Item Purchased]:[Subscription Status]],8,FALSE)</f>
        <v>3.3</v>
      </c>
    </row>
    <row r="3670" spans="1:2" x14ac:dyDescent="0.3">
      <c r="A3670" s="5" t="s">
        <v>19</v>
      </c>
      <c r="B3670">
        <f>VLOOKUP(A3670,Table1[[Item Purchased]:[Subscription Status]],8,FALSE)</f>
        <v>3.1</v>
      </c>
    </row>
    <row r="3671" spans="1:2" x14ac:dyDescent="0.3">
      <c r="A3671" s="6" t="s">
        <v>124</v>
      </c>
      <c r="B3671">
        <f>VLOOKUP(A3671,Table1[[Item Purchased]:[Subscription Status]],8,FALSE)</f>
        <v>2.9</v>
      </c>
    </row>
    <row r="3672" spans="1:2" x14ac:dyDescent="0.3">
      <c r="A3672" s="5" t="s">
        <v>70</v>
      </c>
      <c r="B3672">
        <f>VLOOKUP(A3672,Table1[[Item Purchased]:[Subscription Status]],8,FALSE)</f>
        <v>4.0999999999999996</v>
      </c>
    </row>
    <row r="3673" spans="1:2" x14ac:dyDescent="0.3">
      <c r="A3673" s="6" t="s">
        <v>65</v>
      </c>
      <c r="B3673">
        <f>VLOOKUP(A3673,Table1[[Item Purchased]:[Subscription Status]],8,FALSE)</f>
        <v>4.8</v>
      </c>
    </row>
    <row r="3674" spans="1:2" x14ac:dyDescent="0.3">
      <c r="A3674" s="5" t="s">
        <v>40</v>
      </c>
      <c r="B3674">
        <f>VLOOKUP(A3674,Table1[[Item Purchased]:[Subscription Status]],8,FALSE)</f>
        <v>3.5</v>
      </c>
    </row>
    <row r="3675" spans="1:2" x14ac:dyDescent="0.3">
      <c r="A3675" s="6" t="s">
        <v>124</v>
      </c>
      <c r="B3675">
        <f>VLOOKUP(A3675,Table1[[Item Purchased]:[Subscription Status]],8,FALSE)</f>
        <v>2.9</v>
      </c>
    </row>
    <row r="3676" spans="1:2" x14ac:dyDescent="0.3">
      <c r="A3676" s="5" t="s">
        <v>65</v>
      </c>
      <c r="B3676">
        <f>VLOOKUP(A3676,Table1[[Item Purchased]:[Subscription Status]],8,FALSE)</f>
        <v>4.8</v>
      </c>
    </row>
    <row r="3677" spans="1:2" x14ac:dyDescent="0.3">
      <c r="A3677" s="6" t="s">
        <v>123</v>
      </c>
      <c r="B3677">
        <f>VLOOKUP(A3677,Table1[[Item Purchased]:[Subscription Status]],8,FALSE)</f>
        <v>4.5999999999999996</v>
      </c>
    </row>
    <row r="3678" spans="1:2" x14ac:dyDescent="0.3">
      <c r="A3678" s="5" t="s">
        <v>105</v>
      </c>
      <c r="B3678">
        <f>VLOOKUP(A3678,Table1[[Item Purchased]:[Subscription Status]],8,FALSE)</f>
        <v>3.6</v>
      </c>
    </row>
    <row r="3679" spans="1:2" x14ac:dyDescent="0.3">
      <c r="A3679" s="6" t="s">
        <v>131</v>
      </c>
      <c r="B3679">
        <f>VLOOKUP(A3679,Table1[[Item Purchased]:[Subscription Status]],8,FALSE)</f>
        <v>4.7</v>
      </c>
    </row>
    <row r="3680" spans="1:2" x14ac:dyDescent="0.3">
      <c r="A3680" s="5" t="s">
        <v>54</v>
      </c>
      <c r="B3680">
        <f>VLOOKUP(A3680,Table1[[Item Purchased]:[Subscription Status]],8,FALSE)</f>
        <v>3.2</v>
      </c>
    </row>
    <row r="3681" spans="1:2" x14ac:dyDescent="0.3">
      <c r="A3681" s="6" t="s">
        <v>61</v>
      </c>
      <c r="B3681">
        <f>VLOOKUP(A3681,Table1[[Item Purchased]:[Subscription Status]],8,FALSE)</f>
        <v>2.6</v>
      </c>
    </row>
    <row r="3682" spans="1:2" x14ac:dyDescent="0.3">
      <c r="A3682" s="5" t="s">
        <v>88</v>
      </c>
      <c r="B3682">
        <f>VLOOKUP(A3682,Table1[[Item Purchased]:[Subscription Status]],8,FALSE)</f>
        <v>4.0999999999999996</v>
      </c>
    </row>
    <row r="3683" spans="1:2" x14ac:dyDescent="0.3">
      <c r="A3683" s="6" t="s">
        <v>142</v>
      </c>
      <c r="B3683">
        <f>VLOOKUP(A3683,Table1[[Item Purchased]:[Subscription Status]],8,FALSE)</f>
        <v>4.5</v>
      </c>
    </row>
    <row r="3684" spans="1:2" x14ac:dyDescent="0.3">
      <c r="A3684" s="5" t="s">
        <v>54</v>
      </c>
      <c r="B3684">
        <f>VLOOKUP(A3684,Table1[[Item Purchased]:[Subscription Status]],8,FALSE)</f>
        <v>3.2</v>
      </c>
    </row>
    <row r="3685" spans="1:2" x14ac:dyDescent="0.3">
      <c r="A3685" s="6" t="s">
        <v>124</v>
      </c>
      <c r="B3685">
        <f>VLOOKUP(A3685,Table1[[Item Purchased]:[Subscription Status]],8,FALSE)</f>
        <v>2.9</v>
      </c>
    </row>
    <row r="3686" spans="1:2" x14ac:dyDescent="0.3">
      <c r="A3686" s="5" t="s">
        <v>86</v>
      </c>
      <c r="B3686">
        <f>VLOOKUP(A3686,Table1[[Item Purchased]:[Subscription Status]],8,FALSE)</f>
        <v>2.8</v>
      </c>
    </row>
    <row r="3687" spans="1:2" x14ac:dyDescent="0.3">
      <c r="A3687" s="6" t="s">
        <v>58</v>
      </c>
      <c r="B3687">
        <f>VLOOKUP(A3687,Table1[[Item Purchased]:[Subscription Status]],8,FALSE)</f>
        <v>3.2</v>
      </c>
    </row>
    <row r="3688" spans="1:2" x14ac:dyDescent="0.3">
      <c r="A3688" s="5" t="s">
        <v>40</v>
      </c>
      <c r="B3688">
        <f>VLOOKUP(A3688,Table1[[Item Purchased]:[Subscription Status]],8,FALSE)</f>
        <v>3.5</v>
      </c>
    </row>
    <row r="3689" spans="1:2" x14ac:dyDescent="0.3">
      <c r="A3689" s="6" t="s">
        <v>54</v>
      </c>
      <c r="B3689">
        <f>VLOOKUP(A3689,Table1[[Item Purchased]:[Subscription Status]],8,FALSE)</f>
        <v>3.2</v>
      </c>
    </row>
    <row r="3690" spans="1:2" x14ac:dyDescent="0.3">
      <c r="A3690" s="5" t="s">
        <v>88</v>
      </c>
      <c r="B3690">
        <f>VLOOKUP(A3690,Table1[[Item Purchased]:[Subscription Status]],8,FALSE)</f>
        <v>4.0999999999999996</v>
      </c>
    </row>
    <row r="3691" spans="1:2" x14ac:dyDescent="0.3">
      <c r="A3691" s="6" t="s">
        <v>105</v>
      </c>
      <c r="B3691">
        <f>VLOOKUP(A3691,Table1[[Item Purchased]:[Subscription Status]],8,FALSE)</f>
        <v>3.6</v>
      </c>
    </row>
    <row r="3692" spans="1:2" x14ac:dyDescent="0.3">
      <c r="A3692" s="5" t="s">
        <v>19</v>
      </c>
      <c r="B3692">
        <f>VLOOKUP(A3692,Table1[[Item Purchased]:[Subscription Status]],8,FALSE)</f>
        <v>3.1</v>
      </c>
    </row>
    <row r="3693" spans="1:2" x14ac:dyDescent="0.3">
      <c r="A3693" s="6" t="s">
        <v>40</v>
      </c>
      <c r="B3693">
        <f>VLOOKUP(A3693,Table1[[Item Purchased]:[Subscription Status]],8,FALSE)</f>
        <v>3.5</v>
      </c>
    </row>
    <row r="3694" spans="1:2" x14ac:dyDescent="0.3">
      <c r="A3694" s="5" t="s">
        <v>61</v>
      </c>
      <c r="B3694">
        <f>VLOOKUP(A3694,Table1[[Item Purchased]:[Subscription Status]],8,FALSE)</f>
        <v>2.6</v>
      </c>
    </row>
    <row r="3695" spans="1:2" x14ac:dyDescent="0.3">
      <c r="A3695" s="6" t="s">
        <v>19</v>
      </c>
      <c r="B3695">
        <f>VLOOKUP(A3695,Table1[[Item Purchased]:[Subscription Status]],8,FALSE)</f>
        <v>3.1</v>
      </c>
    </row>
    <row r="3696" spans="1:2" x14ac:dyDescent="0.3">
      <c r="A3696" s="5" t="s">
        <v>29</v>
      </c>
      <c r="B3696">
        <f>VLOOKUP(A3696,Table1[[Item Purchased]:[Subscription Status]],8,FALSE)</f>
        <v>3.1</v>
      </c>
    </row>
    <row r="3697" spans="1:2" x14ac:dyDescent="0.3">
      <c r="A3697" s="6" t="s">
        <v>86</v>
      </c>
      <c r="B3697">
        <f>VLOOKUP(A3697,Table1[[Item Purchased]:[Subscription Status]],8,FALSE)</f>
        <v>2.8</v>
      </c>
    </row>
    <row r="3698" spans="1:2" x14ac:dyDescent="0.3">
      <c r="A3698" s="5" t="s">
        <v>19</v>
      </c>
      <c r="B3698">
        <f>VLOOKUP(A3698,Table1[[Item Purchased]:[Subscription Status]],8,FALSE)</f>
        <v>3.1</v>
      </c>
    </row>
    <row r="3699" spans="1:2" x14ac:dyDescent="0.3">
      <c r="A3699" s="6" t="s">
        <v>103</v>
      </c>
      <c r="B3699">
        <f>VLOOKUP(A3699,Table1[[Item Purchased]:[Subscription Status]],8,FALSE)</f>
        <v>3.6</v>
      </c>
    </row>
    <row r="3700" spans="1:2" x14ac:dyDescent="0.3">
      <c r="A3700" s="5" t="s">
        <v>86</v>
      </c>
      <c r="B3700">
        <f>VLOOKUP(A3700,Table1[[Item Purchased]:[Subscription Status]],8,FALSE)</f>
        <v>2.8</v>
      </c>
    </row>
    <row r="3701" spans="1:2" x14ac:dyDescent="0.3">
      <c r="A3701" s="6" t="s">
        <v>131</v>
      </c>
      <c r="B3701">
        <f>VLOOKUP(A3701,Table1[[Item Purchased]:[Subscription Status]],8,FALSE)</f>
        <v>4.7</v>
      </c>
    </row>
    <row r="3702" spans="1:2" x14ac:dyDescent="0.3">
      <c r="A3702" s="5" t="s">
        <v>65</v>
      </c>
      <c r="B3702">
        <f>VLOOKUP(A3702,Table1[[Item Purchased]:[Subscription Status]],8,FALSE)</f>
        <v>4.8</v>
      </c>
    </row>
    <row r="3703" spans="1:2" x14ac:dyDescent="0.3">
      <c r="A3703" s="6" t="s">
        <v>40</v>
      </c>
      <c r="B3703">
        <f>VLOOKUP(A3703,Table1[[Item Purchased]:[Subscription Status]],8,FALSE)</f>
        <v>3.5</v>
      </c>
    </row>
    <row r="3704" spans="1:2" x14ac:dyDescent="0.3">
      <c r="A3704" s="5" t="s">
        <v>70</v>
      </c>
      <c r="B3704">
        <f>VLOOKUP(A3704,Table1[[Item Purchased]:[Subscription Status]],8,FALSE)</f>
        <v>4.0999999999999996</v>
      </c>
    </row>
    <row r="3705" spans="1:2" x14ac:dyDescent="0.3">
      <c r="A3705" s="6" t="s">
        <v>40</v>
      </c>
      <c r="B3705">
        <f>VLOOKUP(A3705,Table1[[Item Purchased]:[Subscription Status]],8,FALSE)</f>
        <v>3.5</v>
      </c>
    </row>
    <row r="3706" spans="1:2" x14ac:dyDescent="0.3">
      <c r="A3706" s="5" t="s">
        <v>88</v>
      </c>
      <c r="B3706">
        <f>VLOOKUP(A3706,Table1[[Item Purchased]:[Subscription Status]],8,FALSE)</f>
        <v>4.0999999999999996</v>
      </c>
    </row>
    <row r="3707" spans="1:2" x14ac:dyDescent="0.3">
      <c r="A3707" s="6" t="s">
        <v>86</v>
      </c>
      <c r="B3707">
        <f>VLOOKUP(A3707,Table1[[Item Purchased]:[Subscription Status]],8,FALSE)</f>
        <v>2.8</v>
      </c>
    </row>
    <row r="3708" spans="1:2" x14ac:dyDescent="0.3">
      <c r="A3708" s="5" t="s">
        <v>40</v>
      </c>
      <c r="B3708">
        <f>VLOOKUP(A3708,Table1[[Item Purchased]:[Subscription Status]],8,FALSE)</f>
        <v>3.5</v>
      </c>
    </row>
    <row r="3709" spans="1:2" x14ac:dyDescent="0.3">
      <c r="A3709" s="6" t="s">
        <v>142</v>
      </c>
      <c r="B3709">
        <f>VLOOKUP(A3709,Table1[[Item Purchased]:[Subscription Status]],8,FALSE)</f>
        <v>4.5</v>
      </c>
    </row>
    <row r="3710" spans="1:2" x14ac:dyDescent="0.3">
      <c r="A3710" s="5" t="s">
        <v>103</v>
      </c>
      <c r="B3710">
        <f>VLOOKUP(A3710,Table1[[Item Purchased]:[Subscription Status]],8,FALSE)</f>
        <v>3.6</v>
      </c>
    </row>
    <row r="3711" spans="1:2" x14ac:dyDescent="0.3">
      <c r="A3711" s="6" t="s">
        <v>124</v>
      </c>
      <c r="B3711">
        <f>VLOOKUP(A3711,Table1[[Item Purchased]:[Subscription Status]],8,FALSE)</f>
        <v>2.9</v>
      </c>
    </row>
    <row r="3712" spans="1:2" x14ac:dyDescent="0.3">
      <c r="A3712" s="5" t="s">
        <v>105</v>
      </c>
      <c r="B3712">
        <f>VLOOKUP(A3712,Table1[[Item Purchased]:[Subscription Status]],8,FALSE)</f>
        <v>3.6</v>
      </c>
    </row>
    <row r="3713" spans="1:2" x14ac:dyDescent="0.3">
      <c r="A3713" s="6" t="s">
        <v>123</v>
      </c>
      <c r="B3713">
        <f>VLOOKUP(A3713,Table1[[Item Purchased]:[Subscription Status]],8,FALSE)</f>
        <v>4.5999999999999996</v>
      </c>
    </row>
    <row r="3714" spans="1:2" x14ac:dyDescent="0.3">
      <c r="A3714" s="5" t="s">
        <v>19</v>
      </c>
      <c r="B3714">
        <f>VLOOKUP(A3714,Table1[[Item Purchased]:[Subscription Status]],8,FALSE)</f>
        <v>3.1</v>
      </c>
    </row>
    <row r="3715" spans="1:2" x14ac:dyDescent="0.3">
      <c r="A3715" s="6" t="s">
        <v>70</v>
      </c>
      <c r="B3715">
        <f>VLOOKUP(A3715,Table1[[Item Purchased]:[Subscription Status]],8,FALSE)</f>
        <v>4.0999999999999996</v>
      </c>
    </row>
    <row r="3716" spans="1:2" x14ac:dyDescent="0.3">
      <c r="A3716" s="5" t="s">
        <v>123</v>
      </c>
      <c r="B3716">
        <f>VLOOKUP(A3716,Table1[[Item Purchased]:[Subscription Status]],8,FALSE)</f>
        <v>4.5999999999999996</v>
      </c>
    </row>
    <row r="3717" spans="1:2" x14ac:dyDescent="0.3">
      <c r="A3717" s="6" t="s">
        <v>88</v>
      </c>
      <c r="B3717">
        <f>VLOOKUP(A3717,Table1[[Item Purchased]:[Subscription Status]],8,FALSE)</f>
        <v>4.0999999999999996</v>
      </c>
    </row>
    <row r="3718" spans="1:2" x14ac:dyDescent="0.3">
      <c r="A3718" s="5" t="s">
        <v>54</v>
      </c>
      <c r="B3718">
        <f>VLOOKUP(A3718,Table1[[Item Purchased]:[Subscription Status]],8,FALSE)</f>
        <v>3.2</v>
      </c>
    </row>
    <row r="3719" spans="1:2" x14ac:dyDescent="0.3">
      <c r="A3719" s="6" t="s">
        <v>112</v>
      </c>
      <c r="B3719">
        <f>VLOOKUP(A3719,Table1[[Item Purchased]:[Subscription Status]],8,FALSE)</f>
        <v>4.5999999999999996</v>
      </c>
    </row>
    <row r="3720" spans="1:2" x14ac:dyDescent="0.3">
      <c r="A3720" s="5" t="s">
        <v>94</v>
      </c>
      <c r="B3720">
        <f>VLOOKUP(A3720,Table1[[Item Purchased]:[Subscription Status]],8,FALSE)</f>
        <v>3.3</v>
      </c>
    </row>
    <row r="3721" spans="1:2" x14ac:dyDescent="0.3">
      <c r="A3721" s="6" t="s">
        <v>94</v>
      </c>
      <c r="B3721">
        <f>VLOOKUP(A3721,Table1[[Item Purchased]:[Subscription Status]],8,FALSE)</f>
        <v>3.3</v>
      </c>
    </row>
    <row r="3722" spans="1:2" x14ac:dyDescent="0.3">
      <c r="A3722" s="5" t="s">
        <v>123</v>
      </c>
      <c r="B3722">
        <f>VLOOKUP(A3722,Table1[[Item Purchased]:[Subscription Status]],8,FALSE)</f>
        <v>4.5999999999999996</v>
      </c>
    </row>
    <row r="3723" spans="1:2" x14ac:dyDescent="0.3">
      <c r="A3723" s="6" t="s">
        <v>61</v>
      </c>
      <c r="B3723">
        <f>VLOOKUP(A3723,Table1[[Item Purchased]:[Subscription Status]],8,FALSE)</f>
        <v>2.6</v>
      </c>
    </row>
    <row r="3724" spans="1:2" x14ac:dyDescent="0.3">
      <c r="A3724" s="5" t="s">
        <v>101</v>
      </c>
      <c r="B3724">
        <f>VLOOKUP(A3724,Table1[[Item Purchased]:[Subscription Status]],8,FALSE)</f>
        <v>2.9</v>
      </c>
    </row>
    <row r="3725" spans="1:2" x14ac:dyDescent="0.3">
      <c r="A3725" s="6" t="s">
        <v>40</v>
      </c>
      <c r="B3725">
        <f>VLOOKUP(A3725,Table1[[Item Purchased]:[Subscription Status]],8,FALSE)</f>
        <v>3.5</v>
      </c>
    </row>
    <row r="3726" spans="1:2" x14ac:dyDescent="0.3">
      <c r="A3726" s="5" t="s">
        <v>142</v>
      </c>
      <c r="B3726">
        <f>VLOOKUP(A3726,Table1[[Item Purchased]:[Subscription Status]],8,FALSE)</f>
        <v>4.5</v>
      </c>
    </row>
    <row r="3727" spans="1:2" x14ac:dyDescent="0.3">
      <c r="A3727" s="6" t="s">
        <v>80</v>
      </c>
      <c r="B3727">
        <f>VLOOKUP(A3727,Table1[[Item Purchased]:[Subscription Status]],8,FALSE)</f>
        <v>4.7</v>
      </c>
    </row>
    <row r="3728" spans="1:2" x14ac:dyDescent="0.3">
      <c r="A3728" s="5" t="s">
        <v>132</v>
      </c>
      <c r="B3728">
        <f>VLOOKUP(A3728,Table1[[Item Purchased]:[Subscription Status]],8,FALSE)</f>
        <v>4.5999999999999996</v>
      </c>
    </row>
    <row r="3729" spans="1:2" x14ac:dyDescent="0.3">
      <c r="A3729" s="6" t="s">
        <v>124</v>
      </c>
      <c r="B3729">
        <f>VLOOKUP(A3729,Table1[[Item Purchased]:[Subscription Status]],8,FALSE)</f>
        <v>2.9</v>
      </c>
    </row>
    <row r="3730" spans="1:2" x14ac:dyDescent="0.3">
      <c r="A3730" s="5" t="s">
        <v>101</v>
      </c>
      <c r="B3730">
        <f>VLOOKUP(A3730,Table1[[Item Purchased]:[Subscription Status]],8,FALSE)</f>
        <v>2.9</v>
      </c>
    </row>
    <row r="3731" spans="1:2" x14ac:dyDescent="0.3">
      <c r="A3731" s="6" t="s">
        <v>136</v>
      </c>
      <c r="B3731">
        <f>VLOOKUP(A3731,Table1[[Item Purchased]:[Subscription Status]],8,FALSE)</f>
        <v>4.8</v>
      </c>
    </row>
    <row r="3732" spans="1:2" x14ac:dyDescent="0.3">
      <c r="A3732" s="5" t="s">
        <v>54</v>
      </c>
      <c r="B3732">
        <f>VLOOKUP(A3732,Table1[[Item Purchased]:[Subscription Status]],8,FALSE)</f>
        <v>3.2</v>
      </c>
    </row>
    <row r="3733" spans="1:2" x14ac:dyDescent="0.3">
      <c r="A3733" s="6" t="s">
        <v>123</v>
      </c>
      <c r="B3733">
        <f>VLOOKUP(A3733,Table1[[Item Purchased]:[Subscription Status]],8,FALSE)</f>
        <v>4.5999999999999996</v>
      </c>
    </row>
    <row r="3734" spans="1:2" x14ac:dyDescent="0.3">
      <c r="A3734" s="5" t="s">
        <v>70</v>
      </c>
      <c r="B3734">
        <f>VLOOKUP(A3734,Table1[[Item Purchased]:[Subscription Status]],8,FALSE)</f>
        <v>4.0999999999999996</v>
      </c>
    </row>
    <row r="3735" spans="1:2" x14ac:dyDescent="0.3">
      <c r="A3735" s="6" t="s">
        <v>124</v>
      </c>
      <c r="B3735">
        <f>VLOOKUP(A3735,Table1[[Item Purchased]:[Subscription Status]],8,FALSE)</f>
        <v>2.9</v>
      </c>
    </row>
    <row r="3736" spans="1:2" x14ac:dyDescent="0.3">
      <c r="A3736" s="5" t="s">
        <v>103</v>
      </c>
      <c r="B3736">
        <f>VLOOKUP(A3736,Table1[[Item Purchased]:[Subscription Status]],8,FALSE)</f>
        <v>3.6</v>
      </c>
    </row>
    <row r="3737" spans="1:2" x14ac:dyDescent="0.3">
      <c r="A3737" s="6" t="s">
        <v>40</v>
      </c>
      <c r="B3737">
        <f>VLOOKUP(A3737,Table1[[Item Purchased]:[Subscription Status]],8,FALSE)</f>
        <v>3.5</v>
      </c>
    </row>
    <row r="3738" spans="1:2" x14ac:dyDescent="0.3">
      <c r="A3738" s="5" t="s">
        <v>33</v>
      </c>
      <c r="B3738">
        <f>VLOOKUP(A3738,Table1[[Item Purchased]:[Subscription Status]],8,FALSE)</f>
        <v>3.1</v>
      </c>
    </row>
    <row r="3739" spans="1:2" x14ac:dyDescent="0.3">
      <c r="A3739" s="6" t="s">
        <v>105</v>
      </c>
      <c r="B3739">
        <f>VLOOKUP(A3739,Table1[[Item Purchased]:[Subscription Status]],8,FALSE)</f>
        <v>3.6</v>
      </c>
    </row>
    <row r="3740" spans="1:2" x14ac:dyDescent="0.3">
      <c r="A3740" s="5" t="s">
        <v>58</v>
      </c>
      <c r="B3740">
        <f>VLOOKUP(A3740,Table1[[Item Purchased]:[Subscription Status]],8,FALSE)</f>
        <v>3.2</v>
      </c>
    </row>
    <row r="3741" spans="1:2" x14ac:dyDescent="0.3">
      <c r="A3741" s="6" t="s">
        <v>88</v>
      </c>
      <c r="B3741">
        <f>VLOOKUP(A3741,Table1[[Item Purchased]:[Subscription Status]],8,FALSE)</f>
        <v>4.0999999999999996</v>
      </c>
    </row>
    <row r="3742" spans="1:2" x14ac:dyDescent="0.3">
      <c r="A3742" s="5" t="s">
        <v>94</v>
      </c>
      <c r="B3742">
        <f>VLOOKUP(A3742,Table1[[Item Purchased]:[Subscription Status]],8,FALSE)</f>
        <v>3.3</v>
      </c>
    </row>
    <row r="3743" spans="1:2" x14ac:dyDescent="0.3">
      <c r="A3743" s="6" t="s">
        <v>54</v>
      </c>
      <c r="B3743">
        <f>VLOOKUP(A3743,Table1[[Item Purchased]:[Subscription Status]],8,FALSE)</f>
        <v>3.2</v>
      </c>
    </row>
    <row r="3744" spans="1:2" x14ac:dyDescent="0.3">
      <c r="A3744" s="5" t="s">
        <v>54</v>
      </c>
      <c r="B3744">
        <f>VLOOKUP(A3744,Table1[[Item Purchased]:[Subscription Status]],8,FALSE)</f>
        <v>3.2</v>
      </c>
    </row>
    <row r="3745" spans="1:2" x14ac:dyDescent="0.3">
      <c r="A3745" s="6" t="s">
        <v>94</v>
      </c>
      <c r="B3745">
        <f>VLOOKUP(A3745,Table1[[Item Purchased]:[Subscription Status]],8,FALSE)</f>
        <v>3.3</v>
      </c>
    </row>
    <row r="3746" spans="1:2" x14ac:dyDescent="0.3">
      <c r="A3746" s="5" t="s">
        <v>103</v>
      </c>
      <c r="B3746">
        <f>VLOOKUP(A3746,Table1[[Item Purchased]:[Subscription Status]],8,FALSE)</f>
        <v>3.6</v>
      </c>
    </row>
    <row r="3747" spans="1:2" x14ac:dyDescent="0.3">
      <c r="A3747" s="6" t="s">
        <v>124</v>
      </c>
      <c r="B3747">
        <f>VLOOKUP(A3747,Table1[[Item Purchased]:[Subscription Status]],8,FALSE)</f>
        <v>2.9</v>
      </c>
    </row>
    <row r="3748" spans="1:2" x14ac:dyDescent="0.3">
      <c r="A3748" s="5" t="s">
        <v>61</v>
      </c>
      <c r="B3748">
        <f>VLOOKUP(A3748,Table1[[Item Purchased]:[Subscription Status]],8,FALSE)</f>
        <v>2.6</v>
      </c>
    </row>
    <row r="3749" spans="1:2" x14ac:dyDescent="0.3">
      <c r="A3749" s="6" t="s">
        <v>29</v>
      </c>
      <c r="B3749">
        <f>VLOOKUP(A3749,Table1[[Item Purchased]:[Subscription Status]],8,FALSE)</f>
        <v>3.1</v>
      </c>
    </row>
    <row r="3750" spans="1:2" x14ac:dyDescent="0.3">
      <c r="A3750" s="5" t="s">
        <v>131</v>
      </c>
      <c r="B3750">
        <f>VLOOKUP(A3750,Table1[[Item Purchased]:[Subscription Status]],8,FALSE)</f>
        <v>4.7</v>
      </c>
    </row>
    <row r="3751" spans="1:2" x14ac:dyDescent="0.3">
      <c r="A3751" s="6" t="s">
        <v>19</v>
      </c>
      <c r="B3751">
        <f>VLOOKUP(A3751,Table1[[Item Purchased]:[Subscription Status]],8,FALSE)</f>
        <v>3.1</v>
      </c>
    </row>
    <row r="3752" spans="1:2" x14ac:dyDescent="0.3">
      <c r="A3752" s="5" t="s">
        <v>103</v>
      </c>
      <c r="B3752">
        <f>VLOOKUP(A3752,Table1[[Item Purchased]:[Subscription Status]],8,FALSE)</f>
        <v>3.6</v>
      </c>
    </row>
    <row r="3753" spans="1:2" x14ac:dyDescent="0.3">
      <c r="A3753" s="6" t="s">
        <v>105</v>
      </c>
      <c r="B3753">
        <f>VLOOKUP(A3753,Table1[[Item Purchased]:[Subscription Status]],8,FALSE)</f>
        <v>3.6</v>
      </c>
    </row>
    <row r="3754" spans="1:2" x14ac:dyDescent="0.3">
      <c r="A3754" s="5" t="s">
        <v>61</v>
      </c>
      <c r="B3754">
        <f>VLOOKUP(A3754,Table1[[Item Purchased]:[Subscription Status]],8,FALSE)</f>
        <v>2.6</v>
      </c>
    </row>
    <row r="3755" spans="1:2" x14ac:dyDescent="0.3">
      <c r="A3755" s="6" t="s">
        <v>88</v>
      </c>
      <c r="B3755">
        <f>VLOOKUP(A3755,Table1[[Item Purchased]:[Subscription Status]],8,FALSE)</f>
        <v>4.0999999999999996</v>
      </c>
    </row>
    <row r="3756" spans="1:2" x14ac:dyDescent="0.3">
      <c r="A3756" s="5" t="s">
        <v>70</v>
      </c>
      <c r="B3756">
        <f>VLOOKUP(A3756,Table1[[Item Purchased]:[Subscription Status]],8,FALSE)</f>
        <v>4.0999999999999996</v>
      </c>
    </row>
    <row r="3757" spans="1:2" x14ac:dyDescent="0.3">
      <c r="A3757" s="6" t="s">
        <v>86</v>
      </c>
      <c r="B3757">
        <f>VLOOKUP(A3757,Table1[[Item Purchased]:[Subscription Status]],8,FALSE)</f>
        <v>2.8</v>
      </c>
    </row>
    <row r="3758" spans="1:2" x14ac:dyDescent="0.3">
      <c r="A3758" s="5" t="s">
        <v>86</v>
      </c>
      <c r="B3758">
        <f>VLOOKUP(A3758,Table1[[Item Purchased]:[Subscription Status]],8,FALSE)</f>
        <v>2.8</v>
      </c>
    </row>
    <row r="3759" spans="1:2" x14ac:dyDescent="0.3">
      <c r="A3759" s="6" t="s">
        <v>86</v>
      </c>
      <c r="B3759">
        <f>VLOOKUP(A3759,Table1[[Item Purchased]:[Subscription Status]],8,FALSE)</f>
        <v>2.8</v>
      </c>
    </row>
    <row r="3760" spans="1:2" x14ac:dyDescent="0.3">
      <c r="A3760" s="5" t="s">
        <v>40</v>
      </c>
      <c r="B3760">
        <f>VLOOKUP(A3760,Table1[[Item Purchased]:[Subscription Status]],8,FALSE)</f>
        <v>3.5</v>
      </c>
    </row>
    <row r="3761" spans="1:2" x14ac:dyDescent="0.3">
      <c r="A3761" s="6" t="s">
        <v>49</v>
      </c>
      <c r="B3761">
        <f>VLOOKUP(A3761,Table1[[Item Purchased]:[Subscription Status]],8,FALSE)</f>
        <v>2.9</v>
      </c>
    </row>
    <row r="3762" spans="1:2" x14ac:dyDescent="0.3">
      <c r="A3762" s="5" t="s">
        <v>124</v>
      </c>
      <c r="B3762">
        <f>VLOOKUP(A3762,Table1[[Item Purchased]:[Subscription Status]],8,FALSE)</f>
        <v>2.9</v>
      </c>
    </row>
    <row r="3763" spans="1:2" x14ac:dyDescent="0.3">
      <c r="A3763" s="6" t="s">
        <v>131</v>
      </c>
      <c r="B3763">
        <f>VLOOKUP(A3763,Table1[[Item Purchased]:[Subscription Status]],8,FALSE)</f>
        <v>4.7</v>
      </c>
    </row>
    <row r="3764" spans="1:2" x14ac:dyDescent="0.3">
      <c r="A3764" s="5" t="s">
        <v>58</v>
      </c>
      <c r="B3764">
        <f>VLOOKUP(A3764,Table1[[Item Purchased]:[Subscription Status]],8,FALSE)</f>
        <v>3.2</v>
      </c>
    </row>
    <row r="3765" spans="1:2" x14ac:dyDescent="0.3">
      <c r="A3765" s="6" t="s">
        <v>54</v>
      </c>
      <c r="B3765">
        <f>VLOOKUP(A3765,Table1[[Item Purchased]:[Subscription Status]],8,FALSE)</f>
        <v>3.2</v>
      </c>
    </row>
    <row r="3766" spans="1:2" x14ac:dyDescent="0.3">
      <c r="A3766" s="5" t="s">
        <v>124</v>
      </c>
      <c r="B3766">
        <f>VLOOKUP(A3766,Table1[[Item Purchased]:[Subscription Status]],8,FALSE)</f>
        <v>2.9</v>
      </c>
    </row>
    <row r="3767" spans="1:2" x14ac:dyDescent="0.3">
      <c r="A3767" s="6" t="s">
        <v>105</v>
      </c>
      <c r="B3767">
        <f>VLOOKUP(A3767,Table1[[Item Purchased]:[Subscription Status]],8,FALSE)</f>
        <v>3.6</v>
      </c>
    </row>
    <row r="3768" spans="1:2" x14ac:dyDescent="0.3">
      <c r="A3768" s="5" t="s">
        <v>65</v>
      </c>
      <c r="B3768">
        <f>VLOOKUP(A3768,Table1[[Item Purchased]:[Subscription Status]],8,FALSE)</f>
        <v>4.8</v>
      </c>
    </row>
    <row r="3769" spans="1:2" x14ac:dyDescent="0.3">
      <c r="A3769" s="6" t="s">
        <v>58</v>
      </c>
      <c r="B3769">
        <f>VLOOKUP(A3769,Table1[[Item Purchased]:[Subscription Status]],8,FALSE)</f>
        <v>3.2</v>
      </c>
    </row>
    <row r="3770" spans="1:2" x14ac:dyDescent="0.3">
      <c r="A3770" s="5" t="s">
        <v>29</v>
      </c>
      <c r="B3770">
        <f>VLOOKUP(A3770,Table1[[Item Purchased]:[Subscription Status]],8,FALSE)</f>
        <v>3.1</v>
      </c>
    </row>
    <row r="3771" spans="1:2" x14ac:dyDescent="0.3">
      <c r="A3771" s="6" t="s">
        <v>142</v>
      </c>
      <c r="B3771">
        <f>VLOOKUP(A3771,Table1[[Item Purchased]:[Subscription Status]],8,FALSE)</f>
        <v>4.5</v>
      </c>
    </row>
    <row r="3772" spans="1:2" x14ac:dyDescent="0.3">
      <c r="A3772" s="5" t="s">
        <v>94</v>
      </c>
      <c r="B3772">
        <f>VLOOKUP(A3772,Table1[[Item Purchased]:[Subscription Status]],8,FALSE)</f>
        <v>3.3</v>
      </c>
    </row>
    <row r="3773" spans="1:2" x14ac:dyDescent="0.3">
      <c r="A3773" s="6" t="s">
        <v>112</v>
      </c>
      <c r="B3773">
        <f>VLOOKUP(A3773,Table1[[Item Purchased]:[Subscription Status]],8,FALSE)</f>
        <v>4.5999999999999996</v>
      </c>
    </row>
    <row r="3774" spans="1:2" x14ac:dyDescent="0.3">
      <c r="A3774" s="5" t="s">
        <v>94</v>
      </c>
      <c r="B3774">
        <f>VLOOKUP(A3774,Table1[[Item Purchased]:[Subscription Status]],8,FALSE)</f>
        <v>3.3</v>
      </c>
    </row>
    <row r="3775" spans="1:2" x14ac:dyDescent="0.3">
      <c r="A3775" s="6" t="s">
        <v>29</v>
      </c>
      <c r="B3775">
        <f>VLOOKUP(A3775,Table1[[Item Purchased]:[Subscription Status]],8,FALSE)</f>
        <v>3.1</v>
      </c>
    </row>
    <row r="3776" spans="1:2" x14ac:dyDescent="0.3">
      <c r="A3776" s="5" t="s">
        <v>142</v>
      </c>
      <c r="B3776">
        <f>VLOOKUP(A3776,Table1[[Item Purchased]:[Subscription Status]],8,FALSE)</f>
        <v>4.5</v>
      </c>
    </row>
    <row r="3777" spans="1:2" x14ac:dyDescent="0.3">
      <c r="A3777" s="6" t="s">
        <v>132</v>
      </c>
      <c r="B3777">
        <f>VLOOKUP(A3777,Table1[[Item Purchased]:[Subscription Status]],8,FALSE)</f>
        <v>4.5999999999999996</v>
      </c>
    </row>
    <row r="3778" spans="1:2" x14ac:dyDescent="0.3">
      <c r="A3778" s="5" t="s">
        <v>49</v>
      </c>
      <c r="B3778">
        <f>VLOOKUP(A3778,Table1[[Item Purchased]:[Subscription Status]],8,FALSE)</f>
        <v>2.9</v>
      </c>
    </row>
    <row r="3779" spans="1:2" x14ac:dyDescent="0.3">
      <c r="A3779" s="6" t="s">
        <v>58</v>
      </c>
      <c r="B3779">
        <f>VLOOKUP(A3779,Table1[[Item Purchased]:[Subscription Status]],8,FALSE)</f>
        <v>3.2</v>
      </c>
    </row>
    <row r="3780" spans="1:2" x14ac:dyDescent="0.3">
      <c r="A3780" s="5" t="s">
        <v>49</v>
      </c>
      <c r="B3780">
        <f>VLOOKUP(A3780,Table1[[Item Purchased]:[Subscription Status]],8,FALSE)</f>
        <v>2.9</v>
      </c>
    </row>
    <row r="3781" spans="1:2" x14ac:dyDescent="0.3">
      <c r="A3781" s="6" t="s">
        <v>33</v>
      </c>
      <c r="B3781">
        <f>VLOOKUP(A3781,Table1[[Item Purchased]:[Subscription Status]],8,FALSE)</f>
        <v>3.1</v>
      </c>
    </row>
    <row r="3782" spans="1:2" x14ac:dyDescent="0.3">
      <c r="A3782" s="5" t="s">
        <v>49</v>
      </c>
      <c r="B3782">
        <f>VLOOKUP(A3782,Table1[[Item Purchased]:[Subscription Status]],8,FALSE)</f>
        <v>2.9</v>
      </c>
    </row>
    <row r="3783" spans="1:2" x14ac:dyDescent="0.3">
      <c r="A3783" s="6" t="s">
        <v>136</v>
      </c>
      <c r="B3783">
        <f>VLOOKUP(A3783,Table1[[Item Purchased]:[Subscription Status]],8,FALSE)</f>
        <v>4.8</v>
      </c>
    </row>
    <row r="3784" spans="1:2" x14ac:dyDescent="0.3">
      <c r="A3784" s="5" t="s">
        <v>101</v>
      </c>
      <c r="B3784">
        <f>VLOOKUP(A3784,Table1[[Item Purchased]:[Subscription Status]],8,FALSE)</f>
        <v>2.9</v>
      </c>
    </row>
    <row r="3785" spans="1:2" x14ac:dyDescent="0.3">
      <c r="A3785" s="6" t="s">
        <v>142</v>
      </c>
      <c r="B3785">
        <f>VLOOKUP(A3785,Table1[[Item Purchased]:[Subscription Status]],8,FALSE)</f>
        <v>4.5</v>
      </c>
    </row>
    <row r="3786" spans="1:2" x14ac:dyDescent="0.3">
      <c r="A3786" s="5" t="s">
        <v>124</v>
      </c>
      <c r="B3786">
        <f>VLOOKUP(A3786,Table1[[Item Purchased]:[Subscription Status]],8,FALSE)</f>
        <v>2.9</v>
      </c>
    </row>
    <row r="3787" spans="1:2" x14ac:dyDescent="0.3">
      <c r="A3787" s="6" t="s">
        <v>33</v>
      </c>
      <c r="B3787">
        <f>VLOOKUP(A3787,Table1[[Item Purchased]:[Subscription Status]],8,FALSE)</f>
        <v>3.1</v>
      </c>
    </row>
    <row r="3788" spans="1:2" x14ac:dyDescent="0.3">
      <c r="A3788" s="5" t="s">
        <v>136</v>
      </c>
      <c r="B3788">
        <f>VLOOKUP(A3788,Table1[[Item Purchased]:[Subscription Status]],8,FALSE)</f>
        <v>4.8</v>
      </c>
    </row>
    <row r="3789" spans="1:2" x14ac:dyDescent="0.3">
      <c r="A3789" s="6" t="s">
        <v>19</v>
      </c>
      <c r="B3789">
        <f>VLOOKUP(A3789,Table1[[Item Purchased]:[Subscription Status]],8,FALSE)</f>
        <v>3.1</v>
      </c>
    </row>
    <row r="3790" spans="1:2" x14ac:dyDescent="0.3">
      <c r="A3790" s="5" t="s">
        <v>123</v>
      </c>
      <c r="B3790">
        <f>VLOOKUP(A3790,Table1[[Item Purchased]:[Subscription Status]],8,FALSE)</f>
        <v>4.5999999999999996</v>
      </c>
    </row>
    <row r="3791" spans="1:2" x14ac:dyDescent="0.3">
      <c r="A3791" s="6" t="s">
        <v>54</v>
      </c>
      <c r="B3791">
        <f>VLOOKUP(A3791,Table1[[Item Purchased]:[Subscription Status]],8,FALSE)</f>
        <v>3.2</v>
      </c>
    </row>
    <row r="3792" spans="1:2" x14ac:dyDescent="0.3">
      <c r="A3792" s="5" t="s">
        <v>65</v>
      </c>
      <c r="B3792">
        <f>VLOOKUP(A3792,Table1[[Item Purchased]:[Subscription Status]],8,FALSE)</f>
        <v>4.8</v>
      </c>
    </row>
    <row r="3793" spans="1:2" x14ac:dyDescent="0.3">
      <c r="A3793" s="6" t="s">
        <v>88</v>
      </c>
      <c r="B3793">
        <f>VLOOKUP(A3793,Table1[[Item Purchased]:[Subscription Status]],8,FALSE)</f>
        <v>4.0999999999999996</v>
      </c>
    </row>
    <row r="3794" spans="1:2" x14ac:dyDescent="0.3">
      <c r="A3794" s="5" t="s">
        <v>118</v>
      </c>
      <c r="B3794">
        <f>VLOOKUP(A3794,Table1[[Item Purchased]:[Subscription Status]],8,FALSE)</f>
        <v>4.5</v>
      </c>
    </row>
    <row r="3795" spans="1:2" x14ac:dyDescent="0.3">
      <c r="A3795" s="6" t="s">
        <v>88</v>
      </c>
      <c r="B3795">
        <f>VLOOKUP(A3795,Table1[[Item Purchased]:[Subscription Status]],8,FALSE)</f>
        <v>4.0999999999999996</v>
      </c>
    </row>
    <row r="3796" spans="1:2" x14ac:dyDescent="0.3">
      <c r="A3796" s="5" t="s">
        <v>118</v>
      </c>
      <c r="B3796">
        <f>VLOOKUP(A3796,Table1[[Item Purchased]:[Subscription Status]],8,FALSE)</f>
        <v>4.5</v>
      </c>
    </row>
    <row r="3797" spans="1:2" x14ac:dyDescent="0.3">
      <c r="A3797" s="6" t="s">
        <v>142</v>
      </c>
      <c r="B3797">
        <f>VLOOKUP(A3797,Table1[[Item Purchased]:[Subscription Status]],8,FALSE)</f>
        <v>4.5</v>
      </c>
    </row>
    <row r="3798" spans="1:2" x14ac:dyDescent="0.3">
      <c r="A3798" s="5" t="s">
        <v>58</v>
      </c>
      <c r="B3798">
        <f>VLOOKUP(A3798,Table1[[Item Purchased]:[Subscription Status]],8,FALSE)</f>
        <v>3.2</v>
      </c>
    </row>
    <row r="3799" spans="1:2" x14ac:dyDescent="0.3">
      <c r="A3799" s="6" t="s">
        <v>88</v>
      </c>
      <c r="B3799">
        <f>VLOOKUP(A3799,Table1[[Item Purchased]:[Subscription Status]],8,FALSE)</f>
        <v>4.0999999999999996</v>
      </c>
    </row>
    <row r="3800" spans="1:2" x14ac:dyDescent="0.3">
      <c r="A3800" s="5" t="s">
        <v>105</v>
      </c>
      <c r="B3800">
        <f>VLOOKUP(A3800,Table1[[Item Purchased]:[Subscription Status]],8,FALSE)</f>
        <v>3.6</v>
      </c>
    </row>
    <row r="3801" spans="1:2" x14ac:dyDescent="0.3">
      <c r="A3801" s="6" t="s">
        <v>101</v>
      </c>
      <c r="B3801">
        <f>VLOOKUP(A3801,Table1[[Item Purchased]:[Subscription Status]],8,FALSE)</f>
        <v>2.9</v>
      </c>
    </row>
    <row r="3802" spans="1:2" x14ac:dyDescent="0.3">
      <c r="A3802" s="5" t="s">
        <v>29</v>
      </c>
      <c r="B3802">
        <f>VLOOKUP(A3802,Table1[[Item Purchased]:[Subscription Status]],8,FALSE)</f>
        <v>3.1</v>
      </c>
    </row>
    <row r="3803" spans="1:2" x14ac:dyDescent="0.3">
      <c r="A3803" s="6" t="s">
        <v>19</v>
      </c>
      <c r="B3803">
        <f>VLOOKUP(A3803,Table1[[Item Purchased]:[Subscription Status]],8,FALSE)</f>
        <v>3.1</v>
      </c>
    </row>
    <row r="3804" spans="1:2" x14ac:dyDescent="0.3">
      <c r="A3804" s="5" t="s">
        <v>118</v>
      </c>
      <c r="B3804">
        <f>VLOOKUP(A3804,Table1[[Item Purchased]:[Subscription Status]],8,FALSE)</f>
        <v>4.5</v>
      </c>
    </row>
    <row r="3805" spans="1:2" x14ac:dyDescent="0.3">
      <c r="A3805" s="6" t="s">
        <v>65</v>
      </c>
      <c r="B3805">
        <f>VLOOKUP(A3805,Table1[[Item Purchased]:[Subscription Status]],8,FALSE)</f>
        <v>4.8</v>
      </c>
    </row>
    <row r="3806" spans="1:2" x14ac:dyDescent="0.3">
      <c r="A3806" s="5" t="s">
        <v>123</v>
      </c>
      <c r="B3806">
        <f>VLOOKUP(A3806,Table1[[Item Purchased]:[Subscription Status]],8,FALSE)</f>
        <v>4.5999999999999996</v>
      </c>
    </row>
    <row r="3807" spans="1:2" x14ac:dyDescent="0.3">
      <c r="A3807" s="6" t="s">
        <v>118</v>
      </c>
      <c r="B3807">
        <f>VLOOKUP(A3807,Table1[[Item Purchased]:[Subscription Status]],8,FALSE)</f>
        <v>4.5</v>
      </c>
    </row>
    <row r="3808" spans="1:2" x14ac:dyDescent="0.3">
      <c r="A3808" s="5" t="s">
        <v>136</v>
      </c>
      <c r="B3808">
        <f>VLOOKUP(A3808,Table1[[Item Purchased]:[Subscription Status]],8,FALSE)</f>
        <v>4.8</v>
      </c>
    </row>
    <row r="3809" spans="1:2" x14ac:dyDescent="0.3">
      <c r="A3809" s="6" t="s">
        <v>19</v>
      </c>
      <c r="B3809">
        <f>VLOOKUP(A3809,Table1[[Item Purchased]:[Subscription Status]],8,FALSE)</f>
        <v>3.1</v>
      </c>
    </row>
    <row r="3810" spans="1:2" x14ac:dyDescent="0.3">
      <c r="A3810" s="5" t="s">
        <v>124</v>
      </c>
      <c r="B3810">
        <f>VLOOKUP(A3810,Table1[[Item Purchased]:[Subscription Status]],8,FALSE)</f>
        <v>2.9</v>
      </c>
    </row>
    <row r="3811" spans="1:2" x14ac:dyDescent="0.3">
      <c r="A3811" s="6" t="s">
        <v>70</v>
      </c>
      <c r="B3811">
        <f>VLOOKUP(A3811,Table1[[Item Purchased]:[Subscription Status]],8,FALSE)</f>
        <v>4.0999999999999996</v>
      </c>
    </row>
    <row r="3812" spans="1:2" x14ac:dyDescent="0.3">
      <c r="A3812" s="5" t="s">
        <v>86</v>
      </c>
      <c r="B3812">
        <f>VLOOKUP(A3812,Table1[[Item Purchased]:[Subscription Status]],8,FALSE)</f>
        <v>2.8</v>
      </c>
    </row>
    <row r="3813" spans="1:2" x14ac:dyDescent="0.3">
      <c r="A3813" s="6" t="s">
        <v>132</v>
      </c>
      <c r="B3813">
        <f>VLOOKUP(A3813,Table1[[Item Purchased]:[Subscription Status]],8,FALSE)</f>
        <v>4.5999999999999996</v>
      </c>
    </row>
    <row r="3814" spans="1:2" x14ac:dyDescent="0.3">
      <c r="A3814" s="5" t="s">
        <v>86</v>
      </c>
      <c r="B3814">
        <f>VLOOKUP(A3814,Table1[[Item Purchased]:[Subscription Status]],8,FALSE)</f>
        <v>2.8</v>
      </c>
    </row>
    <row r="3815" spans="1:2" x14ac:dyDescent="0.3">
      <c r="A3815" s="6" t="s">
        <v>94</v>
      </c>
      <c r="B3815">
        <f>VLOOKUP(A3815,Table1[[Item Purchased]:[Subscription Status]],8,FALSE)</f>
        <v>3.3</v>
      </c>
    </row>
    <row r="3816" spans="1:2" x14ac:dyDescent="0.3">
      <c r="A3816" s="5" t="s">
        <v>80</v>
      </c>
      <c r="B3816">
        <f>VLOOKUP(A3816,Table1[[Item Purchased]:[Subscription Status]],8,FALSE)</f>
        <v>4.7</v>
      </c>
    </row>
    <row r="3817" spans="1:2" x14ac:dyDescent="0.3">
      <c r="A3817" s="6" t="s">
        <v>123</v>
      </c>
      <c r="B3817">
        <f>VLOOKUP(A3817,Table1[[Item Purchased]:[Subscription Status]],8,FALSE)</f>
        <v>4.5999999999999996</v>
      </c>
    </row>
    <row r="3818" spans="1:2" x14ac:dyDescent="0.3">
      <c r="A3818" s="5" t="s">
        <v>61</v>
      </c>
      <c r="B3818">
        <f>VLOOKUP(A3818,Table1[[Item Purchased]:[Subscription Status]],8,FALSE)</f>
        <v>2.6</v>
      </c>
    </row>
    <row r="3819" spans="1:2" x14ac:dyDescent="0.3">
      <c r="A3819" s="6" t="s">
        <v>118</v>
      </c>
      <c r="B3819">
        <f>VLOOKUP(A3819,Table1[[Item Purchased]:[Subscription Status]],8,FALSE)</f>
        <v>4.5</v>
      </c>
    </row>
    <row r="3820" spans="1:2" x14ac:dyDescent="0.3">
      <c r="A3820" s="5" t="s">
        <v>49</v>
      </c>
      <c r="B3820">
        <f>VLOOKUP(A3820,Table1[[Item Purchased]:[Subscription Status]],8,FALSE)</f>
        <v>2.9</v>
      </c>
    </row>
    <row r="3821" spans="1:2" x14ac:dyDescent="0.3">
      <c r="A3821" s="6" t="s">
        <v>94</v>
      </c>
      <c r="B3821">
        <f>VLOOKUP(A3821,Table1[[Item Purchased]:[Subscription Status]],8,FALSE)</f>
        <v>3.3</v>
      </c>
    </row>
    <row r="3822" spans="1:2" x14ac:dyDescent="0.3">
      <c r="A3822" s="5" t="s">
        <v>132</v>
      </c>
      <c r="B3822">
        <f>VLOOKUP(A3822,Table1[[Item Purchased]:[Subscription Status]],8,FALSE)</f>
        <v>4.5999999999999996</v>
      </c>
    </row>
    <row r="3823" spans="1:2" x14ac:dyDescent="0.3">
      <c r="A3823" s="6" t="s">
        <v>49</v>
      </c>
      <c r="B3823">
        <f>VLOOKUP(A3823,Table1[[Item Purchased]:[Subscription Status]],8,FALSE)</f>
        <v>2.9</v>
      </c>
    </row>
    <row r="3824" spans="1:2" x14ac:dyDescent="0.3">
      <c r="A3824" s="5" t="s">
        <v>123</v>
      </c>
      <c r="B3824">
        <f>VLOOKUP(A3824,Table1[[Item Purchased]:[Subscription Status]],8,FALSE)</f>
        <v>4.5999999999999996</v>
      </c>
    </row>
    <row r="3825" spans="1:2" x14ac:dyDescent="0.3">
      <c r="A3825" s="6" t="s">
        <v>54</v>
      </c>
      <c r="B3825">
        <f>VLOOKUP(A3825,Table1[[Item Purchased]:[Subscription Status]],8,FALSE)</f>
        <v>3.2</v>
      </c>
    </row>
    <row r="3826" spans="1:2" x14ac:dyDescent="0.3">
      <c r="A3826" s="5" t="s">
        <v>58</v>
      </c>
      <c r="B3826">
        <f>VLOOKUP(A3826,Table1[[Item Purchased]:[Subscription Status]],8,FALSE)</f>
        <v>3.2</v>
      </c>
    </row>
    <row r="3827" spans="1:2" x14ac:dyDescent="0.3">
      <c r="A3827" s="6" t="s">
        <v>58</v>
      </c>
      <c r="B3827">
        <f>VLOOKUP(A3827,Table1[[Item Purchased]:[Subscription Status]],8,FALSE)</f>
        <v>3.2</v>
      </c>
    </row>
    <row r="3828" spans="1:2" x14ac:dyDescent="0.3">
      <c r="A3828" s="5" t="s">
        <v>101</v>
      </c>
      <c r="B3828">
        <f>VLOOKUP(A3828,Table1[[Item Purchased]:[Subscription Status]],8,FALSE)</f>
        <v>2.9</v>
      </c>
    </row>
    <row r="3829" spans="1:2" x14ac:dyDescent="0.3">
      <c r="A3829" s="6" t="s">
        <v>105</v>
      </c>
      <c r="B3829">
        <f>VLOOKUP(A3829,Table1[[Item Purchased]:[Subscription Status]],8,FALSE)</f>
        <v>3.6</v>
      </c>
    </row>
    <row r="3830" spans="1:2" x14ac:dyDescent="0.3">
      <c r="A3830" s="5" t="s">
        <v>19</v>
      </c>
      <c r="B3830">
        <f>VLOOKUP(A3830,Table1[[Item Purchased]:[Subscription Status]],8,FALSE)</f>
        <v>3.1</v>
      </c>
    </row>
    <row r="3831" spans="1:2" x14ac:dyDescent="0.3">
      <c r="A3831" s="6" t="s">
        <v>94</v>
      </c>
      <c r="B3831">
        <f>VLOOKUP(A3831,Table1[[Item Purchased]:[Subscription Status]],8,FALSE)</f>
        <v>3.3</v>
      </c>
    </row>
    <row r="3832" spans="1:2" x14ac:dyDescent="0.3">
      <c r="A3832" s="5" t="s">
        <v>123</v>
      </c>
      <c r="B3832">
        <f>VLOOKUP(A3832,Table1[[Item Purchased]:[Subscription Status]],8,FALSE)</f>
        <v>4.5999999999999996</v>
      </c>
    </row>
    <row r="3833" spans="1:2" x14ac:dyDescent="0.3">
      <c r="A3833" s="6" t="s">
        <v>131</v>
      </c>
      <c r="B3833">
        <f>VLOOKUP(A3833,Table1[[Item Purchased]:[Subscription Status]],8,FALSE)</f>
        <v>4.7</v>
      </c>
    </row>
    <row r="3834" spans="1:2" x14ac:dyDescent="0.3">
      <c r="A3834" s="5" t="s">
        <v>136</v>
      </c>
      <c r="B3834">
        <f>VLOOKUP(A3834,Table1[[Item Purchased]:[Subscription Status]],8,FALSE)</f>
        <v>4.8</v>
      </c>
    </row>
    <row r="3835" spans="1:2" x14ac:dyDescent="0.3">
      <c r="A3835" s="6" t="s">
        <v>101</v>
      </c>
      <c r="B3835">
        <f>VLOOKUP(A3835,Table1[[Item Purchased]:[Subscription Status]],8,FALSE)</f>
        <v>2.9</v>
      </c>
    </row>
    <row r="3836" spans="1:2" x14ac:dyDescent="0.3">
      <c r="A3836" s="5" t="s">
        <v>103</v>
      </c>
      <c r="B3836">
        <f>VLOOKUP(A3836,Table1[[Item Purchased]:[Subscription Status]],8,FALSE)</f>
        <v>3.6</v>
      </c>
    </row>
    <row r="3837" spans="1:2" x14ac:dyDescent="0.3">
      <c r="A3837" s="6" t="s">
        <v>40</v>
      </c>
      <c r="B3837">
        <f>VLOOKUP(A3837,Table1[[Item Purchased]:[Subscription Status]],8,FALSE)</f>
        <v>3.5</v>
      </c>
    </row>
    <row r="3838" spans="1:2" x14ac:dyDescent="0.3">
      <c r="A3838" s="5" t="s">
        <v>86</v>
      </c>
      <c r="B3838">
        <f>VLOOKUP(A3838,Table1[[Item Purchased]:[Subscription Status]],8,FALSE)</f>
        <v>2.8</v>
      </c>
    </row>
    <row r="3839" spans="1:2" x14ac:dyDescent="0.3">
      <c r="A3839" s="6" t="s">
        <v>103</v>
      </c>
      <c r="B3839">
        <f>VLOOKUP(A3839,Table1[[Item Purchased]:[Subscription Status]],8,FALSE)</f>
        <v>3.6</v>
      </c>
    </row>
    <row r="3840" spans="1:2" x14ac:dyDescent="0.3">
      <c r="A3840" s="5" t="s">
        <v>80</v>
      </c>
      <c r="B3840">
        <f>VLOOKUP(A3840,Table1[[Item Purchased]:[Subscription Status]],8,FALSE)</f>
        <v>4.7</v>
      </c>
    </row>
    <row r="3841" spans="1:2" x14ac:dyDescent="0.3">
      <c r="A3841" s="6" t="s">
        <v>40</v>
      </c>
      <c r="B3841">
        <f>VLOOKUP(A3841,Table1[[Item Purchased]:[Subscription Status]],8,FALSE)</f>
        <v>3.5</v>
      </c>
    </row>
    <row r="3842" spans="1:2" x14ac:dyDescent="0.3">
      <c r="A3842" s="5" t="s">
        <v>33</v>
      </c>
      <c r="B3842">
        <f>VLOOKUP(A3842,Table1[[Item Purchased]:[Subscription Status]],8,FALSE)</f>
        <v>3.1</v>
      </c>
    </row>
    <row r="3843" spans="1:2" x14ac:dyDescent="0.3">
      <c r="A3843" s="6" t="s">
        <v>33</v>
      </c>
      <c r="B3843">
        <f>VLOOKUP(A3843,Table1[[Item Purchased]:[Subscription Status]],8,FALSE)</f>
        <v>3.1</v>
      </c>
    </row>
    <row r="3844" spans="1:2" x14ac:dyDescent="0.3">
      <c r="A3844" s="5" t="s">
        <v>101</v>
      </c>
      <c r="B3844">
        <f>VLOOKUP(A3844,Table1[[Item Purchased]:[Subscription Status]],8,FALSE)</f>
        <v>2.9</v>
      </c>
    </row>
    <row r="3845" spans="1:2" x14ac:dyDescent="0.3">
      <c r="A3845" s="6" t="s">
        <v>123</v>
      </c>
      <c r="B3845">
        <f>VLOOKUP(A3845,Table1[[Item Purchased]:[Subscription Status]],8,FALSE)</f>
        <v>4.5999999999999996</v>
      </c>
    </row>
    <row r="3846" spans="1:2" x14ac:dyDescent="0.3">
      <c r="A3846" s="5" t="s">
        <v>58</v>
      </c>
      <c r="B3846">
        <f>VLOOKUP(A3846,Table1[[Item Purchased]:[Subscription Status]],8,FALSE)</f>
        <v>3.2</v>
      </c>
    </row>
    <row r="3847" spans="1:2" x14ac:dyDescent="0.3">
      <c r="A3847" s="6" t="s">
        <v>29</v>
      </c>
      <c r="B3847">
        <f>VLOOKUP(A3847,Table1[[Item Purchased]:[Subscription Status]],8,FALSE)</f>
        <v>3.1</v>
      </c>
    </row>
    <row r="3848" spans="1:2" x14ac:dyDescent="0.3">
      <c r="A3848" s="5" t="s">
        <v>19</v>
      </c>
      <c r="B3848">
        <f>VLOOKUP(A3848,Table1[[Item Purchased]:[Subscription Status]],8,FALSE)</f>
        <v>3.1</v>
      </c>
    </row>
    <row r="3849" spans="1:2" x14ac:dyDescent="0.3">
      <c r="A3849" s="6" t="s">
        <v>29</v>
      </c>
      <c r="B3849">
        <f>VLOOKUP(A3849,Table1[[Item Purchased]:[Subscription Status]],8,FALSE)</f>
        <v>3.1</v>
      </c>
    </row>
    <row r="3850" spans="1:2" x14ac:dyDescent="0.3">
      <c r="A3850" s="5" t="s">
        <v>105</v>
      </c>
      <c r="B3850">
        <f>VLOOKUP(A3850,Table1[[Item Purchased]:[Subscription Status]],8,FALSE)</f>
        <v>3.6</v>
      </c>
    </row>
    <row r="3851" spans="1:2" x14ac:dyDescent="0.3">
      <c r="A3851" s="6" t="s">
        <v>103</v>
      </c>
      <c r="B3851">
        <f>VLOOKUP(A3851,Table1[[Item Purchased]:[Subscription Status]],8,FALSE)</f>
        <v>3.6</v>
      </c>
    </row>
    <row r="3852" spans="1:2" x14ac:dyDescent="0.3">
      <c r="A3852" s="5" t="s">
        <v>105</v>
      </c>
      <c r="B3852">
        <f>VLOOKUP(A3852,Table1[[Item Purchased]:[Subscription Status]],8,FALSE)</f>
        <v>3.6</v>
      </c>
    </row>
    <row r="3853" spans="1:2" x14ac:dyDescent="0.3">
      <c r="A3853" s="6" t="s">
        <v>118</v>
      </c>
      <c r="B3853">
        <f>VLOOKUP(A3853,Table1[[Item Purchased]:[Subscription Status]],8,FALSE)</f>
        <v>4.5</v>
      </c>
    </row>
    <row r="3854" spans="1:2" x14ac:dyDescent="0.3">
      <c r="A3854" s="5" t="s">
        <v>123</v>
      </c>
      <c r="B3854">
        <f>VLOOKUP(A3854,Table1[[Item Purchased]:[Subscription Status]],8,FALSE)</f>
        <v>4.5999999999999996</v>
      </c>
    </row>
    <row r="3855" spans="1:2" x14ac:dyDescent="0.3">
      <c r="A3855" s="6" t="s">
        <v>88</v>
      </c>
      <c r="B3855">
        <f>VLOOKUP(A3855,Table1[[Item Purchased]:[Subscription Status]],8,FALSE)</f>
        <v>4.0999999999999996</v>
      </c>
    </row>
    <row r="3856" spans="1:2" x14ac:dyDescent="0.3">
      <c r="A3856" s="5" t="s">
        <v>112</v>
      </c>
      <c r="B3856">
        <f>VLOOKUP(A3856,Table1[[Item Purchased]:[Subscription Status]],8,FALSE)</f>
        <v>4.5999999999999996</v>
      </c>
    </row>
    <row r="3857" spans="1:2" x14ac:dyDescent="0.3">
      <c r="A3857" s="6" t="s">
        <v>54</v>
      </c>
      <c r="B3857">
        <f>VLOOKUP(A3857,Table1[[Item Purchased]:[Subscription Status]],8,FALSE)</f>
        <v>3.2</v>
      </c>
    </row>
    <row r="3858" spans="1:2" x14ac:dyDescent="0.3">
      <c r="A3858" s="5" t="s">
        <v>40</v>
      </c>
      <c r="B3858">
        <f>VLOOKUP(A3858,Table1[[Item Purchased]:[Subscription Status]],8,FALSE)</f>
        <v>3.5</v>
      </c>
    </row>
    <row r="3859" spans="1:2" x14ac:dyDescent="0.3">
      <c r="A3859" s="6" t="s">
        <v>123</v>
      </c>
      <c r="B3859">
        <f>VLOOKUP(A3859,Table1[[Item Purchased]:[Subscription Status]],8,FALSE)</f>
        <v>4.5999999999999996</v>
      </c>
    </row>
    <row r="3860" spans="1:2" x14ac:dyDescent="0.3">
      <c r="A3860" s="5" t="s">
        <v>112</v>
      </c>
      <c r="B3860">
        <f>VLOOKUP(A3860,Table1[[Item Purchased]:[Subscription Status]],8,FALSE)</f>
        <v>4.5999999999999996</v>
      </c>
    </row>
    <row r="3861" spans="1:2" x14ac:dyDescent="0.3">
      <c r="A3861" s="6" t="s">
        <v>58</v>
      </c>
      <c r="B3861">
        <f>VLOOKUP(A3861,Table1[[Item Purchased]:[Subscription Status]],8,FALSE)</f>
        <v>3.2</v>
      </c>
    </row>
    <row r="3862" spans="1:2" x14ac:dyDescent="0.3">
      <c r="A3862" s="5" t="s">
        <v>88</v>
      </c>
      <c r="B3862">
        <f>VLOOKUP(A3862,Table1[[Item Purchased]:[Subscription Status]],8,FALSE)</f>
        <v>4.0999999999999996</v>
      </c>
    </row>
    <row r="3863" spans="1:2" x14ac:dyDescent="0.3">
      <c r="A3863" s="6" t="s">
        <v>101</v>
      </c>
      <c r="B3863">
        <f>VLOOKUP(A3863,Table1[[Item Purchased]:[Subscription Status]],8,FALSE)</f>
        <v>2.9</v>
      </c>
    </row>
    <row r="3864" spans="1:2" x14ac:dyDescent="0.3">
      <c r="A3864" s="5" t="s">
        <v>54</v>
      </c>
      <c r="B3864">
        <f>VLOOKUP(A3864,Table1[[Item Purchased]:[Subscription Status]],8,FALSE)</f>
        <v>3.2</v>
      </c>
    </row>
    <row r="3865" spans="1:2" x14ac:dyDescent="0.3">
      <c r="A3865" s="6" t="s">
        <v>118</v>
      </c>
      <c r="B3865">
        <f>VLOOKUP(A3865,Table1[[Item Purchased]:[Subscription Status]],8,FALSE)</f>
        <v>4.5</v>
      </c>
    </row>
    <row r="3866" spans="1:2" x14ac:dyDescent="0.3">
      <c r="A3866" s="5" t="s">
        <v>112</v>
      </c>
      <c r="B3866">
        <f>VLOOKUP(A3866,Table1[[Item Purchased]:[Subscription Status]],8,FALSE)</f>
        <v>4.5999999999999996</v>
      </c>
    </row>
    <row r="3867" spans="1:2" x14ac:dyDescent="0.3">
      <c r="A3867" s="6" t="s">
        <v>58</v>
      </c>
      <c r="B3867">
        <f>VLOOKUP(A3867,Table1[[Item Purchased]:[Subscription Status]],8,FALSE)</f>
        <v>3.2</v>
      </c>
    </row>
    <row r="3868" spans="1:2" x14ac:dyDescent="0.3">
      <c r="A3868" s="5" t="s">
        <v>123</v>
      </c>
      <c r="B3868">
        <f>VLOOKUP(A3868,Table1[[Item Purchased]:[Subscription Status]],8,FALSE)</f>
        <v>4.5999999999999996</v>
      </c>
    </row>
    <row r="3869" spans="1:2" x14ac:dyDescent="0.3">
      <c r="A3869" s="6" t="s">
        <v>101</v>
      </c>
      <c r="B3869">
        <f>VLOOKUP(A3869,Table1[[Item Purchased]:[Subscription Status]],8,FALSE)</f>
        <v>2.9</v>
      </c>
    </row>
    <row r="3870" spans="1:2" x14ac:dyDescent="0.3">
      <c r="A3870" s="5" t="s">
        <v>80</v>
      </c>
      <c r="B3870">
        <f>VLOOKUP(A3870,Table1[[Item Purchased]:[Subscription Status]],8,FALSE)</f>
        <v>4.7</v>
      </c>
    </row>
    <row r="3871" spans="1:2" x14ac:dyDescent="0.3">
      <c r="A3871" s="6" t="s">
        <v>61</v>
      </c>
      <c r="B3871">
        <f>VLOOKUP(A3871,Table1[[Item Purchased]:[Subscription Status]],8,FALSE)</f>
        <v>2.6</v>
      </c>
    </row>
    <row r="3872" spans="1:2" x14ac:dyDescent="0.3">
      <c r="A3872" s="5" t="s">
        <v>40</v>
      </c>
      <c r="B3872">
        <f>VLOOKUP(A3872,Table1[[Item Purchased]:[Subscription Status]],8,FALSE)</f>
        <v>3.5</v>
      </c>
    </row>
    <row r="3873" spans="1:2" x14ac:dyDescent="0.3">
      <c r="A3873" s="6" t="s">
        <v>112</v>
      </c>
      <c r="B3873">
        <f>VLOOKUP(A3873,Table1[[Item Purchased]:[Subscription Status]],8,FALSE)</f>
        <v>4.5999999999999996</v>
      </c>
    </row>
    <row r="3874" spans="1:2" x14ac:dyDescent="0.3">
      <c r="A3874" s="5" t="s">
        <v>101</v>
      </c>
      <c r="B3874">
        <f>VLOOKUP(A3874,Table1[[Item Purchased]:[Subscription Status]],8,FALSE)</f>
        <v>2.9</v>
      </c>
    </row>
    <row r="3875" spans="1:2" x14ac:dyDescent="0.3">
      <c r="A3875" s="6" t="s">
        <v>40</v>
      </c>
      <c r="B3875">
        <f>VLOOKUP(A3875,Table1[[Item Purchased]:[Subscription Status]],8,FALSE)</f>
        <v>3.5</v>
      </c>
    </row>
    <row r="3876" spans="1:2" x14ac:dyDescent="0.3">
      <c r="A3876" s="5" t="s">
        <v>29</v>
      </c>
      <c r="B3876">
        <f>VLOOKUP(A3876,Table1[[Item Purchased]:[Subscription Status]],8,FALSE)</f>
        <v>3.1</v>
      </c>
    </row>
    <row r="3877" spans="1:2" x14ac:dyDescent="0.3">
      <c r="A3877" s="6" t="s">
        <v>123</v>
      </c>
      <c r="B3877">
        <f>VLOOKUP(A3877,Table1[[Item Purchased]:[Subscription Status]],8,FALSE)</f>
        <v>4.5999999999999996</v>
      </c>
    </row>
    <row r="3878" spans="1:2" x14ac:dyDescent="0.3">
      <c r="A3878" s="5" t="s">
        <v>70</v>
      </c>
      <c r="B3878">
        <f>VLOOKUP(A3878,Table1[[Item Purchased]:[Subscription Status]],8,FALSE)</f>
        <v>4.0999999999999996</v>
      </c>
    </row>
    <row r="3879" spans="1:2" x14ac:dyDescent="0.3">
      <c r="A3879" s="6" t="s">
        <v>103</v>
      </c>
      <c r="B3879">
        <f>VLOOKUP(A3879,Table1[[Item Purchased]:[Subscription Status]],8,FALSE)</f>
        <v>3.6</v>
      </c>
    </row>
    <row r="3880" spans="1:2" x14ac:dyDescent="0.3">
      <c r="A3880" s="5" t="s">
        <v>123</v>
      </c>
      <c r="B3880">
        <f>VLOOKUP(A3880,Table1[[Item Purchased]:[Subscription Status]],8,FALSE)</f>
        <v>4.5999999999999996</v>
      </c>
    </row>
    <row r="3881" spans="1:2" x14ac:dyDescent="0.3">
      <c r="A3881" s="6" t="s">
        <v>86</v>
      </c>
      <c r="B3881">
        <f>VLOOKUP(A3881,Table1[[Item Purchased]:[Subscription Status]],8,FALSE)</f>
        <v>2.8</v>
      </c>
    </row>
    <row r="3882" spans="1:2" x14ac:dyDescent="0.3">
      <c r="A3882" s="5" t="s">
        <v>54</v>
      </c>
      <c r="B3882">
        <f>VLOOKUP(A3882,Table1[[Item Purchased]:[Subscription Status]],8,FALSE)</f>
        <v>3.2</v>
      </c>
    </row>
    <row r="3883" spans="1:2" x14ac:dyDescent="0.3">
      <c r="A3883" s="6" t="s">
        <v>118</v>
      </c>
      <c r="B3883">
        <f>VLOOKUP(A3883,Table1[[Item Purchased]:[Subscription Status]],8,FALSE)</f>
        <v>4.5</v>
      </c>
    </row>
    <row r="3884" spans="1:2" x14ac:dyDescent="0.3">
      <c r="A3884" s="5" t="s">
        <v>94</v>
      </c>
      <c r="B3884">
        <f>VLOOKUP(A3884,Table1[[Item Purchased]:[Subscription Status]],8,FALSE)</f>
        <v>3.3</v>
      </c>
    </row>
    <row r="3885" spans="1:2" x14ac:dyDescent="0.3">
      <c r="A3885" s="6" t="s">
        <v>123</v>
      </c>
      <c r="B3885">
        <f>VLOOKUP(A3885,Table1[[Item Purchased]:[Subscription Status]],8,FALSE)</f>
        <v>4.5999999999999996</v>
      </c>
    </row>
    <row r="3886" spans="1:2" x14ac:dyDescent="0.3">
      <c r="A3886" s="5" t="s">
        <v>40</v>
      </c>
      <c r="B3886">
        <f>VLOOKUP(A3886,Table1[[Item Purchased]:[Subscription Status]],8,FALSE)</f>
        <v>3.5</v>
      </c>
    </row>
    <row r="3887" spans="1:2" x14ac:dyDescent="0.3">
      <c r="A3887" s="6" t="s">
        <v>124</v>
      </c>
      <c r="B3887">
        <f>VLOOKUP(A3887,Table1[[Item Purchased]:[Subscription Status]],8,FALSE)</f>
        <v>2.9</v>
      </c>
    </row>
    <row r="3888" spans="1:2" x14ac:dyDescent="0.3">
      <c r="A3888" s="5" t="s">
        <v>105</v>
      </c>
      <c r="B3888">
        <f>VLOOKUP(A3888,Table1[[Item Purchased]:[Subscription Status]],8,FALSE)</f>
        <v>3.6</v>
      </c>
    </row>
    <row r="3889" spans="1:2" x14ac:dyDescent="0.3">
      <c r="A3889" s="6" t="s">
        <v>54</v>
      </c>
      <c r="B3889">
        <f>VLOOKUP(A3889,Table1[[Item Purchased]:[Subscription Status]],8,FALSE)</f>
        <v>3.2</v>
      </c>
    </row>
    <row r="3890" spans="1:2" x14ac:dyDescent="0.3">
      <c r="A3890" s="5" t="s">
        <v>49</v>
      </c>
      <c r="B3890">
        <f>VLOOKUP(A3890,Table1[[Item Purchased]:[Subscription Status]],8,FALSE)</f>
        <v>2.9</v>
      </c>
    </row>
    <row r="3891" spans="1:2" x14ac:dyDescent="0.3">
      <c r="A3891" s="6" t="s">
        <v>80</v>
      </c>
      <c r="B3891">
        <f>VLOOKUP(A3891,Table1[[Item Purchased]:[Subscription Status]],8,FALSE)</f>
        <v>4.7</v>
      </c>
    </row>
    <row r="3892" spans="1:2" x14ac:dyDescent="0.3">
      <c r="A3892" s="5" t="s">
        <v>54</v>
      </c>
      <c r="B3892">
        <f>VLOOKUP(A3892,Table1[[Item Purchased]:[Subscription Status]],8,FALSE)</f>
        <v>3.2</v>
      </c>
    </row>
    <row r="3893" spans="1:2" x14ac:dyDescent="0.3">
      <c r="A3893" s="6" t="s">
        <v>80</v>
      </c>
      <c r="B3893">
        <f>VLOOKUP(A3893,Table1[[Item Purchased]:[Subscription Status]],8,FALSE)</f>
        <v>4.7</v>
      </c>
    </row>
    <row r="3894" spans="1:2" x14ac:dyDescent="0.3">
      <c r="A3894" s="5" t="s">
        <v>105</v>
      </c>
      <c r="B3894">
        <f>VLOOKUP(A3894,Table1[[Item Purchased]:[Subscription Status]],8,FALSE)</f>
        <v>3.6</v>
      </c>
    </row>
    <row r="3895" spans="1:2" x14ac:dyDescent="0.3">
      <c r="A3895" s="6" t="s">
        <v>123</v>
      </c>
      <c r="B3895">
        <f>VLOOKUP(A3895,Table1[[Item Purchased]:[Subscription Status]],8,FALSE)</f>
        <v>4.5999999999999996</v>
      </c>
    </row>
    <row r="3896" spans="1:2" x14ac:dyDescent="0.3">
      <c r="A3896" s="5" t="s">
        <v>86</v>
      </c>
      <c r="B3896">
        <f>VLOOKUP(A3896,Table1[[Item Purchased]:[Subscription Status]],8,FALSE)</f>
        <v>2.8</v>
      </c>
    </row>
    <row r="3897" spans="1:2" x14ac:dyDescent="0.3">
      <c r="A3897" s="6" t="s">
        <v>103</v>
      </c>
      <c r="B3897">
        <f>VLOOKUP(A3897,Table1[[Item Purchased]:[Subscription Status]],8,FALSE)</f>
        <v>3.6</v>
      </c>
    </row>
    <row r="3898" spans="1:2" x14ac:dyDescent="0.3">
      <c r="A3898" s="5" t="s">
        <v>131</v>
      </c>
      <c r="B3898">
        <f>VLOOKUP(A3898,Table1[[Item Purchased]:[Subscription Status]],8,FALSE)</f>
        <v>4.7</v>
      </c>
    </row>
    <row r="3899" spans="1:2" x14ac:dyDescent="0.3">
      <c r="A3899" s="6" t="s">
        <v>132</v>
      </c>
      <c r="B3899">
        <f>VLOOKUP(A3899,Table1[[Item Purchased]:[Subscription Status]],8,FALSE)</f>
        <v>4.5999999999999996</v>
      </c>
    </row>
    <row r="3900" spans="1:2" x14ac:dyDescent="0.3">
      <c r="A3900" s="5" t="s">
        <v>70</v>
      </c>
      <c r="B3900">
        <f>VLOOKUP(A3900,Table1[[Item Purchased]:[Subscription Status]],8,FALSE)</f>
        <v>4.0999999999999996</v>
      </c>
    </row>
    <row r="3901" spans="1:2" x14ac:dyDescent="0.3">
      <c r="A3901" s="6" t="s">
        <v>65</v>
      </c>
      <c r="B3901">
        <f>VLOOKUP(A3901,Table1[[Item Purchased]:[Subscription Status]],8,FALSE)</f>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9"/>
  <sheetViews>
    <sheetView zoomScale="85" zoomScaleNormal="85" workbookViewId="0">
      <selection activeCell="V18" sqref="V18"/>
    </sheetView>
  </sheetViews>
  <sheetFormatPr defaultRowHeight="14.4" x14ac:dyDescent="0.3"/>
  <cols>
    <col min="1" max="1" width="13.6640625" customWidth="1"/>
    <col min="2" max="2" width="29.6640625" customWidth="1"/>
    <col min="3" max="3" width="6.109375" customWidth="1"/>
    <col min="4" max="4" width="11.44140625" customWidth="1"/>
  </cols>
  <sheetData>
    <row r="3" spans="1:2" x14ac:dyDescent="0.3">
      <c r="A3" s="2" t="s">
        <v>154</v>
      </c>
      <c r="B3" t="s">
        <v>153</v>
      </c>
    </row>
    <row r="4" spans="1:2" x14ac:dyDescent="0.3">
      <c r="A4" s="3" t="s">
        <v>66</v>
      </c>
      <c r="B4" s="1">
        <v>61285</v>
      </c>
    </row>
    <row r="5" spans="1:2" x14ac:dyDescent="0.3">
      <c r="A5" s="3" t="s">
        <v>20</v>
      </c>
      <c r="B5" s="1">
        <v>87840</v>
      </c>
    </row>
    <row r="6" spans="1:2" x14ac:dyDescent="0.3">
      <c r="A6" s="3" t="s">
        <v>41</v>
      </c>
      <c r="B6" s="1">
        <v>30049</v>
      </c>
    </row>
    <row r="7" spans="1:2" x14ac:dyDescent="0.3">
      <c r="A7" s="3" t="s">
        <v>62</v>
      </c>
      <c r="B7" s="1">
        <v>14976</v>
      </c>
    </row>
    <row r="8" spans="1:2" x14ac:dyDescent="0.3">
      <c r="A8" s="3" t="s">
        <v>155</v>
      </c>
      <c r="B8" s="1">
        <v>194150</v>
      </c>
    </row>
    <row r="31" spans="1:2" x14ac:dyDescent="0.3">
      <c r="A31" s="2" t="s">
        <v>154</v>
      </c>
      <c r="B31" t="s">
        <v>156</v>
      </c>
    </row>
    <row r="32" spans="1:2" x14ac:dyDescent="0.3">
      <c r="A32" s="3" t="s">
        <v>48</v>
      </c>
      <c r="B32" s="4">
        <v>3.7541666666666673</v>
      </c>
    </row>
    <row r="33" spans="1:4" x14ac:dyDescent="0.3">
      <c r="A33" s="3" t="s">
        <v>75</v>
      </c>
      <c r="B33" s="4">
        <v>3.6962800875273505</v>
      </c>
    </row>
    <row r="34" spans="1:4" x14ac:dyDescent="0.3">
      <c r="A34" s="3" t="s">
        <v>96</v>
      </c>
      <c r="B34" s="4">
        <v>3.7929313929313913</v>
      </c>
    </row>
    <row r="35" spans="1:4" x14ac:dyDescent="0.3">
      <c r="A35" s="3" t="s">
        <v>28</v>
      </c>
      <c r="B35" s="4">
        <v>3.7498886414253927</v>
      </c>
    </row>
    <row r="36" spans="1:4" x14ac:dyDescent="0.3">
      <c r="A36" s="3" t="s">
        <v>87</v>
      </c>
      <c r="B36" s="4">
        <v>3.7943722943722968</v>
      </c>
    </row>
    <row r="37" spans="1:4" x14ac:dyDescent="0.3">
      <c r="A37" s="3" t="s">
        <v>57</v>
      </c>
      <c r="B37" s="4">
        <v>3.7525862068965536</v>
      </c>
    </row>
    <row r="38" spans="1:4" x14ac:dyDescent="0.3">
      <c r="A38" s="3" t="s">
        <v>39</v>
      </c>
      <c r="B38" s="4">
        <v>3.7682713347921242</v>
      </c>
    </row>
    <row r="39" spans="1:4" x14ac:dyDescent="0.3">
      <c r="A39" s="3" t="s">
        <v>155</v>
      </c>
      <c r="B39" s="4">
        <v>3.7586461538461573</v>
      </c>
    </row>
    <row r="45" spans="1:4" x14ac:dyDescent="0.3">
      <c r="A45" s="2" t="s">
        <v>153</v>
      </c>
      <c r="B45" s="2" t="s">
        <v>11</v>
      </c>
    </row>
    <row r="46" spans="1:4" x14ac:dyDescent="0.3">
      <c r="A46" s="2" t="s">
        <v>13</v>
      </c>
      <c r="B46" t="s">
        <v>151</v>
      </c>
      <c r="C46" t="s">
        <v>25</v>
      </c>
      <c r="D46" t="s">
        <v>155</v>
      </c>
    </row>
    <row r="47" spans="1:4" x14ac:dyDescent="0.3">
      <c r="A47" s="3" t="s">
        <v>151</v>
      </c>
      <c r="B47" s="1">
        <v>111586</v>
      </c>
      <c r="C47" s="1"/>
      <c r="D47" s="1">
        <v>111586</v>
      </c>
    </row>
    <row r="48" spans="1:4" x14ac:dyDescent="0.3">
      <c r="A48" s="3" t="s">
        <v>25</v>
      </c>
      <c r="B48" s="1">
        <v>30884</v>
      </c>
      <c r="C48" s="1">
        <v>51680</v>
      </c>
      <c r="D48" s="1">
        <v>82564</v>
      </c>
    </row>
    <row r="49" spans="1:4" x14ac:dyDescent="0.3">
      <c r="A49" s="3" t="s">
        <v>155</v>
      </c>
      <c r="B49" s="1">
        <v>142470</v>
      </c>
      <c r="C49" s="1">
        <v>51680</v>
      </c>
      <c r="D49" s="1">
        <v>194150</v>
      </c>
    </row>
    <row r="67" spans="1:2" x14ac:dyDescent="0.3">
      <c r="A67" s="2" t="s">
        <v>154</v>
      </c>
      <c r="B67" t="s">
        <v>153</v>
      </c>
    </row>
    <row r="68" spans="1:2" x14ac:dyDescent="0.3">
      <c r="A68" s="3" t="s">
        <v>119</v>
      </c>
      <c r="B68" s="1">
        <v>4382</v>
      </c>
    </row>
    <row r="69" spans="1:2" x14ac:dyDescent="0.3">
      <c r="A69" s="3" t="s">
        <v>98</v>
      </c>
      <c r="B69" s="1">
        <v>4812</v>
      </c>
    </row>
    <row r="70" spans="1:2" x14ac:dyDescent="0.3">
      <c r="A70" s="3" t="s">
        <v>134</v>
      </c>
      <c r="B70" s="1">
        <v>4670</v>
      </c>
    </row>
    <row r="71" spans="1:2" x14ac:dyDescent="0.3">
      <c r="A71" s="3" t="s">
        <v>127</v>
      </c>
      <c r="B71" s="1">
        <v>4483</v>
      </c>
    </row>
    <row r="72" spans="1:2" x14ac:dyDescent="0.3">
      <c r="A72" s="3" t="s">
        <v>55</v>
      </c>
      <c r="B72" s="1">
        <v>4835</v>
      </c>
    </row>
    <row r="73" spans="1:2" x14ac:dyDescent="0.3">
      <c r="A73" s="3" t="s">
        <v>106</v>
      </c>
      <c r="B73" s="1">
        <v>4857</v>
      </c>
    </row>
    <row r="74" spans="1:2" x14ac:dyDescent="0.3">
      <c r="A74" s="3" t="s">
        <v>83</v>
      </c>
      <c r="B74" s="1">
        <v>4676</v>
      </c>
    </row>
    <row r="75" spans="1:2" x14ac:dyDescent="0.3">
      <c r="A75" s="3" t="s">
        <v>113</v>
      </c>
      <c r="B75" s="1">
        <v>4448</v>
      </c>
    </row>
    <row r="76" spans="1:2" x14ac:dyDescent="0.3">
      <c r="A76" s="3" t="s">
        <v>137</v>
      </c>
      <c r="B76" s="1">
        <v>4447</v>
      </c>
    </row>
    <row r="77" spans="1:2" x14ac:dyDescent="0.3">
      <c r="A77" s="3" t="s">
        <v>63</v>
      </c>
      <c r="B77" s="1">
        <v>4377</v>
      </c>
    </row>
    <row r="78" spans="1:2" x14ac:dyDescent="0.3">
      <c r="A78" s="3" t="s">
        <v>155</v>
      </c>
      <c r="B78" s="1">
        <v>45987</v>
      </c>
    </row>
    <row r="86" spans="1:2" x14ac:dyDescent="0.3">
      <c r="A86" s="2" t="s">
        <v>154</v>
      </c>
      <c r="B86" t="s">
        <v>153</v>
      </c>
    </row>
    <row r="87" spans="1:2" x14ac:dyDescent="0.3">
      <c r="A87" s="3" t="s">
        <v>56</v>
      </c>
      <c r="B87" s="1">
        <v>60018</v>
      </c>
    </row>
    <row r="88" spans="1:2" x14ac:dyDescent="0.3">
      <c r="A88" s="3" t="s">
        <v>36</v>
      </c>
      <c r="B88" s="1">
        <v>58679</v>
      </c>
    </row>
    <row r="89" spans="1:2" x14ac:dyDescent="0.3">
      <c r="A89" s="3" t="s">
        <v>52</v>
      </c>
      <c r="B89" s="1">
        <v>55777</v>
      </c>
    </row>
    <row r="90" spans="1:2" x14ac:dyDescent="0.3">
      <c r="A90" s="3" t="s">
        <v>24</v>
      </c>
      <c r="B90" s="1">
        <v>58607</v>
      </c>
    </row>
    <row r="91" spans="1:2" x14ac:dyDescent="0.3">
      <c r="A91" s="3" t="s">
        <v>155</v>
      </c>
      <c r="B91" s="1">
        <v>233081</v>
      </c>
    </row>
    <row r="102" spans="1:2" x14ac:dyDescent="0.3">
      <c r="A102" s="2" t="s">
        <v>154</v>
      </c>
      <c r="B102" t="s">
        <v>153</v>
      </c>
    </row>
    <row r="103" spans="1:2" x14ac:dyDescent="0.3">
      <c r="A103" s="3" t="s">
        <v>69</v>
      </c>
      <c r="B103" s="1">
        <v>38080</v>
      </c>
    </row>
    <row r="104" spans="1:2" x14ac:dyDescent="0.3">
      <c r="A104" s="3" t="s">
        <v>26</v>
      </c>
      <c r="B104" s="1">
        <v>39067</v>
      </c>
    </row>
    <row r="105" spans="1:2" x14ac:dyDescent="0.3">
      <c r="A105" s="3" t="s">
        <v>37</v>
      </c>
      <c r="B105" s="1">
        <v>40777</v>
      </c>
    </row>
    <row r="106" spans="1:2" x14ac:dyDescent="0.3">
      <c r="A106" s="3" t="s">
        <v>44</v>
      </c>
      <c r="B106" s="1">
        <v>37993</v>
      </c>
    </row>
    <row r="107" spans="1:2" x14ac:dyDescent="0.3">
      <c r="A107" s="3" t="s">
        <v>53</v>
      </c>
      <c r="B107" s="1">
        <v>38233</v>
      </c>
    </row>
    <row r="108" spans="1:2" x14ac:dyDescent="0.3">
      <c r="A108" s="3" t="s">
        <v>73</v>
      </c>
      <c r="B108" s="1">
        <v>38931</v>
      </c>
    </row>
    <row r="109" spans="1:2" x14ac:dyDescent="0.3">
      <c r="A109" s="3" t="s">
        <v>155</v>
      </c>
      <c r="B109" s="1">
        <v>233081</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904"/>
  <sheetViews>
    <sheetView topLeftCell="H1" workbookViewId="0">
      <selection activeCell="U1" sqref="U1"/>
    </sheetView>
  </sheetViews>
  <sheetFormatPr defaultRowHeight="14.4" x14ac:dyDescent="0.3"/>
  <cols>
    <col min="1" max="1" width="13.21875" customWidth="1"/>
    <col min="3" max="3" width="9" customWidth="1"/>
    <col min="4" max="4" width="16" customWidth="1"/>
    <col min="5" max="5" width="10.44140625" customWidth="1"/>
    <col min="6" max="6" width="23.21875" customWidth="1"/>
    <col min="7" max="7" width="10.109375" customWidth="1"/>
    <col min="11" max="11" width="14.6640625" customWidth="1"/>
    <col min="12" max="12" width="19" customWidth="1"/>
    <col min="13" max="13" width="14.77734375" customWidth="1"/>
    <col min="14" max="14" width="17.109375" customWidth="1"/>
    <col min="15" max="15" width="18" customWidth="1"/>
    <col min="16" max="16" width="19" customWidth="1"/>
    <col min="17" max="17" width="17.6640625" customWidth="1"/>
    <col min="18" max="18" width="22.77734375" customWidth="1"/>
    <col min="19" max="19" width="16.441406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158</v>
      </c>
      <c r="T1" t="s">
        <v>159</v>
      </c>
    </row>
    <row r="2" spans="1:20" x14ac:dyDescent="0.3">
      <c r="A2">
        <v>1</v>
      </c>
      <c r="B2">
        <v>55</v>
      </c>
      <c r="C2" t="s">
        <v>18</v>
      </c>
      <c r="D2" t="s">
        <v>19</v>
      </c>
      <c r="E2" t="s">
        <v>20</v>
      </c>
      <c r="F2">
        <v>53</v>
      </c>
      <c r="G2" t="s">
        <v>21</v>
      </c>
      <c r="H2" t="s">
        <v>22</v>
      </c>
      <c r="I2" t="s">
        <v>23</v>
      </c>
      <c r="J2" t="s">
        <v>24</v>
      </c>
      <c r="K2">
        <v>3.1</v>
      </c>
      <c r="L2" t="s">
        <v>25</v>
      </c>
      <c r="M2" t="s">
        <v>26</v>
      </c>
      <c r="N2" t="s">
        <v>25</v>
      </c>
      <c r="O2" t="s">
        <v>25</v>
      </c>
      <c r="P2">
        <v>14</v>
      </c>
      <c r="Q2" t="s">
        <v>27</v>
      </c>
      <c r="R2" t="s">
        <v>28</v>
      </c>
      <c r="S2" t="str">
        <f>INDEX(Q:Q,MATCH(Table1[[#This Row],[Item Purchased]],D:D))</f>
        <v>Venmo</v>
      </c>
      <c r="T2">
        <f>SUMIF(J:J,Table1[[#This Row],[Season]],F:F)</f>
        <v>58607</v>
      </c>
    </row>
    <row r="3" spans="1:20" x14ac:dyDescent="0.3">
      <c r="A3">
        <v>2</v>
      </c>
      <c r="B3">
        <v>19</v>
      </c>
      <c r="C3" t="s">
        <v>18</v>
      </c>
      <c r="D3" t="s">
        <v>29</v>
      </c>
      <c r="E3" t="s">
        <v>20</v>
      </c>
      <c r="F3">
        <v>64</v>
      </c>
      <c r="G3" t="s">
        <v>30</v>
      </c>
      <c r="H3" t="s">
        <v>22</v>
      </c>
      <c r="I3" t="s">
        <v>31</v>
      </c>
      <c r="J3" t="s">
        <v>24</v>
      </c>
      <c r="K3">
        <v>3.1</v>
      </c>
      <c r="L3" t="s">
        <v>25</v>
      </c>
      <c r="M3" t="s">
        <v>26</v>
      </c>
      <c r="N3" t="s">
        <v>25</v>
      </c>
      <c r="O3" t="s">
        <v>25</v>
      </c>
      <c r="P3">
        <v>2</v>
      </c>
      <c r="Q3" t="s">
        <v>32</v>
      </c>
      <c r="R3" t="s">
        <v>28</v>
      </c>
      <c r="S3" t="str">
        <f>INDEX(Q:Q,MATCH(Table1[[#This Row],[Item Purchased]],D:D))</f>
        <v>Venmo</v>
      </c>
      <c r="T3">
        <f>SUMIF(J:J,Table1[[#This Row],[Season]],F:F)</f>
        <v>58607</v>
      </c>
    </row>
    <row r="4" spans="1:20" x14ac:dyDescent="0.3">
      <c r="A4">
        <v>3</v>
      </c>
      <c r="B4">
        <v>50</v>
      </c>
      <c r="C4" t="s">
        <v>18</v>
      </c>
      <c r="D4" t="s">
        <v>33</v>
      </c>
      <c r="E4" t="s">
        <v>20</v>
      </c>
      <c r="F4">
        <v>73</v>
      </c>
      <c r="G4" t="s">
        <v>34</v>
      </c>
      <c r="H4" t="s">
        <v>35</v>
      </c>
      <c r="I4" t="s">
        <v>31</v>
      </c>
      <c r="J4" t="s">
        <v>36</v>
      </c>
      <c r="K4">
        <v>3.1</v>
      </c>
      <c r="L4" t="s">
        <v>25</v>
      </c>
      <c r="M4" t="s">
        <v>37</v>
      </c>
      <c r="N4" t="s">
        <v>25</v>
      </c>
      <c r="O4" t="s">
        <v>25</v>
      </c>
      <c r="P4">
        <v>23</v>
      </c>
      <c r="Q4" t="s">
        <v>38</v>
      </c>
      <c r="R4" t="s">
        <v>39</v>
      </c>
      <c r="S4" t="str">
        <f>INDEX(Q:Q,MATCH(Table1[[#This Row],[Item Purchased]],D:D))</f>
        <v>Cash</v>
      </c>
      <c r="T4">
        <f>SUMIF(J:J,Table1[[#This Row],[Season]],F:F)</f>
        <v>58679</v>
      </c>
    </row>
    <row r="5" spans="1:20" x14ac:dyDescent="0.3">
      <c r="A5">
        <v>4</v>
      </c>
      <c r="B5">
        <v>21</v>
      </c>
      <c r="C5" t="s">
        <v>18</v>
      </c>
      <c r="D5" t="s">
        <v>40</v>
      </c>
      <c r="E5" t="s">
        <v>41</v>
      </c>
      <c r="F5">
        <v>90</v>
      </c>
      <c r="G5" t="s">
        <v>42</v>
      </c>
      <c r="H5" t="s">
        <v>43</v>
      </c>
      <c r="I5" t="s">
        <v>31</v>
      </c>
      <c r="J5" t="s">
        <v>36</v>
      </c>
      <c r="K5">
        <v>3.5</v>
      </c>
      <c r="L5" t="s">
        <v>25</v>
      </c>
      <c r="M5" t="s">
        <v>44</v>
      </c>
      <c r="N5" t="s">
        <v>25</v>
      </c>
      <c r="O5" t="s">
        <v>25</v>
      </c>
      <c r="P5">
        <v>49</v>
      </c>
      <c r="Q5" t="s">
        <v>45</v>
      </c>
      <c r="R5" t="s">
        <v>39</v>
      </c>
      <c r="S5" t="str">
        <f>INDEX(Q:Q,MATCH(Table1[[#This Row],[Item Purchased]],D:D))</f>
        <v>Bank Transfer</v>
      </c>
      <c r="T5">
        <f>SUMIF(J:J,Table1[[#This Row],[Season]],F:F)</f>
        <v>58679</v>
      </c>
    </row>
    <row r="6" spans="1:20" x14ac:dyDescent="0.3">
      <c r="A6">
        <v>5</v>
      </c>
      <c r="B6">
        <v>45</v>
      </c>
      <c r="C6" t="s">
        <v>18</v>
      </c>
      <c r="D6" t="s">
        <v>19</v>
      </c>
      <c r="E6" t="s">
        <v>20</v>
      </c>
      <c r="F6">
        <v>49</v>
      </c>
      <c r="G6" t="s">
        <v>46</v>
      </c>
      <c r="H6" t="s">
        <v>43</v>
      </c>
      <c r="I6" t="s">
        <v>47</v>
      </c>
      <c r="J6" t="s">
        <v>36</v>
      </c>
      <c r="K6">
        <v>2.7</v>
      </c>
      <c r="L6" t="s">
        <v>25</v>
      </c>
      <c r="M6" t="s">
        <v>37</v>
      </c>
      <c r="N6" t="s">
        <v>25</v>
      </c>
      <c r="O6" t="s">
        <v>25</v>
      </c>
      <c r="P6">
        <v>31</v>
      </c>
      <c r="Q6" t="s">
        <v>45</v>
      </c>
      <c r="R6" t="s">
        <v>48</v>
      </c>
      <c r="S6" t="str">
        <f>INDEX(Q:Q,MATCH(Table1[[#This Row],[Item Purchased]],D:D))</f>
        <v>Venmo</v>
      </c>
      <c r="T6">
        <f>SUMIF(J:J,Table1[[#This Row],[Season]],F:F)</f>
        <v>58679</v>
      </c>
    </row>
    <row r="7" spans="1:20" x14ac:dyDescent="0.3">
      <c r="A7">
        <v>6</v>
      </c>
      <c r="B7">
        <v>46</v>
      </c>
      <c r="C7" t="s">
        <v>18</v>
      </c>
      <c r="D7" t="s">
        <v>49</v>
      </c>
      <c r="E7" t="s">
        <v>41</v>
      </c>
      <c r="F7">
        <v>20</v>
      </c>
      <c r="G7" t="s">
        <v>50</v>
      </c>
      <c r="H7" t="s">
        <v>43</v>
      </c>
      <c r="I7" t="s">
        <v>51</v>
      </c>
      <c r="J7" t="s">
        <v>52</v>
      </c>
      <c r="K7">
        <v>2.9</v>
      </c>
      <c r="L7" t="s">
        <v>25</v>
      </c>
      <c r="M7" t="s">
        <v>53</v>
      </c>
      <c r="N7" t="s">
        <v>25</v>
      </c>
      <c r="O7" t="s">
        <v>25</v>
      </c>
      <c r="P7">
        <v>14</v>
      </c>
      <c r="Q7" t="s">
        <v>27</v>
      </c>
      <c r="R7" t="s">
        <v>39</v>
      </c>
      <c r="S7" t="str">
        <f>INDEX(Q:Q,MATCH(Table1[[#This Row],[Item Purchased]],D:D))</f>
        <v>Venmo</v>
      </c>
      <c r="T7">
        <f>SUMIF(J:J,Table1[[#This Row],[Season]],F:F)</f>
        <v>55777</v>
      </c>
    </row>
    <row r="8" spans="1:20" x14ac:dyDescent="0.3">
      <c r="A8">
        <v>7</v>
      </c>
      <c r="B8">
        <v>63</v>
      </c>
      <c r="C8" t="s">
        <v>18</v>
      </c>
      <c r="D8" t="s">
        <v>54</v>
      </c>
      <c r="E8" t="s">
        <v>20</v>
      </c>
      <c r="F8">
        <v>85</v>
      </c>
      <c r="G8" t="s">
        <v>55</v>
      </c>
      <c r="H8" t="s">
        <v>43</v>
      </c>
      <c r="I8" t="s">
        <v>23</v>
      </c>
      <c r="J8" t="s">
        <v>56</v>
      </c>
      <c r="K8">
        <v>3.2</v>
      </c>
      <c r="L8" t="s">
        <v>25</v>
      </c>
      <c r="M8" t="s">
        <v>37</v>
      </c>
      <c r="N8" t="s">
        <v>25</v>
      </c>
      <c r="O8" t="s">
        <v>25</v>
      </c>
      <c r="P8">
        <v>49</v>
      </c>
      <c r="Q8" t="s">
        <v>32</v>
      </c>
      <c r="R8" t="s">
        <v>57</v>
      </c>
      <c r="S8" t="str">
        <f>INDEX(Q:Q,MATCH(Table1[[#This Row],[Item Purchased]],D:D))</f>
        <v>Bank Transfer</v>
      </c>
      <c r="T8">
        <f>SUMIF(J:J,Table1[[#This Row],[Season]],F:F)</f>
        <v>60018</v>
      </c>
    </row>
    <row r="9" spans="1:20" x14ac:dyDescent="0.3">
      <c r="A9">
        <v>8</v>
      </c>
      <c r="B9">
        <v>27</v>
      </c>
      <c r="C9" t="s">
        <v>18</v>
      </c>
      <c r="D9" t="s">
        <v>58</v>
      </c>
      <c r="E9" t="s">
        <v>20</v>
      </c>
      <c r="F9">
        <v>34</v>
      </c>
      <c r="G9" t="s">
        <v>59</v>
      </c>
      <c r="H9" t="s">
        <v>22</v>
      </c>
      <c r="I9" t="s">
        <v>60</v>
      </c>
      <c r="J9" t="s">
        <v>24</v>
      </c>
      <c r="K9">
        <v>3.2</v>
      </c>
      <c r="L9" t="s">
        <v>25</v>
      </c>
      <c r="M9" t="s">
        <v>37</v>
      </c>
      <c r="N9" t="s">
        <v>25</v>
      </c>
      <c r="O9" t="s">
        <v>25</v>
      </c>
      <c r="P9">
        <v>19</v>
      </c>
      <c r="Q9" t="s">
        <v>38</v>
      </c>
      <c r="R9" t="s">
        <v>39</v>
      </c>
      <c r="S9" t="str">
        <f>INDEX(Q:Q,MATCH(Table1[[#This Row],[Item Purchased]],D:D))</f>
        <v>PayPal</v>
      </c>
      <c r="T9">
        <f>SUMIF(J:J,Table1[[#This Row],[Season]],F:F)</f>
        <v>58607</v>
      </c>
    </row>
    <row r="10" spans="1:20" x14ac:dyDescent="0.3">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c r="S10" t="str">
        <f>INDEX(Q:Q,MATCH(Table1[[#This Row],[Item Purchased]],D:D))</f>
        <v>Debit Card</v>
      </c>
      <c r="T10">
        <f>SUMIF(J:J,Table1[[#This Row],[Season]],F:F)</f>
        <v>55777</v>
      </c>
    </row>
    <row r="11" spans="1:20" x14ac:dyDescent="0.3">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c r="S11" t="str">
        <f>INDEX(Q:Q,MATCH(Table1[[#This Row],[Item Purchased]],D:D))</f>
        <v>Cash</v>
      </c>
      <c r="T11">
        <f>SUMIF(J:J,Table1[[#This Row],[Season]],F:F)</f>
        <v>58679</v>
      </c>
    </row>
    <row r="12" spans="1:20" x14ac:dyDescent="0.3">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c r="S12" t="str">
        <f>INDEX(Q:Q,MATCH(Table1[[#This Row],[Item Purchased]],D:D))</f>
        <v>PayPal</v>
      </c>
      <c r="T12">
        <f>SUMIF(J:J,Table1[[#This Row],[Season]],F:F)</f>
        <v>60018</v>
      </c>
    </row>
    <row r="13" spans="1:20" x14ac:dyDescent="0.3">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c r="S13" t="str">
        <f>INDEX(Q:Q,MATCH(Table1[[#This Row],[Item Purchased]],D:D))</f>
        <v>PayPal</v>
      </c>
      <c r="T13">
        <f>SUMIF(J:J,Table1[[#This Row],[Season]],F:F)</f>
        <v>58607</v>
      </c>
    </row>
    <row r="14" spans="1:20" x14ac:dyDescent="0.3">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c r="S14" t="str">
        <f>INDEX(Q:Q,MATCH(Table1[[#This Row],[Item Purchased]],D:D))</f>
        <v>Debit Card</v>
      </c>
      <c r="T14">
        <f>SUMIF(J:J,Table1[[#This Row],[Season]],F:F)</f>
        <v>58607</v>
      </c>
    </row>
    <row r="15" spans="1:20" x14ac:dyDescent="0.3">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c r="S15" t="str">
        <f>INDEX(Q:Q,MATCH(Table1[[#This Row],[Item Purchased]],D:D))</f>
        <v>Debit Card</v>
      </c>
      <c r="T15">
        <f>SUMIF(J:J,Table1[[#This Row],[Season]],F:F)</f>
        <v>58679</v>
      </c>
    </row>
    <row r="16" spans="1:20" x14ac:dyDescent="0.3">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c r="S16" t="str">
        <f>INDEX(Q:Q,MATCH(Table1[[#This Row],[Item Purchased]],D:D))</f>
        <v>Debit Card</v>
      </c>
      <c r="T16">
        <f>SUMIF(J:J,Table1[[#This Row],[Season]],F:F)</f>
        <v>58607</v>
      </c>
    </row>
    <row r="17" spans="1:20" x14ac:dyDescent="0.3">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c r="S17" t="str">
        <f>INDEX(Q:Q,MATCH(Table1[[#This Row],[Item Purchased]],D:D))</f>
        <v>Credit Card</v>
      </c>
      <c r="T17">
        <f>SUMIF(J:J,Table1[[#This Row],[Season]],F:F)</f>
        <v>58607</v>
      </c>
    </row>
    <row r="18" spans="1:20" x14ac:dyDescent="0.3">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c r="S18" t="str">
        <f>INDEX(Q:Q,MATCH(Table1[[#This Row],[Item Purchased]],D:D))</f>
        <v>Venmo</v>
      </c>
      <c r="T18">
        <f>SUMIF(J:J,Table1[[#This Row],[Season]],F:F)</f>
        <v>58679</v>
      </c>
    </row>
    <row r="19" spans="1:20" x14ac:dyDescent="0.3">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c r="S19" t="str">
        <f>INDEX(Q:Q,MATCH(Table1[[#This Row],[Item Purchased]],D:D))</f>
        <v>Debit Card</v>
      </c>
      <c r="T19">
        <f>SUMIF(J:J,Table1[[#This Row],[Season]],F:F)</f>
        <v>58607</v>
      </c>
    </row>
    <row r="20" spans="1:20" x14ac:dyDescent="0.3">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c r="S20" t="str">
        <f>INDEX(Q:Q,MATCH(Table1[[#This Row],[Item Purchased]],D:D))</f>
        <v>Venmo</v>
      </c>
      <c r="T20">
        <f>SUMIF(J:J,Table1[[#This Row],[Season]],F:F)</f>
        <v>55777</v>
      </c>
    </row>
    <row r="21" spans="1:20" x14ac:dyDescent="0.3">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c r="S21" t="str">
        <f>INDEX(Q:Q,MATCH(Table1[[#This Row],[Item Purchased]],D:D))</f>
        <v>Cash</v>
      </c>
      <c r="T21">
        <f>SUMIF(J:J,Table1[[#This Row],[Season]],F:F)</f>
        <v>55777</v>
      </c>
    </row>
    <row r="22" spans="1:20" x14ac:dyDescent="0.3">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c r="S22" t="str">
        <f>INDEX(Q:Q,MATCH(Table1[[#This Row],[Item Purchased]],D:D))</f>
        <v>Cash</v>
      </c>
      <c r="T22">
        <f>SUMIF(J:J,Table1[[#This Row],[Season]],F:F)</f>
        <v>58607</v>
      </c>
    </row>
    <row r="23" spans="1:20" x14ac:dyDescent="0.3">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c r="S23" t="str">
        <f>INDEX(Q:Q,MATCH(Table1[[#This Row],[Item Purchased]],D:D))</f>
        <v>Cash</v>
      </c>
      <c r="T23">
        <f>SUMIF(J:J,Table1[[#This Row],[Season]],F:F)</f>
        <v>58607</v>
      </c>
    </row>
    <row r="24" spans="1:20" x14ac:dyDescent="0.3">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c r="S24" t="str">
        <f>INDEX(Q:Q,MATCH(Table1[[#This Row],[Item Purchased]],D:D))</f>
        <v>Cash</v>
      </c>
      <c r="T24">
        <f>SUMIF(J:J,Table1[[#This Row],[Season]],F:F)</f>
        <v>55777</v>
      </c>
    </row>
    <row r="25" spans="1:20" x14ac:dyDescent="0.3">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c r="S25" t="str">
        <f>INDEX(Q:Q,MATCH(Table1[[#This Row],[Item Purchased]],D:D))</f>
        <v>Cash</v>
      </c>
      <c r="T25">
        <f>SUMIF(J:J,Table1[[#This Row],[Season]],F:F)</f>
        <v>58607</v>
      </c>
    </row>
    <row r="26" spans="1:20" x14ac:dyDescent="0.3">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c r="S26" t="str">
        <f>INDEX(Q:Q,MATCH(Table1[[#This Row],[Item Purchased]],D:D))</f>
        <v>Debit Card</v>
      </c>
      <c r="T26">
        <f>SUMIF(J:J,Table1[[#This Row],[Season]],F:F)</f>
        <v>60018</v>
      </c>
    </row>
    <row r="27" spans="1:20" x14ac:dyDescent="0.3">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c r="S27" t="str">
        <f>INDEX(Q:Q,MATCH(Table1[[#This Row],[Item Purchased]],D:D))</f>
        <v>Venmo</v>
      </c>
      <c r="T27">
        <f>SUMIF(J:J,Table1[[#This Row],[Season]],F:F)</f>
        <v>55777</v>
      </c>
    </row>
    <row r="28" spans="1:20" x14ac:dyDescent="0.3">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c r="S28" t="str">
        <f>INDEX(Q:Q,MATCH(Table1[[#This Row],[Item Purchased]],D:D))</f>
        <v>Cash</v>
      </c>
      <c r="T28">
        <f>SUMIF(J:J,Table1[[#This Row],[Season]],F:F)</f>
        <v>58679</v>
      </c>
    </row>
    <row r="29" spans="1:20" x14ac:dyDescent="0.3">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c r="S29" t="str">
        <f>INDEX(Q:Q,MATCH(Table1[[#This Row],[Item Purchased]],D:D))</f>
        <v>PayPal</v>
      </c>
      <c r="T29">
        <f>SUMIF(J:J,Table1[[#This Row],[Season]],F:F)</f>
        <v>55777</v>
      </c>
    </row>
    <row r="30" spans="1:20" x14ac:dyDescent="0.3">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c r="S30" t="str">
        <f>INDEX(Q:Q,MATCH(Table1[[#This Row],[Item Purchased]],D:D))</f>
        <v>Cash</v>
      </c>
      <c r="T30">
        <f>SUMIF(J:J,Table1[[#This Row],[Season]],F:F)</f>
        <v>60018</v>
      </c>
    </row>
    <row r="31" spans="1:20" x14ac:dyDescent="0.3">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c r="S31" t="str">
        <f>INDEX(Q:Q,MATCH(Table1[[#This Row],[Item Purchased]],D:D))</f>
        <v>Debit Card</v>
      </c>
      <c r="T31">
        <f>SUMIF(J:J,Table1[[#This Row],[Season]],F:F)</f>
        <v>60018</v>
      </c>
    </row>
    <row r="32" spans="1:20" x14ac:dyDescent="0.3">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c r="S32" t="str">
        <f>INDEX(Q:Q,MATCH(Table1[[#This Row],[Item Purchased]],D:D))</f>
        <v>Cash</v>
      </c>
      <c r="T32">
        <f>SUMIF(J:J,Table1[[#This Row],[Season]],F:F)</f>
        <v>58607</v>
      </c>
    </row>
    <row r="33" spans="1:20" x14ac:dyDescent="0.3">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c r="S33" t="str">
        <f>INDEX(Q:Q,MATCH(Table1[[#This Row],[Item Purchased]],D:D))</f>
        <v>Debit Card</v>
      </c>
      <c r="T33">
        <f>SUMIF(J:J,Table1[[#This Row],[Season]],F:F)</f>
        <v>58607</v>
      </c>
    </row>
    <row r="34" spans="1:20" x14ac:dyDescent="0.3">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c r="S34" t="str">
        <f>INDEX(Q:Q,MATCH(Table1[[#This Row],[Item Purchased]],D:D))</f>
        <v>Debit Card</v>
      </c>
      <c r="T34">
        <f>SUMIF(J:J,Table1[[#This Row],[Season]],F:F)</f>
        <v>55777</v>
      </c>
    </row>
    <row r="35" spans="1:20" x14ac:dyDescent="0.3">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c r="S35" t="str">
        <f>INDEX(Q:Q,MATCH(Table1[[#This Row],[Item Purchased]],D:D))</f>
        <v>Cash</v>
      </c>
      <c r="T35">
        <f>SUMIF(J:J,Table1[[#This Row],[Season]],F:F)</f>
        <v>55777</v>
      </c>
    </row>
    <row r="36" spans="1:20" x14ac:dyDescent="0.3">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c r="S36" t="str">
        <f>INDEX(Q:Q,MATCH(Table1[[#This Row],[Item Purchased]],D:D))</f>
        <v>Venmo</v>
      </c>
      <c r="T36">
        <f>SUMIF(J:J,Table1[[#This Row],[Season]],F:F)</f>
        <v>58679</v>
      </c>
    </row>
    <row r="37" spans="1:20" x14ac:dyDescent="0.3">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c r="S37" t="str">
        <f>INDEX(Q:Q,MATCH(Table1[[#This Row],[Item Purchased]],D:D))</f>
        <v>Venmo</v>
      </c>
      <c r="T37">
        <f>SUMIF(J:J,Table1[[#This Row],[Season]],F:F)</f>
        <v>55777</v>
      </c>
    </row>
    <row r="38" spans="1:20" x14ac:dyDescent="0.3">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c r="S38" t="str">
        <f>INDEX(Q:Q,MATCH(Table1[[#This Row],[Item Purchased]],D:D))</f>
        <v>Venmo</v>
      </c>
      <c r="T38">
        <f>SUMIF(J:J,Table1[[#This Row],[Season]],F:F)</f>
        <v>58607</v>
      </c>
    </row>
    <row r="39" spans="1:20" x14ac:dyDescent="0.3">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c r="S39" t="str">
        <f>INDEX(Q:Q,MATCH(Table1[[#This Row],[Item Purchased]],D:D))</f>
        <v>Cash</v>
      </c>
      <c r="T39">
        <f>SUMIF(J:J,Table1[[#This Row],[Season]],F:F)</f>
        <v>55777</v>
      </c>
    </row>
    <row r="40" spans="1:20" x14ac:dyDescent="0.3">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c r="S40" t="str">
        <f>INDEX(Q:Q,MATCH(Table1[[#This Row],[Item Purchased]],D:D))</f>
        <v>Debit Card</v>
      </c>
      <c r="T40">
        <f>SUMIF(J:J,Table1[[#This Row],[Season]],F:F)</f>
        <v>58607</v>
      </c>
    </row>
    <row r="41" spans="1:20" x14ac:dyDescent="0.3">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c r="S41" t="str">
        <f>INDEX(Q:Q,MATCH(Table1[[#This Row],[Item Purchased]],D:D))</f>
        <v>Cash</v>
      </c>
      <c r="T41">
        <f>SUMIF(J:J,Table1[[#This Row],[Season]],F:F)</f>
        <v>55777</v>
      </c>
    </row>
    <row r="42" spans="1:20" x14ac:dyDescent="0.3">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c r="S42" t="str">
        <f>INDEX(Q:Q,MATCH(Table1[[#This Row],[Item Purchased]],D:D))</f>
        <v>Cash</v>
      </c>
      <c r="T42">
        <f>SUMIF(J:J,Table1[[#This Row],[Season]],F:F)</f>
        <v>58607</v>
      </c>
    </row>
    <row r="43" spans="1:20" x14ac:dyDescent="0.3">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c r="S43" t="str">
        <f>INDEX(Q:Q,MATCH(Table1[[#This Row],[Item Purchased]],D:D))</f>
        <v>Bank Transfer</v>
      </c>
      <c r="T43">
        <f>SUMIF(J:J,Table1[[#This Row],[Season]],F:F)</f>
        <v>58679</v>
      </c>
    </row>
    <row r="44" spans="1:20" x14ac:dyDescent="0.3">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c r="S44" t="str">
        <f>INDEX(Q:Q,MATCH(Table1[[#This Row],[Item Purchased]],D:D))</f>
        <v>Debit Card</v>
      </c>
      <c r="T44">
        <f>SUMIF(J:J,Table1[[#This Row],[Season]],F:F)</f>
        <v>58679</v>
      </c>
    </row>
    <row r="45" spans="1:20" x14ac:dyDescent="0.3">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c r="S45" t="str">
        <f>INDEX(Q:Q,MATCH(Table1[[#This Row],[Item Purchased]],D:D))</f>
        <v>Bank Transfer</v>
      </c>
      <c r="T45">
        <f>SUMIF(J:J,Table1[[#This Row],[Season]],F:F)</f>
        <v>60018</v>
      </c>
    </row>
    <row r="46" spans="1:20" x14ac:dyDescent="0.3">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c r="S46" t="str">
        <f>INDEX(Q:Q,MATCH(Table1[[#This Row],[Item Purchased]],D:D))</f>
        <v>Venmo</v>
      </c>
      <c r="T46">
        <f>SUMIF(J:J,Table1[[#This Row],[Season]],F:F)</f>
        <v>55777</v>
      </c>
    </row>
    <row r="47" spans="1:20" x14ac:dyDescent="0.3">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c r="S47" t="str">
        <f>INDEX(Q:Q,MATCH(Table1[[#This Row],[Item Purchased]],D:D))</f>
        <v>Venmo</v>
      </c>
      <c r="T47">
        <f>SUMIF(J:J,Table1[[#This Row],[Season]],F:F)</f>
        <v>60018</v>
      </c>
    </row>
    <row r="48" spans="1:20" x14ac:dyDescent="0.3">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c r="S48" t="str">
        <f>INDEX(Q:Q,MATCH(Table1[[#This Row],[Item Purchased]],D:D))</f>
        <v>Bank Transfer</v>
      </c>
      <c r="T48">
        <f>SUMIF(J:J,Table1[[#This Row],[Season]],F:F)</f>
        <v>55777</v>
      </c>
    </row>
    <row r="49" spans="1:20" x14ac:dyDescent="0.3">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c r="S49" t="str">
        <f>INDEX(Q:Q,MATCH(Table1[[#This Row],[Item Purchased]],D:D))</f>
        <v>Cash</v>
      </c>
      <c r="T49">
        <f>SUMIF(J:J,Table1[[#This Row],[Season]],F:F)</f>
        <v>58607</v>
      </c>
    </row>
    <row r="50" spans="1:20" x14ac:dyDescent="0.3">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c r="S50" t="str">
        <f>INDEX(Q:Q,MATCH(Table1[[#This Row],[Item Purchased]],D:D))</f>
        <v>Bank Transfer</v>
      </c>
      <c r="T50">
        <f>SUMIF(J:J,Table1[[#This Row],[Season]],F:F)</f>
        <v>55777</v>
      </c>
    </row>
    <row r="51" spans="1:20" x14ac:dyDescent="0.3">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c r="S51" t="str">
        <f>INDEX(Q:Q,MATCH(Table1[[#This Row],[Item Purchased]],D:D))</f>
        <v>Venmo</v>
      </c>
      <c r="T51">
        <f>SUMIF(J:J,Table1[[#This Row],[Season]],F:F)</f>
        <v>58679</v>
      </c>
    </row>
    <row r="52" spans="1:20" x14ac:dyDescent="0.3">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c r="S52" t="str">
        <f>INDEX(Q:Q,MATCH(Table1[[#This Row],[Item Purchased]],D:D))</f>
        <v>Venmo</v>
      </c>
      <c r="T52">
        <f>SUMIF(J:J,Table1[[#This Row],[Season]],F:F)</f>
        <v>58679</v>
      </c>
    </row>
    <row r="53" spans="1:20" x14ac:dyDescent="0.3">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c r="S53" t="str">
        <f>INDEX(Q:Q,MATCH(Table1[[#This Row],[Item Purchased]],D:D))</f>
        <v>Credit Card</v>
      </c>
      <c r="T53">
        <f>SUMIF(J:J,Table1[[#This Row],[Season]],F:F)</f>
        <v>58607</v>
      </c>
    </row>
    <row r="54" spans="1:20" x14ac:dyDescent="0.3">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c r="S54" t="str">
        <f>INDEX(Q:Q,MATCH(Table1[[#This Row],[Item Purchased]],D:D))</f>
        <v>Venmo</v>
      </c>
      <c r="T54">
        <f>SUMIF(J:J,Table1[[#This Row],[Season]],F:F)</f>
        <v>55777</v>
      </c>
    </row>
    <row r="55" spans="1:20" x14ac:dyDescent="0.3">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c r="S55" t="str">
        <f>INDEX(Q:Q,MATCH(Table1[[#This Row],[Item Purchased]],D:D))</f>
        <v>Credit Card</v>
      </c>
      <c r="T55">
        <f>SUMIF(J:J,Table1[[#This Row],[Season]],F:F)</f>
        <v>58607</v>
      </c>
    </row>
    <row r="56" spans="1:20" x14ac:dyDescent="0.3">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c r="S56" t="str">
        <f>INDEX(Q:Q,MATCH(Table1[[#This Row],[Item Purchased]],D:D))</f>
        <v>Debit Card</v>
      </c>
      <c r="T56">
        <f>SUMIF(J:J,Table1[[#This Row],[Season]],F:F)</f>
        <v>55777</v>
      </c>
    </row>
    <row r="57" spans="1:20" x14ac:dyDescent="0.3">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c r="S57" t="str">
        <f>INDEX(Q:Q,MATCH(Table1[[#This Row],[Item Purchased]],D:D))</f>
        <v>Debit Card</v>
      </c>
      <c r="T57">
        <f>SUMIF(J:J,Table1[[#This Row],[Season]],F:F)</f>
        <v>58607</v>
      </c>
    </row>
    <row r="58" spans="1:20" x14ac:dyDescent="0.3">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c r="S58" t="e">
        <f>INDEX(Q:Q,MATCH(Table1[[#This Row],[Item Purchased]],D:D))</f>
        <v>#N/A</v>
      </c>
      <c r="T58">
        <f>SUMIF(J:J,Table1[[#This Row],[Season]],F:F)</f>
        <v>55777</v>
      </c>
    </row>
    <row r="59" spans="1:20" x14ac:dyDescent="0.3">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c r="S59" t="str">
        <f>INDEX(Q:Q,MATCH(Table1[[#This Row],[Item Purchased]],D:D))</f>
        <v>Debit Card</v>
      </c>
      <c r="T59">
        <f>SUMIF(J:J,Table1[[#This Row],[Season]],F:F)</f>
        <v>55777</v>
      </c>
    </row>
    <row r="60" spans="1:20" x14ac:dyDescent="0.3">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c r="S60" t="str">
        <f>INDEX(Q:Q,MATCH(Table1[[#This Row],[Item Purchased]],D:D))</f>
        <v>Venmo</v>
      </c>
      <c r="T60">
        <f>SUMIF(J:J,Table1[[#This Row],[Season]],F:F)</f>
        <v>55777</v>
      </c>
    </row>
    <row r="61" spans="1:20" x14ac:dyDescent="0.3">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c r="S61" t="e">
        <f>INDEX(Q:Q,MATCH(Table1[[#This Row],[Item Purchased]],D:D))</f>
        <v>#N/A</v>
      </c>
      <c r="T61">
        <f>SUMIF(J:J,Table1[[#This Row],[Season]],F:F)</f>
        <v>58679</v>
      </c>
    </row>
    <row r="62" spans="1:20" x14ac:dyDescent="0.3">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c r="S62" t="str">
        <f>INDEX(Q:Q,MATCH(Table1[[#This Row],[Item Purchased]],D:D))</f>
        <v>Venmo</v>
      </c>
      <c r="T62">
        <f>SUMIF(J:J,Table1[[#This Row],[Season]],F:F)</f>
        <v>55777</v>
      </c>
    </row>
    <row r="63" spans="1:20" x14ac:dyDescent="0.3">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c r="S63" t="str">
        <f>INDEX(Q:Q,MATCH(Table1[[#This Row],[Item Purchased]],D:D))</f>
        <v>Bank Transfer</v>
      </c>
      <c r="T63">
        <f>SUMIF(J:J,Table1[[#This Row],[Season]],F:F)</f>
        <v>58607</v>
      </c>
    </row>
    <row r="64" spans="1:20" x14ac:dyDescent="0.3">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c r="S64" t="str">
        <f>INDEX(Q:Q,MATCH(Table1[[#This Row],[Item Purchased]],D:D))</f>
        <v>Venmo</v>
      </c>
      <c r="T64">
        <f>SUMIF(J:J,Table1[[#This Row],[Season]],F:F)</f>
        <v>58679</v>
      </c>
    </row>
    <row r="65" spans="1:20" x14ac:dyDescent="0.3">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c r="S65" t="str">
        <f>INDEX(Q:Q,MATCH(Table1[[#This Row],[Item Purchased]],D:D))</f>
        <v>Venmo</v>
      </c>
      <c r="T65">
        <f>SUMIF(J:J,Table1[[#This Row],[Season]],F:F)</f>
        <v>58607</v>
      </c>
    </row>
    <row r="66" spans="1:20" x14ac:dyDescent="0.3">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c r="S66" t="str">
        <f>INDEX(Q:Q,MATCH(Table1[[#This Row],[Item Purchased]],D:D))</f>
        <v>Venmo</v>
      </c>
      <c r="T66">
        <f>SUMIF(J:J,Table1[[#This Row],[Season]],F:F)</f>
        <v>60018</v>
      </c>
    </row>
    <row r="67" spans="1:20" x14ac:dyDescent="0.3">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c r="S67" t="e">
        <f>INDEX(Q:Q,MATCH(Table1[[#This Row],[Item Purchased]],D:D))</f>
        <v>#N/A</v>
      </c>
      <c r="T67">
        <f>SUMIF(J:J,Table1[[#This Row],[Season]],F:F)</f>
        <v>58679</v>
      </c>
    </row>
    <row r="68" spans="1:20" x14ac:dyDescent="0.3">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c r="S68" t="str">
        <f>INDEX(Q:Q,MATCH(Table1[[#This Row],[Item Purchased]],D:D))</f>
        <v>Venmo</v>
      </c>
      <c r="T68">
        <f>SUMIF(J:J,Table1[[#This Row],[Season]],F:F)</f>
        <v>58607</v>
      </c>
    </row>
    <row r="69" spans="1:20" x14ac:dyDescent="0.3">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c r="S69" t="str">
        <f>INDEX(Q:Q,MATCH(Table1[[#This Row],[Item Purchased]],D:D))</f>
        <v>Debit Card</v>
      </c>
      <c r="T69">
        <f>SUMIF(J:J,Table1[[#This Row],[Season]],F:F)</f>
        <v>58607</v>
      </c>
    </row>
    <row r="70" spans="1:20" x14ac:dyDescent="0.3">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c r="S70" t="str">
        <f>INDEX(Q:Q,MATCH(Table1[[#This Row],[Item Purchased]],D:D))</f>
        <v>Cash</v>
      </c>
      <c r="T70">
        <f>SUMIF(J:J,Table1[[#This Row],[Season]],F:F)</f>
        <v>55777</v>
      </c>
    </row>
    <row r="71" spans="1:20" x14ac:dyDescent="0.3">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c r="S71" t="e">
        <f>INDEX(Q:Q,MATCH(Table1[[#This Row],[Item Purchased]],D:D))</f>
        <v>#N/A</v>
      </c>
      <c r="T71">
        <f>SUMIF(J:J,Table1[[#This Row],[Season]],F:F)</f>
        <v>55777</v>
      </c>
    </row>
    <row r="72" spans="1:20" x14ac:dyDescent="0.3">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c r="S72" t="e">
        <f>INDEX(Q:Q,MATCH(Table1[[#This Row],[Item Purchased]],D:D))</f>
        <v>#N/A</v>
      </c>
      <c r="T72">
        <f>SUMIF(J:J,Table1[[#This Row],[Season]],F:F)</f>
        <v>60018</v>
      </c>
    </row>
    <row r="73" spans="1:20" x14ac:dyDescent="0.3">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c r="S73" t="str">
        <f>INDEX(Q:Q,MATCH(Table1[[#This Row],[Item Purchased]],D:D))</f>
        <v>Debit Card</v>
      </c>
      <c r="T73">
        <f>SUMIF(J:J,Table1[[#This Row],[Season]],F:F)</f>
        <v>55777</v>
      </c>
    </row>
    <row r="74" spans="1:20" x14ac:dyDescent="0.3">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c r="S74" t="str">
        <f>INDEX(Q:Q,MATCH(Table1[[#This Row],[Item Purchased]],D:D))</f>
        <v>Debit Card</v>
      </c>
      <c r="T74">
        <f>SUMIF(J:J,Table1[[#This Row],[Season]],F:F)</f>
        <v>58607</v>
      </c>
    </row>
    <row r="75" spans="1:20" x14ac:dyDescent="0.3">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c r="S75" t="str">
        <f>INDEX(Q:Q,MATCH(Table1[[#This Row],[Item Purchased]],D:D))</f>
        <v>Cash</v>
      </c>
      <c r="T75">
        <f>SUMIF(J:J,Table1[[#This Row],[Season]],F:F)</f>
        <v>58679</v>
      </c>
    </row>
    <row r="76" spans="1:20" x14ac:dyDescent="0.3">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c r="S76" t="str">
        <f>INDEX(Q:Q,MATCH(Table1[[#This Row],[Item Purchased]],D:D))</f>
        <v>Debit Card</v>
      </c>
      <c r="T76">
        <f>SUMIF(J:J,Table1[[#This Row],[Season]],F:F)</f>
        <v>58679</v>
      </c>
    </row>
    <row r="77" spans="1:20" x14ac:dyDescent="0.3">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c r="S77" t="str">
        <f>INDEX(Q:Q,MATCH(Table1[[#This Row],[Item Purchased]],D:D))</f>
        <v>Bank Transfer</v>
      </c>
      <c r="T77">
        <f>SUMIF(J:J,Table1[[#This Row],[Season]],F:F)</f>
        <v>55777</v>
      </c>
    </row>
    <row r="78" spans="1:20" x14ac:dyDescent="0.3">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c r="S78" t="str">
        <f>INDEX(Q:Q,MATCH(Table1[[#This Row],[Item Purchased]],D:D))</f>
        <v>Venmo</v>
      </c>
      <c r="T78">
        <f>SUMIF(J:J,Table1[[#This Row],[Season]],F:F)</f>
        <v>55777</v>
      </c>
    </row>
    <row r="79" spans="1:20" x14ac:dyDescent="0.3">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c r="S79" t="str">
        <f>INDEX(Q:Q,MATCH(Table1[[#This Row],[Item Purchased]],D:D))</f>
        <v>Debit Card</v>
      </c>
      <c r="T79">
        <f>SUMIF(J:J,Table1[[#This Row],[Season]],F:F)</f>
        <v>55777</v>
      </c>
    </row>
    <row r="80" spans="1:20" x14ac:dyDescent="0.3">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c r="S80" t="str">
        <f>INDEX(Q:Q,MATCH(Table1[[#This Row],[Item Purchased]],D:D))</f>
        <v>Credit Card</v>
      </c>
      <c r="T80">
        <f>SUMIF(J:J,Table1[[#This Row],[Season]],F:F)</f>
        <v>58679</v>
      </c>
    </row>
    <row r="81" spans="1:20" x14ac:dyDescent="0.3">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c r="S81" t="str">
        <f>INDEX(Q:Q,MATCH(Table1[[#This Row],[Item Purchased]],D:D))</f>
        <v>Debit Card</v>
      </c>
      <c r="T81">
        <f>SUMIF(J:J,Table1[[#This Row],[Season]],F:F)</f>
        <v>58607</v>
      </c>
    </row>
    <row r="82" spans="1:20" x14ac:dyDescent="0.3">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c r="S82" t="str">
        <f>INDEX(Q:Q,MATCH(Table1[[#This Row],[Item Purchased]],D:D))</f>
        <v>Bank Transfer</v>
      </c>
      <c r="T82">
        <f>SUMIF(J:J,Table1[[#This Row],[Season]],F:F)</f>
        <v>55777</v>
      </c>
    </row>
    <row r="83" spans="1:20" x14ac:dyDescent="0.3">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c r="S83" t="str">
        <f>INDEX(Q:Q,MATCH(Table1[[#This Row],[Item Purchased]],D:D))</f>
        <v>PayPal</v>
      </c>
      <c r="T83">
        <f>SUMIF(J:J,Table1[[#This Row],[Season]],F:F)</f>
        <v>55777</v>
      </c>
    </row>
    <row r="84" spans="1:20" x14ac:dyDescent="0.3">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c r="S84" t="str">
        <f>INDEX(Q:Q,MATCH(Table1[[#This Row],[Item Purchased]],D:D))</f>
        <v>Cash</v>
      </c>
      <c r="T84">
        <f>SUMIF(J:J,Table1[[#This Row],[Season]],F:F)</f>
        <v>58679</v>
      </c>
    </row>
    <row r="85" spans="1:20" x14ac:dyDescent="0.3">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c r="S85" t="str">
        <f>INDEX(Q:Q,MATCH(Table1[[#This Row],[Item Purchased]],D:D))</f>
        <v>Debit Card</v>
      </c>
      <c r="T85">
        <f>SUMIF(J:J,Table1[[#This Row],[Season]],F:F)</f>
        <v>55777</v>
      </c>
    </row>
    <row r="86" spans="1:20" x14ac:dyDescent="0.3">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c r="S86" t="str">
        <f>INDEX(Q:Q,MATCH(Table1[[#This Row],[Item Purchased]],D:D))</f>
        <v>Debit Card</v>
      </c>
      <c r="T86">
        <f>SUMIF(J:J,Table1[[#This Row],[Season]],F:F)</f>
        <v>58679</v>
      </c>
    </row>
    <row r="87" spans="1:20" x14ac:dyDescent="0.3">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c r="S87" t="str">
        <f>INDEX(Q:Q,MATCH(Table1[[#This Row],[Item Purchased]],D:D))</f>
        <v>Venmo</v>
      </c>
      <c r="T87">
        <f>SUMIF(J:J,Table1[[#This Row],[Season]],F:F)</f>
        <v>58607</v>
      </c>
    </row>
    <row r="88" spans="1:20" x14ac:dyDescent="0.3">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c r="S88" t="str">
        <f>INDEX(Q:Q,MATCH(Table1[[#This Row],[Item Purchased]],D:D))</f>
        <v>Venmo</v>
      </c>
      <c r="T88">
        <f>SUMIF(J:J,Table1[[#This Row],[Season]],F:F)</f>
        <v>58679</v>
      </c>
    </row>
    <row r="89" spans="1:20" x14ac:dyDescent="0.3">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c r="S89" t="str">
        <f>INDEX(Q:Q,MATCH(Table1[[#This Row],[Item Purchased]],D:D))</f>
        <v>PayPal</v>
      </c>
      <c r="T89">
        <f>SUMIF(J:J,Table1[[#This Row],[Season]],F:F)</f>
        <v>60018</v>
      </c>
    </row>
    <row r="90" spans="1:20" x14ac:dyDescent="0.3">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c r="S90" t="str">
        <f>INDEX(Q:Q,MATCH(Table1[[#This Row],[Item Purchased]],D:D))</f>
        <v>Venmo</v>
      </c>
      <c r="T90">
        <f>SUMIF(J:J,Table1[[#This Row],[Season]],F:F)</f>
        <v>60018</v>
      </c>
    </row>
    <row r="91" spans="1:20" x14ac:dyDescent="0.3">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c r="S91" t="str">
        <f>INDEX(Q:Q,MATCH(Table1[[#This Row],[Item Purchased]],D:D))</f>
        <v>Debit Card</v>
      </c>
      <c r="T91">
        <f>SUMIF(J:J,Table1[[#This Row],[Season]],F:F)</f>
        <v>60018</v>
      </c>
    </row>
    <row r="92" spans="1:20" x14ac:dyDescent="0.3">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c r="S92" t="str">
        <f>INDEX(Q:Q,MATCH(Table1[[#This Row],[Item Purchased]],D:D))</f>
        <v>Venmo</v>
      </c>
      <c r="T92">
        <f>SUMIF(J:J,Table1[[#This Row],[Season]],F:F)</f>
        <v>55777</v>
      </c>
    </row>
    <row r="93" spans="1:20" x14ac:dyDescent="0.3">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c r="S93" t="str">
        <f>INDEX(Q:Q,MATCH(Table1[[#This Row],[Item Purchased]],D:D))</f>
        <v>Bank Transfer</v>
      </c>
      <c r="T93">
        <f>SUMIF(J:J,Table1[[#This Row],[Season]],F:F)</f>
        <v>58607</v>
      </c>
    </row>
    <row r="94" spans="1:20" x14ac:dyDescent="0.3">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c r="S94" t="str">
        <f>INDEX(Q:Q,MATCH(Table1[[#This Row],[Item Purchased]],D:D))</f>
        <v>Debit Card</v>
      </c>
      <c r="T94">
        <f>SUMIF(J:J,Table1[[#This Row],[Season]],F:F)</f>
        <v>58607</v>
      </c>
    </row>
    <row r="95" spans="1:20" x14ac:dyDescent="0.3">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c r="S95" t="str">
        <f>INDEX(Q:Q,MATCH(Table1[[#This Row],[Item Purchased]],D:D))</f>
        <v>Venmo</v>
      </c>
      <c r="T95">
        <f>SUMIF(J:J,Table1[[#This Row],[Season]],F:F)</f>
        <v>60018</v>
      </c>
    </row>
    <row r="96" spans="1:20" x14ac:dyDescent="0.3">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c r="S96" t="str">
        <f>INDEX(Q:Q,MATCH(Table1[[#This Row],[Item Purchased]],D:D))</f>
        <v>Credit Card</v>
      </c>
      <c r="T96">
        <f>SUMIF(J:J,Table1[[#This Row],[Season]],F:F)</f>
        <v>58679</v>
      </c>
    </row>
    <row r="97" spans="1:20" x14ac:dyDescent="0.3">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c r="S97" t="str">
        <f>INDEX(Q:Q,MATCH(Table1[[#This Row],[Item Purchased]],D:D))</f>
        <v>Venmo</v>
      </c>
      <c r="T97">
        <f>SUMIF(J:J,Table1[[#This Row],[Season]],F:F)</f>
        <v>60018</v>
      </c>
    </row>
    <row r="98" spans="1:20" x14ac:dyDescent="0.3">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c r="S98" t="str">
        <f>INDEX(Q:Q,MATCH(Table1[[#This Row],[Item Purchased]],D:D))</f>
        <v>Debit Card</v>
      </c>
      <c r="T98">
        <f>SUMIF(J:J,Table1[[#This Row],[Season]],F:F)</f>
        <v>58679</v>
      </c>
    </row>
    <row r="99" spans="1:20" x14ac:dyDescent="0.3">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c r="S99" t="str">
        <f>INDEX(Q:Q,MATCH(Table1[[#This Row],[Item Purchased]],D:D))</f>
        <v>PayPal</v>
      </c>
      <c r="T99">
        <f>SUMIF(J:J,Table1[[#This Row],[Season]],F:F)</f>
        <v>58607</v>
      </c>
    </row>
    <row r="100" spans="1:20" x14ac:dyDescent="0.3">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c r="S100" t="str">
        <f>INDEX(Q:Q,MATCH(Table1[[#This Row],[Item Purchased]],D:D))</f>
        <v>Cash</v>
      </c>
      <c r="T100">
        <f>SUMIF(J:J,Table1[[#This Row],[Season]],F:F)</f>
        <v>58679</v>
      </c>
    </row>
    <row r="101" spans="1:20" x14ac:dyDescent="0.3">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c r="S101" t="str">
        <f>INDEX(Q:Q,MATCH(Table1[[#This Row],[Item Purchased]],D:D))</f>
        <v>Venmo</v>
      </c>
      <c r="T101">
        <f>SUMIF(J:J,Table1[[#This Row],[Season]],F:F)</f>
        <v>55777</v>
      </c>
    </row>
    <row r="102" spans="1:20" x14ac:dyDescent="0.3">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c r="S102" t="str">
        <f>INDEX(Q:Q,MATCH(Table1[[#This Row],[Item Purchased]],D:D))</f>
        <v>Venmo</v>
      </c>
      <c r="T102">
        <f>SUMIF(J:J,Table1[[#This Row],[Season]],F:F)</f>
        <v>60018</v>
      </c>
    </row>
    <row r="103" spans="1:20" x14ac:dyDescent="0.3">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c r="S103" t="str">
        <f>INDEX(Q:Q,MATCH(Table1[[#This Row],[Item Purchased]],D:D))</f>
        <v>Debit Card</v>
      </c>
      <c r="T103">
        <f>SUMIF(J:J,Table1[[#This Row],[Season]],F:F)</f>
        <v>58679</v>
      </c>
    </row>
    <row r="104" spans="1:20" x14ac:dyDescent="0.3">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c r="S104" t="str">
        <f>INDEX(Q:Q,MATCH(Table1[[#This Row],[Item Purchased]],D:D))</f>
        <v>Venmo</v>
      </c>
      <c r="T104">
        <f>SUMIF(J:J,Table1[[#This Row],[Season]],F:F)</f>
        <v>58607</v>
      </c>
    </row>
    <row r="105" spans="1:20" x14ac:dyDescent="0.3">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c r="S105" t="str">
        <f>INDEX(Q:Q,MATCH(Table1[[#This Row],[Item Purchased]],D:D))</f>
        <v>Venmo</v>
      </c>
      <c r="T105">
        <f>SUMIF(J:J,Table1[[#This Row],[Season]],F:F)</f>
        <v>58607</v>
      </c>
    </row>
    <row r="106" spans="1:20" x14ac:dyDescent="0.3">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c r="S106" t="str">
        <f>INDEX(Q:Q,MATCH(Table1[[#This Row],[Item Purchased]],D:D))</f>
        <v>Venmo</v>
      </c>
      <c r="T106">
        <f>SUMIF(J:J,Table1[[#This Row],[Season]],F:F)</f>
        <v>58679</v>
      </c>
    </row>
    <row r="107" spans="1:20" x14ac:dyDescent="0.3">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c r="S107" t="e">
        <f>INDEX(Q:Q,MATCH(Table1[[#This Row],[Item Purchased]],D:D))</f>
        <v>#N/A</v>
      </c>
      <c r="T107">
        <f>SUMIF(J:J,Table1[[#This Row],[Season]],F:F)</f>
        <v>60018</v>
      </c>
    </row>
    <row r="108" spans="1:20" x14ac:dyDescent="0.3">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c r="S108" t="str">
        <f>INDEX(Q:Q,MATCH(Table1[[#This Row],[Item Purchased]],D:D))</f>
        <v>Debit Card</v>
      </c>
      <c r="T108">
        <f>SUMIF(J:J,Table1[[#This Row],[Season]],F:F)</f>
        <v>55777</v>
      </c>
    </row>
    <row r="109" spans="1:20" x14ac:dyDescent="0.3">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c r="S109" t="str">
        <f>INDEX(Q:Q,MATCH(Table1[[#This Row],[Item Purchased]],D:D))</f>
        <v>Venmo</v>
      </c>
      <c r="T109">
        <f>SUMIF(J:J,Table1[[#This Row],[Season]],F:F)</f>
        <v>58607</v>
      </c>
    </row>
    <row r="110" spans="1:20" x14ac:dyDescent="0.3">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c r="S110" t="str">
        <f>INDEX(Q:Q,MATCH(Table1[[#This Row],[Item Purchased]],D:D))</f>
        <v>Venmo</v>
      </c>
      <c r="T110">
        <f>SUMIF(J:J,Table1[[#This Row],[Season]],F:F)</f>
        <v>58679</v>
      </c>
    </row>
    <row r="111" spans="1:20" x14ac:dyDescent="0.3">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c r="S111" t="str">
        <f>INDEX(Q:Q,MATCH(Table1[[#This Row],[Item Purchased]],D:D))</f>
        <v>Venmo</v>
      </c>
      <c r="T111">
        <f>SUMIF(J:J,Table1[[#This Row],[Season]],F:F)</f>
        <v>58679</v>
      </c>
    </row>
    <row r="112" spans="1:20" x14ac:dyDescent="0.3">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c r="S112" t="e">
        <f>INDEX(Q:Q,MATCH(Table1[[#This Row],[Item Purchased]],D:D))</f>
        <v>#N/A</v>
      </c>
      <c r="T112">
        <f>SUMIF(J:J,Table1[[#This Row],[Season]],F:F)</f>
        <v>55777</v>
      </c>
    </row>
    <row r="113" spans="1:20" x14ac:dyDescent="0.3">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c r="S113" t="e">
        <f>INDEX(Q:Q,MATCH(Table1[[#This Row],[Item Purchased]],D:D))</f>
        <v>#N/A</v>
      </c>
      <c r="T113">
        <f>SUMIF(J:J,Table1[[#This Row],[Season]],F:F)</f>
        <v>55777</v>
      </c>
    </row>
    <row r="114" spans="1:20" x14ac:dyDescent="0.3">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c r="S114" t="str">
        <f>INDEX(Q:Q,MATCH(Table1[[#This Row],[Item Purchased]],D:D))</f>
        <v>Debit Card</v>
      </c>
      <c r="T114">
        <f>SUMIF(J:J,Table1[[#This Row],[Season]],F:F)</f>
        <v>58679</v>
      </c>
    </row>
    <row r="115" spans="1:20" x14ac:dyDescent="0.3">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c r="S115" t="str">
        <f>INDEX(Q:Q,MATCH(Table1[[#This Row],[Item Purchased]],D:D))</f>
        <v>Venmo</v>
      </c>
      <c r="T115">
        <f>SUMIF(J:J,Table1[[#This Row],[Season]],F:F)</f>
        <v>58607</v>
      </c>
    </row>
    <row r="116" spans="1:20" x14ac:dyDescent="0.3">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c r="S116" t="str">
        <f>INDEX(Q:Q,MATCH(Table1[[#This Row],[Item Purchased]],D:D))</f>
        <v>Debit Card</v>
      </c>
      <c r="T116">
        <f>SUMIF(J:J,Table1[[#This Row],[Season]],F:F)</f>
        <v>55777</v>
      </c>
    </row>
    <row r="117" spans="1:20" x14ac:dyDescent="0.3">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c r="S117" t="str">
        <f>INDEX(Q:Q,MATCH(Table1[[#This Row],[Item Purchased]],D:D))</f>
        <v>Credit Card</v>
      </c>
      <c r="T117">
        <f>SUMIF(J:J,Table1[[#This Row],[Season]],F:F)</f>
        <v>58679</v>
      </c>
    </row>
    <row r="118" spans="1:20" x14ac:dyDescent="0.3">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c r="S118" t="str">
        <f>INDEX(Q:Q,MATCH(Table1[[#This Row],[Item Purchased]],D:D))</f>
        <v>PayPal</v>
      </c>
      <c r="T118">
        <f>SUMIF(J:J,Table1[[#This Row],[Season]],F:F)</f>
        <v>58679</v>
      </c>
    </row>
    <row r="119" spans="1:20" x14ac:dyDescent="0.3">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c r="S119" t="str">
        <f>INDEX(Q:Q,MATCH(Table1[[#This Row],[Item Purchased]],D:D))</f>
        <v>Bank Transfer</v>
      </c>
      <c r="T119">
        <f>SUMIF(J:J,Table1[[#This Row],[Season]],F:F)</f>
        <v>55777</v>
      </c>
    </row>
    <row r="120" spans="1:20" x14ac:dyDescent="0.3">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c r="S120" t="str">
        <f>INDEX(Q:Q,MATCH(Table1[[#This Row],[Item Purchased]],D:D))</f>
        <v>Venmo</v>
      </c>
      <c r="T120">
        <f>SUMIF(J:J,Table1[[#This Row],[Season]],F:F)</f>
        <v>60018</v>
      </c>
    </row>
    <row r="121" spans="1:20" x14ac:dyDescent="0.3">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c r="S121" t="str">
        <f>INDEX(Q:Q,MATCH(Table1[[#This Row],[Item Purchased]],D:D))</f>
        <v>Debit Card</v>
      </c>
      <c r="T121">
        <f>SUMIF(J:J,Table1[[#This Row],[Season]],F:F)</f>
        <v>60018</v>
      </c>
    </row>
    <row r="122" spans="1:20" x14ac:dyDescent="0.3">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c r="S122" t="str">
        <f>INDEX(Q:Q,MATCH(Table1[[#This Row],[Item Purchased]],D:D))</f>
        <v>Venmo</v>
      </c>
      <c r="T122">
        <f>SUMIF(J:J,Table1[[#This Row],[Season]],F:F)</f>
        <v>55777</v>
      </c>
    </row>
    <row r="123" spans="1:20" x14ac:dyDescent="0.3">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c r="S123" t="str">
        <f>INDEX(Q:Q,MATCH(Table1[[#This Row],[Item Purchased]],D:D))</f>
        <v>PayPal</v>
      </c>
      <c r="T123">
        <f>SUMIF(J:J,Table1[[#This Row],[Season]],F:F)</f>
        <v>58607</v>
      </c>
    </row>
    <row r="124" spans="1:20" x14ac:dyDescent="0.3">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c r="S124" t="e">
        <f>INDEX(Q:Q,MATCH(Table1[[#This Row],[Item Purchased]],D:D))</f>
        <v>#N/A</v>
      </c>
      <c r="T124">
        <f>SUMIF(J:J,Table1[[#This Row],[Season]],F:F)</f>
        <v>58679</v>
      </c>
    </row>
    <row r="125" spans="1:20" x14ac:dyDescent="0.3">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c r="S125" t="str">
        <f>INDEX(Q:Q,MATCH(Table1[[#This Row],[Item Purchased]],D:D))</f>
        <v>Venmo</v>
      </c>
      <c r="T125">
        <f>SUMIF(J:J,Table1[[#This Row],[Season]],F:F)</f>
        <v>60018</v>
      </c>
    </row>
    <row r="126" spans="1:20" x14ac:dyDescent="0.3">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c r="S126" t="str">
        <f>INDEX(Q:Q,MATCH(Table1[[#This Row],[Item Purchased]],D:D))</f>
        <v>Venmo</v>
      </c>
      <c r="T126">
        <f>SUMIF(J:J,Table1[[#This Row],[Season]],F:F)</f>
        <v>58679</v>
      </c>
    </row>
    <row r="127" spans="1:20" x14ac:dyDescent="0.3">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c r="S127" t="str">
        <f>INDEX(Q:Q,MATCH(Table1[[#This Row],[Item Purchased]],D:D))</f>
        <v>PayPal</v>
      </c>
      <c r="T127">
        <f>SUMIF(J:J,Table1[[#This Row],[Season]],F:F)</f>
        <v>58607</v>
      </c>
    </row>
    <row r="128" spans="1:20" x14ac:dyDescent="0.3">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c r="S128" t="str">
        <f>INDEX(Q:Q,MATCH(Table1[[#This Row],[Item Purchased]],D:D))</f>
        <v>PayPal</v>
      </c>
      <c r="T128">
        <f>SUMIF(J:J,Table1[[#This Row],[Season]],F:F)</f>
        <v>58679</v>
      </c>
    </row>
    <row r="129" spans="1:20" x14ac:dyDescent="0.3">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c r="S129" t="str">
        <f>INDEX(Q:Q,MATCH(Table1[[#This Row],[Item Purchased]],D:D))</f>
        <v>Venmo</v>
      </c>
      <c r="T129">
        <f>SUMIF(J:J,Table1[[#This Row],[Season]],F:F)</f>
        <v>58607</v>
      </c>
    </row>
    <row r="130" spans="1:20" x14ac:dyDescent="0.3">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c r="S130" t="str">
        <f>INDEX(Q:Q,MATCH(Table1[[#This Row],[Item Purchased]],D:D))</f>
        <v>Bank Transfer</v>
      </c>
      <c r="T130">
        <f>SUMIF(J:J,Table1[[#This Row],[Season]],F:F)</f>
        <v>58679</v>
      </c>
    </row>
    <row r="131" spans="1:20" x14ac:dyDescent="0.3">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c r="S131" t="str">
        <f>INDEX(Q:Q,MATCH(Table1[[#This Row],[Item Purchased]],D:D))</f>
        <v>Debit Card</v>
      </c>
      <c r="T131">
        <f>SUMIF(J:J,Table1[[#This Row],[Season]],F:F)</f>
        <v>55777</v>
      </c>
    </row>
    <row r="132" spans="1:20" x14ac:dyDescent="0.3">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c r="S132" t="str">
        <f>INDEX(Q:Q,MATCH(Table1[[#This Row],[Item Purchased]],D:D))</f>
        <v>Bank Transfer</v>
      </c>
      <c r="T132">
        <f>SUMIF(J:J,Table1[[#This Row],[Season]],F:F)</f>
        <v>60018</v>
      </c>
    </row>
    <row r="133" spans="1:20" x14ac:dyDescent="0.3">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c r="S133" t="str">
        <f>INDEX(Q:Q,MATCH(Table1[[#This Row],[Item Purchased]],D:D))</f>
        <v>Credit Card</v>
      </c>
      <c r="T133">
        <f>SUMIF(J:J,Table1[[#This Row],[Season]],F:F)</f>
        <v>55777</v>
      </c>
    </row>
    <row r="134" spans="1:20" x14ac:dyDescent="0.3">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c r="S134" t="e">
        <f>INDEX(Q:Q,MATCH(Table1[[#This Row],[Item Purchased]],D:D))</f>
        <v>#N/A</v>
      </c>
      <c r="T134">
        <f>SUMIF(J:J,Table1[[#This Row],[Season]],F:F)</f>
        <v>60018</v>
      </c>
    </row>
    <row r="135" spans="1:20" x14ac:dyDescent="0.3">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c r="S135" t="str">
        <f>INDEX(Q:Q,MATCH(Table1[[#This Row],[Item Purchased]],D:D))</f>
        <v>Venmo</v>
      </c>
      <c r="T135">
        <f>SUMIF(J:J,Table1[[#This Row],[Season]],F:F)</f>
        <v>58607</v>
      </c>
    </row>
    <row r="136" spans="1:20" x14ac:dyDescent="0.3">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c r="S136" t="str">
        <f>INDEX(Q:Q,MATCH(Table1[[#This Row],[Item Purchased]],D:D))</f>
        <v>Venmo</v>
      </c>
      <c r="T136">
        <f>SUMIF(J:J,Table1[[#This Row],[Season]],F:F)</f>
        <v>60018</v>
      </c>
    </row>
    <row r="137" spans="1:20" x14ac:dyDescent="0.3">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c r="S137" t="str">
        <f>INDEX(Q:Q,MATCH(Table1[[#This Row],[Item Purchased]],D:D))</f>
        <v>Bank Transfer</v>
      </c>
      <c r="T137">
        <f>SUMIF(J:J,Table1[[#This Row],[Season]],F:F)</f>
        <v>60018</v>
      </c>
    </row>
    <row r="138" spans="1:20" x14ac:dyDescent="0.3">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c r="S138" t="str">
        <f>INDEX(Q:Q,MATCH(Table1[[#This Row],[Item Purchased]],D:D))</f>
        <v>Venmo</v>
      </c>
      <c r="T138">
        <f>SUMIF(J:J,Table1[[#This Row],[Season]],F:F)</f>
        <v>58607</v>
      </c>
    </row>
    <row r="139" spans="1:20" x14ac:dyDescent="0.3">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c r="S139" t="str">
        <f>INDEX(Q:Q,MATCH(Table1[[#This Row],[Item Purchased]],D:D))</f>
        <v>Venmo</v>
      </c>
      <c r="T139">
        <f>SUMIF(J:J,Table1[[#This Row],[Season]],F:F)</f>
        <v>58679</v>
      </c>
    </row>
    <row r="140" spans="1:20" x14ac:dyDescent="0.3">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c r="S140" t="str">
        <f>INDEX(Q:Q,MATCH(Table1[[#This Row],[Item Purchased]],D:D))</f>
        <v>Credit Card</v>
      </c>
      <c r="T140">
        <f>SUMIF(J:J,Table1[[#This Row],[Season]],F:F)</f>
        <v>58607</v>
      </c>
    </row>
    <row r="141" spans="1:20" x14ac:dyDescent="0.3">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c r="S141" t="str">
        <f>INDEX(Q:Q,MATCH(Table1[[#This Row],[Item Purchased]],D:D))</f>
        <v>Debit Card</v>
      </c>
      <c r="T141">
        <f>SUMIF(J:J,Table1[[#This Row],[Season]],F:F)</f>
        <v>60018</v>
      </c>
    </row>
    <row r="142" spans="1:20" x14ac:dyDescent="0.3">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c r="S142" t="str">
        <f>INDEX(Q:Q,MATCH(Table1[[#This Row],[Item Purchased]],D:D))</f>
        <v>Bank Transfer</v>
      </c>
      <c r="T142">
        <f>SUMIF(J:J,Table1[[#This Row],[Season]],F:F)</f>
        <v>60018</v>
      </c>
    </row>
    <row r="143" spans="1:20" x14ac:dyDescent="0.3">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c r="S143" t="str">
        <f>INDEX(Q:Q,MATCH(Table1[[#This Row],[Item Purchased]],D:D))</f>
        <v>Debit Card</v>
      </c>
      <c r="T143">
        <f>SUMIF(J:J,Table1[[#This Row],[Season]],F:F)</f>
        <v>60018</v>
      </c>
    </row>
    <row r="144" spans="1:20" x14ac:dyDescent="0.3">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c r="S144" t="str">
        <f>INDEX(Q:Q,MATCH(Table1[[#This Row],[Item Purchased]],D:D))</f>
        <v>Debit Card</v>
      </c>
      <c r="T144">
        <f>SUMIF(J:J,Table1[[#This Row],[Season]],F:F)</f>
        <v>60018</v>
      </c>
    </row>
    <row r="145" spans="1:20" x14ac:dyDescent="0.3">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c r="S145" t="str">
        <f>INDEX(Q:Q,MATCH(Table1[[#This Row],[Item Purchased]],D:D))</f>
        <v>Debit Card</v>
      </c>
      <c r="T145">
        <f>SUMIF(J:J,Table1[[#This Row],[Season]],F:F)</f>
        <v>60018</v>
      </c>
    </row>
    <row r="146" spans="1:20" x14ac:dyDescent="0.3">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c r="S146" t="str">
        <f>INDEX(Q:Q,MATCH(Table1[[#This Row],[Item Purchased]],D:D))</f>
        <v>PayPal</v>
      </c>
      <c r="T146">
        <f>SUMIF(J:J,Table1[[#This Row],[Season]],F:F)</f>
        <v>60018</v>
      </c>
    </row>
    <row r="147" spans="1:20" x14ac:dyDescent="0.3">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c r="S147" t="str">
        <f>INDEX(Q:Q,MATCH(Table1[[#This Row],[Item Purchased]],D:D))</f>
        <v>Cash</v>
      </c>
      <c r="T147">
        <f>SUMIF(J:J,Table1[[#This Row],[Season]],F:F)</f>
        <v>60018</v>
      </c>
    </row>
    <row r="148" spans="1:20" x14ac:dyDescent="0.3">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c r="S148" t="str">
        <f>INDEX(Q:Q,MATCH(Table1[[#This Row],[Item Purchased]],D:D))</f>
        <v>Credit Card</v>
      </c>
      <c r="T148">
        <f>SUMIF(J:J,Table1[[#This Row],[Season]],F:F)</f>
        <v>60018</v>
      </c>
    </row>
    <row r="149" spans="1:20" x14ac:dyDescent="0.3">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c r="S149" t="str">
        <f>INDEX(Q:Q,MATCH(Table1[[#This Row],[Item Purchased]],D:D))</f>
        <v>PayPal</v>
      </c>
      <c r="T149">
        <f>SUMIF(J:J,Table1[[#This Row],[Season]],F:F)</f>
        <v>55777</v>
      </c>
    </row>
    <row r="150" spans="1:20" x14ac:dyDescent="0.3">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c r="S150" t="str">
        <f>INDEX(Q:Q,MATCH(Table1[[#This Row],[Item Purchased]],D:D))</f>
        <v>Debit Card</v>
      </c>
      <c r="T150">
        <f>SUMIF(J:J,Table1[[#This Row],[Season]],F:F)</f>
        <v>60018</v>
      </c>
    </row>
    <row r="151" spans="1:20" x14ac:dyDescent="0.3">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c r="S151" t="str">
        <f>INDEX(Q:Q,MATCH(Table1[[#This Row],[Item Purchased]],D:D))</f>
        <v>Cash</v>
      </c>
      <c r="T151">
        <f>SUMIF(J:J,Table1[[#This Row],[Season]],F:F)</f>
        <v>55777</v>
      </c>
    </row>
    <row r="152" spans="1:20" x14ac:dyDescent="0.3">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c r="S152" t="str">
        <f>INDEX(Q:Q,MATCH(Table1[[#This Row],[Item Purchased]],D:D))</f>
        <v>Venmo</v>
      </c>
      <c r="T152">
        <f>SUMIF(J:J,Table1[[#This Row],[Season]],F:F)</f>
        <v>60018</v>
      </c>
    </row>
    <row r="153" spans="1:20" x14ac:dyDescent="0.3">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c r="S153" t="str">
        <f>INDEX(Q:Q,MATCH(Table1[[#This Row],[Item Purchased]],D:D))</f>
        <v>Venmo</v>
      </c>
      <c r="T153">
        <f>SUMIF(J:J,Table1[[#This Row],[Season]],F:F)</f>
        <v>60018</v>
      </c>
    </row>
    <row r="154" spans="1:20" x14ac:dyDescent="0.3">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c r="S154" t="str">
        <f>INDEX(Q:Q,MATCH(Table1[[#This Row],[Item Purchased]],D:D))</f>
        <v>Bank Transfer</v>
      </c>
      <c r="T154">
        <f>SUMIF(J:J,Table1[[#This Row],[Season]],F:F)</f>
        <v>55777</v>
      </c>
    </row>
    <row r="155" spans="1:20" x14ac:dyDescent="0.3">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c r="S155" t="str">
        <f>INDEX(Q:Q,MATCH(Table1[[#This Row],[Item Purchased]],D:D))</f>
        <v>Venmo</v>
      </c>
      <c r="T155">
        <f>SUMIF(J:J,Table1[[#This Row],[Season]],F:F)</f>
        <v>58607</v>
      </c>
    </row>
    <row r="156" spans="1:20" x14ac:dyDescent="0.3">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c r="S156" t="str">
        <f>INDEX(Q:Q,MATCH(Table1[[#This Row],[Item Purchased]],D:D))</f>
        <v>Debit Card</v>
      </c>
      <c r="T156">
        <f>SUMIF(J:J,Table1[[#This Row],[Season]],F:F)</f>
        <v>60018</v>
      </c>
    </row>
    <row r="157" spans="1:20" x14ac:dyDescent="0.3">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c r="S157" t="str">
        <f>INDEX(Q:Q,MATCH(Table1[[#This Row],[Item Purchased]],D:D))</f>
        <v>Venmo</v>
      </c>
      <c r="T157">
        <f>SUMIF(J:J,Table1[[#This Row],[Season]],F:F)</f>
        <v>58679</v>
      </c>
    </row>
    <row r="158" spans="1:20" x14ac:dyDescent="0.3">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c r="S158" t="str">
        <f>INDEX(Q:Q,MATCH(Table1[[#This Row],[Item Purchased]],D:D))</f>
        <v>PayPal</v>
      </c>
      <c r="T158">
        <f>SUMIF(J:J,Table1[[#This Row],[Season]],F:F)</f>
        <v>60018</v>
      </c>
    </row>
    <row r="159" spans="1:20" x14ac:dyDescent="0.3">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c r="S159" t="str">
        <f>INDEX(Q:Q,MATCH(Table1[[#This Row],[Item Purchased]],D:D))</f>
        <v>Venmo</v>
      </c>
      <c r="T159">
        <f>SUMIF(J:J,Table1[[#This Row],[Season]],F:F)</f>
        <v>60018</v>
      </c>
    </row>
    <row r="160" spans="1:20" x14ac:dyDescent="0.3">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c r="S160" t="str">
        <f>INDEX(Q:Q,MATCH(Table1[[#This Row],[Item Purchased]],D:D))</f>
        <v>Bank Transfer</v>
      </c>
      <c r="T160">
        <f>SUMIF(J:J,Table1[[#This Row],[Season]],F:F)</f>
        <v>60018</v>
      </c>
    </row>
    <row r="161" spans="1:20" x14ac:dyDescent="0.3">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c r="S161" t="str">
        <f>INDEX(Q:Q,MATCH(Table1[[#This Row],[Item Purchased]],D:D))</f>
        <v>Debit Card</v>
      </c>
      <c r="T161">
        <f>SUMIF(J:J,Table1[[#This Row],[Season]],F:F)</f>
        <v>60018</v>
      </c>
    </row>
    <row r="162" spans="1:20" x14ac:dyDescent="0.3">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c r="S162" t="str">
        <f>INDEX(Q:Q,MATCH(Table1[[#This Row],[Item Purchased]],D:D))</f>
        <v>Debit Card</v>
      </c>
      <c r="T162">
        <f>SUMIF(J:J,Table1[[#This Row],[Season]],F:F)</f>
        <v>55777</v>
      </c>
    </row>
    <row r="163" spans="1:20" x14ac:dyDescent="0.3">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c r="S163" t="e">
        <f>INDEX(Q:Q,MATCH(Table1[[#This Row],[Item Purchased]],D:D))</f>
        <v>#N/A</v>
      </c>
      <c r="T163">
        <f>SUMIF(J:J,Table1[[#This Row],[Season]],F:F)</f>
        <v>60018</v>
      </c>
    </row>
    <row r="164" spans="1:20" x14ac:dyDescent="0.3">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c r="S164" t="str">
        <f>INDEX(Q:Q,MATCH(Table1[[#This Row],[Item Purchased]],D:D))</f>
        <v>Venmo</v>
      </c>
      <c r="T164">
        <f>SUMIF(J:J,Table1[[#This Row],[Season]],F:F)</f>
        <v>55777</v>
      </c>
    </row>
    <row r="165" spans="1:20" x14ac:dyDescent="0.3">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c r="S165" t="str">
        <f>INDEX(Q:Q,MATCH(Table1[[#This Row],[Item Purchased]],D:D))</f>
        <v>Credit Card</v>
      </c>
      <c r="T165">
        <f>SUMIF(J:J,Table1[[#This Row],[Season]],F:F)</f>
        <v>55777</v>
      </c>
    </row>
    <row r="166" spans="1:20" x14ac:dyDescent="0.3">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c r="S166" t="str">
        <f>INDEX(Q:Q,MATCH(Table1[[#This Row],[Item Purchased]],D:D))</f>
        <v>Cash</v>
      </c>
      <c r="T166">
        <f>SUMIF(J:J,Table1[[#This Row],[Season]],F:F)</f>
        <v>58679</v>
      </c>
    </row>
    <row r="167" spans="1:20" x14ac:dyDescent="0.3">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c r="S167" t="str">
        <f>INDEX(Q:Q,MATCH(Table1[[#This Row],[Item Purchased]],D:D))</f>
        <v>Cash</v>
      </c>
      <c r="T167">
        <f>SUMIF(J:J,Table1[[#This Row],[Season]],F:F)</f>
        <v>58607</v>
      </c>
    </row>
    <row r="168" spans="1:20" x14ac:dyDescent="0.3">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c r="S168" t="str">
        <f>INDEX(Q:Q,MATCH(Table1[[#This Row],[Item Purchased]],D:D))</f>
        <v>Venmo</v>
      </c>
      <c r="T168">
        <f>SUMIF(J:J,Table1[[#This Row],[Season]],F:F)</f>
        <v>60018</v>
      </c>
    </row>
    <row r="169" spans="1:20" x14ac:dyDescent="0.3">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c r="S169" t="str">
        <f>INDEX(Q:Q,MATCH(Table1[[#This Row],[Item Purchased]],D:D))</f>
        <v>Debit Card</v>
      </c>
      <c r="T169">
        <f>SUMIF(J:J,Table1[[#This Row],[Season]],F:F)</f>
        <v>60018</v>
      </c>
    </row>
    <row r="170" spans="1:20" x14ac:dyDescent="0.3">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c r="S170" t="str">
        <f>INDEX(Q:Q,MATCH(Table1[[#This Row],[Item Purchased]],D:D))</f>
        <v>PayPal</v>
      </c>
      <c r="T170">
        <f>SUMIF(J:J,Table1[[#This Row],[Season]],F:F)</f>
        <v>55777</v>
      </c>
    </row>
    <row r="171" spans="1:20" x14ac:dyDescent="0.3">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c r="S171" t="str">
        <f>INDEX(Q:Q,MATCH(Table1[[#This Row],[Item Purchased]],D:D))</f>
        <v>Debit Card</v>
      </c>
      <c r="T171">
        <f>SUMIF(J:J,Table1[[#This Row],[Season]],F:F)</f>
        <v>55777</v>
      </c>
    </row>
    <row r="172" spans="1:20" x14ac:dyDescent="0.3">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c r="S172" t="str">
        <f>INDEX(Q:Q,MATCH(Table1[[#This Row],[Item Purchased]],D:D))</f>
        <v>Bank Transfer</v>
      </c>
      <c r="T172">
        <f>SUMIF(J:J,Table1[[#This Row],[Season]],F:F)</f>
        <v>60018</v>
      </c>
    </row>
    <row r="173" spans="1:20" x14ac:dyDescent="0.3">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c r="S173" t="str">
        <f>INDEX(Q:Q,MATCH(Table1[[#This Row],[Item Purchased]],D:D))</f>
        <v>PayPal</v>
      </c>
      <c r="T173">
        <f>SUMIF(J:J,Table1[[#This Row],[Season]],F:F)</f>
        <v>55777</v>
      </c>
    </row>
    <row r="174" spans="1:20" x14ac:dyDescent="0.3">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c r="S174" t="str">
        <f>INDEX(Q:Q,MATCH(Table1[[#This Row],[Item Purchased]],D:D))</f>
        <v>Cash</v>
      </c>
      <c r="T174">
        <f>SUMIF(J:J,Table1[[#This Row],[Season]],F:F)</f>
        <v>55777</v>
      </c>
    </row>
    <row r="175" spans="1:20" x14ac:dyDescent="0.3">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c r="S175" t="str">
        <f>INDEX(Q:Q,MATCH(Table1[[#This Row],[Item Purchased]],D:D))</f>
        <v>Venmo</v>
      </c>
      <c r="T175">
        <f>SUMIF(J:J,Table1[[#This Row],[Season]],F:F)</f>
        <v>60018</v>
      </c>
    </row>
    <row r="176" spans="1:20" x14ac:dyDescent="0.3">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c r="S176" t="str">
        <f>INDEX(Q:Q,MATCH(Table1[[#This Row],[Item Purchased]],D:D))</f>
        <v>PayPal</v>
      </c>
      <c r="T176">
        <f>SUMIF(J:J,Table1[[#This Row],[Season]],F:F)</f>
        <v>58607</v>
      </c>
    </row>
    <row r="177" spans="1:20" x14ac:dyDescent="0.3">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c r="S177" t="str">
        <f>INDEX(Q:Q,MATCH(Table1[[#This Row],[Item Purchased]],D:D))</f>
        <v>Debit Card</v>
      </c>
      <c r="T177">
        <f>SUMIF(J:J,Table1[[#This Row],[Season]],F:F)</f>
        <v>60018</v>
      </c>
    </row>
    <row r="178" spans="1:20" x14ac:dyDescent="0.3">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c r="S178" t="e">
        <f>INDEX(Q:Q,MATCH(Table1[[#This Row],[Item Purchased]],D:D))</f>
        <v>#N/A</v>
      </c>
      <c r="T178">
        <f>SUMIF(J:J,Table1[[#This Row],[Season]],F:F)</f>
        <v>58679</v>
      </c>
    </row>
    <row r="179" spans="1:20" x14ac:dyDescent="0.3">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c r="S179" t="str">
        <f>INDEX(Q:Q,MATCH(Table1[[#This Row],[Item Purchased]],D:D))</f>
        <v>Venmo</v>
      </c>
      <c r="T179">
        <f>SUMIF(J:J,Table1[[#This Row],[Season]],F:F)</f>
        <v>60018</v>
      </c>
    </row>
    <row r="180" spans="1:20" x14ac:dyDescent="0.3">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c r="S180" t="str">
        <f>INDEX(Q:Q,MATCH(Table1[[#This Row],[Item Purchased]],D:D))</f>
        <v>Credit Card</v>
      </c>
      <c r="T180">
        <f>SUMIF(J:J,Table1[[#This Row],[Season]],F:F)</f>
        <v>60018</v>
      </c>
    </row>
    <row r="181" spans="1:20" x14ac:dyDescent="0.3">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c r="S181" t="str">
        <f>INDEX(Q:Q,MATCH(Table1[[#This Row],[Item Purchased]],D:D))</f>
        <v>Venmo</v>
      </c>
      <c r="T181">
        <f>SUMIF(J:J,Table1[[#This Row],[Season]],F:F)</f>
        <v>60018</v>
      </c>
    </row>
    <row r="182" spans="1:20" x14ac:dyDescent="0.3">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c r="S182" t="str">
        <f>INDEX(Q:Q,MATCH(Table1[[#This Row],[Item Purchased]],D:D))</f>
        <v>Bank Transfer</v>
      </c>
      <c r="T182">
        <f>SUMIF(J:J,Table1[[#This Row],[Season]],F:F)</f>
        <v>60018</v>
      </c>
    </row>
    <row r="183" spans="1:20" x14ac:dyDescent="0.3">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c r="S183" t="str">
        <f>INDEX(Q:Q,MATCH(Table1[[#This Row],[Item Purchased]],D:D))</f>
        <v>Cash</v>
      </c>
      <c r="T183">
        <f>SUMIF(J:J,Table1[[#This Row],[Season]],F:F)</f>
        <v>55777</v>
      </c>
    </row>
    <row r="184" spans="1:20" x14ac:dyDescent="0.3">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c r="S184" t="str">
        <f>INDEX(Q:Q,MATCH(Table1[[#This Row],[Item Purchased]],D:D))</f>
        <v>Debit Card</v>
      </c>
      <c r="T184">
        <f>SUMIF(J:J,Table1[[#This Row],[Season]],F:F)</f>
        <v>55777</v>
      </c>
    </row>
    <row r="185" spans="1:20" x14ac:dyDescent="0.3">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c r="S185" t="str">
        <f>INDEX(Q:Q,MATCH(Table1[[#This Row],[Item Purchased]],D:D))</f>
        <v>Credit Card</v>
      </c>
      <c r="T185">
        <f>SUMIF(J:J,Table1[[#This Row],[Season]],F:F)</f>
        <v>58679</v>
      </c>
    </row>
    <row r="186" spans="1:20" x14ac:dyDescent="0.3">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c r="S186" t="str">
        <f>INDEX(Q:Q,MATCH(Table1[[#This Row],[Item Purchased]],D:D))</f>
        <v>Venmo</v>
      </c>
      <c r="T186">
        <f>SUMIF(J:J,Table1[[#This Row],[Season]],F:F)</f>
        <v>58679</v>
      </c>
    </row>
    <row r="187" spans="1:20" x14ac:dyDescent="0.3">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c r="S187" t="str">
        <f>INDEX(Q:Q,MATCH(Table1[[#This Row],[Item Purchased]],D:D))</f>
        <v>Venmo</v>
      </c>
      <c r="T187">
        <f>SUMIF(J:J,Table1[[#This Row],[Season]],F:F)</f>
        <v>55777</v>
      </c>
    </row>
    <row r="188" spans="1:20" x14ac:dyDescent="0.3">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c r="S188" t="e">
        <f>INDEX(Q:Q,MATCH(Table1[[#This Row],[Item Purchased]],D:D))</f>
        <v>#N/A</v>
      </c>
      <c r="T188">
        <f>SUMIF(J:J,Table1[[#This Row],[Season]],F:F)</f>
        <v>55777</v>
      </c>
    </row>
    <row r="189" spans="1:20" x14ac:dyDescent="0.3">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c r="S189" t="str">
        <f>INDEX(Q:Q,MATCH(Table1[[#This Row],[Item Purchased]],D:D))</f>
        <v>PayPal</v>
      </c>
      <c r="T189">
        <f>SUMIF(J:J,Table1[[#This Row],[Season]],F:F)</f>
        <v>58679</v>
      </c>
    </row>
    <row r="190" spans="1:20" x14ac:dyDescent="0.3">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c r="S190" t="str">
        <f>INDEX(Q:Q,MATCH(Table1[[#This Row],[Item Purchased]],D:D))</f>
        <v>Venmo</v>
      </c>
      <c r="T190">
        <f>SUMIF(J:J,Table1[[#This Row],[Season]],F:F)</f>
        <v>58679</v>
      </c>
    </row>
    <row r="191" spans="1:20" x14ac:dyDescent="0.3">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c r="S191" t="str">
        <f>INDEX(Q:Q,MATCH(Table1[[#This Row],[Item Purchased]],D:D))</f>
        <v>Venmo</v>
      </c>
      <c r="T191">
        <f>SUMIF(J:J,Table1[[#This Row],[Season]],F:F)</f>
        <v>60018</v>
      </c>
    </row>
    <row r="192" spans="1:20" x14ac:dyDescent="0.3">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c r="S192" t="str">
        <f>INDEX(Q:Q,MATCH(Table1[[#This Row],[Item Purchased]],D:D))</f>
        <v>Debit Card</v>
      </c>
      <c r="T192">
        <f>SUMIF(J:J,Table1[[#This Row],[Season]],F:F)</f>
        <v>60018</v>
      </c>
    </row>
    <row r="193" spans="1:20" x14ac:dyDescent="0.3">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c r="S193" t="str">
        <f>INDEX(Q:Q,MATCH(Table1[[#This Row],[Item Purchased]],D:D))</f>
        <v>Venmo</v>
      </c>
      <c r="T193">
        <f>SUMIF(J:J,Table1[[#This Row],[Season]],F:F)</f>
        <v>60018</v>
      </c>
    </row>
    <row r="194" spans="1:20" x14ac:dyDescent="0.3">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c r="S194" t="str">
        <f>INDEX(Q:Q,MATCH(Table1[[#This Row],[Item Purchased]],D:D))</f>
        <v>PayPal</v>
      </c>
      <c r="T194">
        <f>SUMIF(J:J,Table1[[#This Row],[Season]],F:F)</f>
        <v>55777</v>
      </c>
    </row>
    <row r="195" spans="1:20" x14ac:dyDescent="0.3">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c r="S195" t="e">
        <f>INDEX(Q:Q,MATCH(Table1[[#This Row],[Item Purchased]],D:D))</f>
        <v>#N/A</v>
      </c>
      <c r="T195">
        <f>SUMIF(J:J,Table1[[#This Row],[Season]],F:F)</f>
        <v>60018</v>
      </c>
    </row>
    <row r="196" spans="1:20" x14ac:dyDescent="0.3">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c r="S196" t="e">
        <f>INDEX(Q:Q,MATCH(Table1[[#This Row],[Item Purchased]],D:D))</f>
        <v>#N/A</v>
      </c>
      <c r="T196">
        <f>SUMIF(J:J,Table1[[#This Row],[Season]],F:F)</f>
        <v>58679</v>
      </c>
    </row>
    <row r="197" spans="1:20" x14ac:dyDescent="0.3">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c r="S197" t="str">
        <f>INDEX(Q:Q,MATCH(Table1[[#This Row],[Item Purchased]],D:D))</f>
        <v>Debit Card</v>
      </c>
      <c r="T197">
        <f>SUMIF(J:J,Table1[[#This Row],[Season]],F:F)</f>
        <v>60018</v>
      </c>
    </row>
    <row r="198" spans="1:20" x14ac:dyDescent="0.3">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c r="S198" t="str">
        <f>INDEX(Q:Q,MATCH(Table1[[#This Row],[Item Purchased]],D:D))</f>
        <v>Venmo</v>
      </c>
      <c r="T198">
        <f>SUMIF(J:J,Table1[[#This Row],[Season]],F:F)</f>
        <v>55777</v>
      </c>
    </row>
    <row r="199" spans="1:20" x14ac:dyDescent="0.3">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c r="S199" t="str">
        <f>INDEX(Q:Q,MATCH(Table1[[#This Row],[Item Purchased]],D:D))</f>
        <v>Bank Transfer</v>
      </c>
      <c r="T199">
        <f>SUMIF(J:J,Table1[[#This Row],[Season]],F:F)</f>
        <v>60018</v>
      </c>
    </row>
    <row r="200" spans="1:20" x14ac:dyDescent="0.3">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c r="S200" t="str">
        <f>INDEX(Q:Q,MATCH(Table1[[#This Row],[Item Purchased]],D:D))</f>
        <v>Cash</v>
      </c>
      <c r="T200">
        <f>SUMIF(J:J,Table1[[#This Row],[Season]],F:F)</f>
        <v>58607</v>
      </c>
    </row>
    <row r="201" spans="1:20" x14ac:dyDescent="0.3">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c r="S201" t="str">
        <f>INDEX(Q:Q,MATCH(Table1[[#This Row],[Item Purchased]],D:D))</f>
        <v>Venmo</v>
      </c>
      <c r="T201">
        <f>SUMIF(J:J,Table1[[#This Row],[Season]],F:F)</f>
        <v>55777</v>
      </c>
    </row>
    <row r="202" spans="1:20" x14ac:dyDescent="0.3">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c r="S202" t="str">
        <f>INDEX(Q:Q,MATCH(Table1[[#This Row],[Item Purchased]],D:D))</f>
        <v>Debit Card</v>
      </c>
      <c r="T202">
        <f>SUMIF(J:J,Table1[[#This Row],[Season]],F:F)</f>
        <v>55777</v>
      </c>
    </row>
    <row r="203" spans="1:20" x14ac:dyDescent="0.3">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c r="S203" t="str">
        <f>INDEX(Q:Q,MATCH(Table1[[#This Row],[Item Purchased]],D:D))</f>
        <v>Venmo</v>
      </c>
      <c r="T203">
        <f>SUMIF(J:J,Table1[[#This Row],[Season]],F:F)</f>
        <v>60018</v>
      </c>
    </row>
    <row r="204" spans="1:20" x14ac:dyDescent="0.3">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c r="S204" t="str">
        <f>INDEX(Q:Q,MATCH(Table1[[#This Row],[Item Purchased]],D:D))</f>
        <v>Venmo</v>
      </c>
      <c r="T204">
        <f>SUMIF(J:J,Table1[[#This Row],[Season]],F:F)</f>
        <v>58679</v>
      </c>
    </row>
    <row r="205" spans="1:20" x14ac:dyDescent="0.3">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c r="S205" t="str">
        <f>INDEX(Q:Q,MATCH(Table1[[#This Row],[Item Purchased]],D:D))</f>
        <v>Bank Transfer</v>
      </c>
      <c r="T205">
        <f>SUMIF(J:J,Table1[[#This Row],[Season]],F:F)</f>
        <v>60018</v>
      </c>
    </row>
    <row r="206" spans="1:20" x14ac:dyDescent="0.3">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c r="S206" t="str">
        <f>INDEX(Q:Q,MATCH(Table1[[#This Row],[Item Purchased]],D:D))</f>
        <v>Venmo</v>
      </c>
      <c r="T206">
        <f>SUMIF(J:J,Table1[[#This Row],[Season]],F:F)</f>
        <v>60018</v>
      </c>
    </row>
    <row r="207" spans="1:20" x14ac:dyDescent="0.3">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c r="S207" t="str">
        <f>INDEX(Q:Q,MATCH(Table1[[#This Row],[Item Purchased]],D:D))</f>
        <v>Bank Transfer</v>
      </c>
      <c r="T207">
        <f>SUMIF(J:J,Table1[[#This Row],[Season]],F:F)</f>
        <v>58607</v>
      </c>
    </row>
    <row r="208" spans="1:20" x14ac:dyDescent="0.3">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c r="S208" t="str">
        <f>INDEX(Q:Q,MATCH(Table1[[#This Row],[Item Purchased]],D:D))</f>
        <v>Venmo</v>
      </c>
      <c r="T208">
        <f>SUMIF(J:J,Table1[[#This Row],[Season]],F:F)</f>
        <v>55777</v>
      </c>
    </row>
    <row r="209" spans="1:20" x14ac:dyDescent="0.3">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c r="S209" t="str">
        <f>INDEX(Q:Q,MATCH(Table1[[#This Row],[Item Purchased]],D:D))</f>
        <v>Debit Card</v>
      </c>
      <c r="T209">
        <f>SUMIF(J:J,Table1[[#This Row],[Season]],F:F)</f>
        <v>55777</v>
      </c>
    </row>
    <row r="210" spans="1:20" x14ac:dyDescent="0.3">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c r="S210" t="str">
        <f>INDEX(Q:Q,MATCH(Table1[[#This Row],[Item Purchased]],D:D))</f>
        <v>Credit Card</v>
      </c>
      <c r="T210">
        <f>SUMIF(J:J,Table1[[#This Row],[Season]],F:F)</f>
        <v>58679</v>
      </c>
    </row>
    <row r="211" spans="1:20" x14ac:dyDescent="0.3">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c r="S211" t="str">
        <f>INDEX(Q:Q,MATCH(Table1[[#This Row],[Item Purchased]],D:D))</f>
        <v>Bank Transfer</v>
      </c>
      <c r="T211">
        <f>SUMIF(J:J,Table1[[#This Row],[Season]],F:F)</f>
        <v>58607</v>
      </c>
    </row>
    <row r="212" spans="1:20" x14ac:dyDescent="0.3">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c r="S212" t="str">
        <f>INDEX(Q:Q,MATCH(Table1[[#This Row],[Item Purchased]],D:D))</f>
        <v>Debit Card</v>
      </c>
      <c r="T212">
        <f>SUMIF(J:J,Table1[[#This Row],[Season]],F:F)</f>
        <v>60018</v>
      </c>
    </row>
    <row r="213" spans="1:20" x14ac:dyDescent="0.3">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c r="S213" t="str">
        <f>INDEX(Q:Q,MATCH(Table1[[#This Row],[Item Purchased]],D:D))</f>
        <v>Credit Card</v>
      </c>
      <c r="T213">
        <f>SUMIF(J:J,Table1[[#This Row],[Season]],F:F)</f>
        <v>60018</v>
      </c>
    </row>
    <row r="214" spans="1:20" x14ac:dyDescent="0.3">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c r="S214" t="str">
        <f>INDEX(Q:Q,MATCH(Table1[[#This Row],[Item Purchased]],D:D))</f>
        <v>Cash</v>
      </c>
      <c r="T214">
        <f>SUMIF(J:J,Table1[[#This Row],[Season]],F:F)</f>
        <v>60018</v>
      </c>
    </row>
    <row r="215" spans="1:20" x14ac:dyDescent="0.3">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c r="S215" t="str">
        <f>INDEX(Q:Q,MATCH(Table1[[#This Row],[Item Purchased]],D:D))</f>
        <v>Cash</v>
      </c>
      <c r="T215">
        <f>SUMIF(J:J,Table1[[#This Row],[Season]],F:F)</f>
        <v>60018</v>
      </c>
    </row>
    <row r="216" spans="1:20" x14ac:dyDescent="0.3">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c r="S216" t="str">
        <f>INDEX(Q:Q,MATCH(Table1[[#This Row],[Item Purchased]],D:D))</f>
        <v>Debit Card</v>
      </c>
      <c r="T216">
        <f>SUMIF(J:J,Table1[[#This Row],[Season]],F:F)</f>
        <v>55777</v>
      </c>
    </row>
    <row r="217" spans="1:20" x14ac:dyDescent="0.3">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c r="S217" t="str">
        <f>INDEX(Q:Q,MATCH(Table1[[#This Row],[Item Purchased]],D:D))</f>
        <v>Bank Transfer</v>
      </c>
      <c r="T217">
        <f>SUMIF(J:J,Table1[[#This Row],[Season]],F:F)</f>
        <v>58679</v>
      </c>
    </row>
    <row r="218" spans="1:20" x14ac:dyDescent="0.3">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c r="S218" t="str">
        <f>INDEX(Q:Q,MATCH(Table1[[#This Row],[Item Purchased]],D:D))</f>
        <v>PayPal</v>
      </c>
      <c r="T218">
        <f>SUMIF(J:J,Table1[[#This Row],[Season]],F:F)</f>
        <v>58679</v>
      </c>
    </row>
    <row r="219" spans="1:20" x14ac:dyDescent="0.3">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c r="S219" t="str">
        <f>INDEX(Q:Q,MATCH(Table1[[#This Row],[Item Purchased]],D:D))</f>
        <v>Venmo</v>
      </c>
      <c r="T219">
        <f>SUMIF(J:J,Table1[[#This Row],[Season]],F:F)</f>
        <v>58607</v>
      </c>
    </row>
    <row r="220" spans="1:20" x14ac:dyDescent="0.3">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c r="S220" t="str">
        <f>INDEX(Q:Q,MATCH(Table1[[#This Row],[Item Purchased]],D:D))</f>
        <v>Venmo</v>
      </c>
      <c r="T220">
        <f>SUMIF(J:J,Table1[[#This Row],[Season]],F:F)</f>
        <v>58679</v>
      </c>
    </row>
    <row r="221" spans="1:20" x14ac:dyDescent="0.3">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c r="S221" t="e">
        <f>INDEX(Q:Q,MATCH(Table1[[#This Row],[Item Purchased]],D:D))</f>
        <v>#N/A</v>
      </c>
      <c r="T221">
        <f>SUMIF(J:J,Table1[[#This Row],[Season]],F:F)</f>
        <v>58679</v>
      </c>
    </row>
    <row r="222" spans="1:20" x14ac:dyDescent="0.3">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c r="S222" t="str">
        <f>INDEX(Q:Q,MATCH(Table1[[#This Row],[Item Purchased]],D:D))</f>
        <v>Venmo</v>
      </c>
      <c r="T222">
        <f>SUMIF(J:J,Table1[[#This Row],[Season]],F:F)</f>
        <v>58679</v>
      </c>
    </row>
    <row r="223" spans="1:20" x14ac:dyDescent="0.3">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c r="S223" t="str">
        <f>INDEX(Q:Q,MATCH(Table1[[#This Row],[Item Purchased]],D:D))</f>
        <v>Venmo</v>
      </c>
      <c r="T223">
        <f>SUMIF(J:J,Table1[[#This Row],[Season]],F:F)</f>
        <v>55777</v>
      </c>
    </row>
    <row r="224" spans="1:20" x14ac:dyDescent="0.3">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c r="S224" t="str">
        <f>INDEX(Q:Q,MATCH(Table1[[#This Row],[Item Purchased]],D:D))</f>
        <v>Debit Card</v>
      </c>
      <c r="T224">
        <f>SUMIF(J:J,Table1[[#This Row],[Season]],F:F)</f>
        <v>58679</v>
      </c>
    </row>
    <row r="225" spans="1:20" x14ac:dyDescent="0.3">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c r="S225" t="str">
        <f>INDEX(Q:Q,MATCH(Table1[[#This Row],[Item Purchased]],D:D))</f>
        <v>Cash</v>
      </c>
      <c r="T225">
        <f>SUMIF(J:J,Table1[[#This Row],[Season]],F:F)</f>
        <v>58679</v>
      </c>
    </row>
    <row r="226" spans="1:20" x14ac:dyDescent="0.3">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c r="S226" t="str">
        <f>INDEX(Q:Q,MATCH(Table1[[#This Row],[Item Purchased]],D:D))</f>
        <v>Venmo</v>
      </c>
      <c r="T226">
        <f>SUMIF(J:J,Table1[[#This Row],[Season]],F:F)</f>
        <v>55777</v>
      </c>
    </row>
    <row r="227" spans="1:20" x14ac:dyDescent="0.3">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c r="S227" t="str">
        <f>INDEX(Q:Q,MATCH(Table1[[#This Row],[Item Purchased]],D:D))</f>
        <v>Debit Card</v>
      </c>
      <c r="T227">
        <f>SUMIF(J:J,Table1[[#This Row],[Season]],F:F)</f>
        <v>58679</v>
      </c>
    </row>
    <row r="228" spans="1:20" x14ac:dyDescent="0.3">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c r="S228" t="str">
        <f>INDEX(Q:Q,MATCH(Table1[[#This Row],[Item Purchased]],D:D))</f>
        <v>PayPal</v>
      </c>
      <c r="T228">
        <f>SUMIF(J:J,Table1[[#This Row],[Season]],F:F)</f>
        <v>58679</v>
      </c>
    </row>
    <row r="229" spans="1:20" x14ac:dyDescent="0.3">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c r="S229" t="str">
        <f>INDEX(Q:Q,MATCH(Table1[[#This Row],[Item Purchased]],D:D))</f>
        <v>Cash</v>
      </c>
      <c r="T229">
        <f>SUMIF(J:J,Table1[[#This Row],[Season]],F:F)</f>
        <v>58607</v>
      </c>
    </row>
    <row r="230" spans="1:20" x14ac:dyDescent="0.3">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c r="S230" t="str">
        <f>INDEX(Q:Q,MATCH(Table1[[#This Row],[Item Purchased]],D:D))</f>
        <v>Venmo</v>
      </c>
      <c r="T230">
        <f>SUMIF(J:J,Table1[[#This Row],[Season]],F:F)</f>
        <v>58679</v>
      </c>
    </row>
    <row r="231" spans="1:20" x14ac:dyDescent="0.3">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c r="S231" t="str">
        <f>INDEX(Q:Q,MATCH(Table1[[#This Row],[Item Purchased]],D:D))</f>
        <v>Bank Transfer</v>
      </c>
      <c r="T231">
        <f>SUMIF(J:J,Table1[[#This Row],[Season]],F:F)</f>
        <v>58679</v>
      </c>
    </row>
    <row r="232" spans="1:20" x14ac:dyDescent="0.3">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c r="S232" t="str">
        <f>INDEX(Q:Q,MATCH(Table1[[#This Row],[Item Purchased]],D:D))</f>
        <v>Bank Transfer</v>
      </c>
      <c r="T232">
        <f>SUMIF(J:J,Table1[[#This Row],[Season]],F:F)</f>
        <v>60018</v>
      </c>
    </row>
    <row r="233" spans="1:20" x14ac:dyDescent="0.3">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c r="S233" t="str">
        <f>INDEX(Q:Q,MATCH(Table1[[#This Row],[Item Purchased]],D:D))</f>
        <v>Venmo</v>
      </c>
      <c r="T233">
        <f>SUMIF(J:J,Table1[[#This Row],[Season]],F:F)</f>
        <v>58679</v>
      </c>
    </row>
    <row r="234" spans="1:20" x14ac:dyDescent="0.3">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c r="S234" t="str">
        <f>INDEX(Q:Q,MATCH(Table1[[#This Row],[Item Purchased]],D:D))</f>
        <v>Cash</v>
      </c>
      <c r="T234">
        <f>SUMIF(J:J,Table1[[#This Row],[Season]],F:F)</f>
        <v>58607</v>
      </c>
    </row>
    <row r="235" spans="1:20" x14ac:dyDescent="0.3">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c r="S235" t="str">
        <f>INDEX(Q:Q,MATCH(Table1[[#This Row],[Item Purchased]],D:D))</f>
        <v>Venmo</v>
      </c>
      <c r="T235">
        <f>SUMIF(J:J,Table1[[#This Row],[Season]],F:F)</f>
        <v>60018</v>
      </c>
    </row>
    <row r="236" spans="1:20" x14ac:dyDescent="0.3">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c r="S236" t="str">
        <f>INDEX(Q:Q,MATCH(Table1[[#This Row],[Item Purchased]],D:D))</f>
        <v>Debit Card</v>
      </c>
      <c r="T236">
        <f>SUMIF(J:J,Table1[[#This Row],[Season]],F:F)</f>
        <v>55777</v>
      </c>
    </row>
    <row r="237" spans="1:20" x14ac:dyDescent="0.3">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c r="S237" t="str">
        <f>INDEX(Q:Q,MATCH(Table1[[#This Row],[Item Purchased]],D:D))</f>
        <v>Venmo</v>
      </c>
      <c r="T237">
        <f>SUMIF(J:J,Table1[[#This Row],[Season]],F:F)</f>
        <v>58607</v>
      </c>
    </row>
    <row r="238" spans="1:20" x14ac:dyDescent="0.3">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c r="S238" t="str">
        <f>INDEX(Q:Q,MATCH(Table1[[#This Row],[Item Purchased]],D:D))</f>
        <v>Debit Card</v>
      </c>
      <c r="T238">
        <f>SUMIF(J:J,Table1[[#This Row],[Season]],F:F)</f>
        <v>58607</v>
      </c>
    </row>
    <row r="239" spans="1:20" x14ac:dyDescent="0.3">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c r="S239" t="str">
        <f>INDEX(Q:Q,MATCH(Table1[[#This Row],[Item Purchased]],D:D))</f>
        <v>Debit Card</v>
      </c>
      <c r="T239">
        <f>SUMIF(J:J,Table1[[#This Row],[Season]],F:F)</f>
        <v>55777</v>
      </c>
    </row>
    <row r="240" spans="1:20" x14ac:dyDescent="0.3">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c r="S240" t="str">
        <f>INDEX(Q:Q,MATCH(Table1[[#This Row],[Item Purchased]],D:D))</f>
        <v>Credit Card</v>
      </c>
      <c r="T240">
        <f>SUMIF(J:J,Table1[[#This Row],[Season]],F:F)</f>
        <v>60018</v>
      </c>
    </row>
    <row r="241" spans="1:20" x14ac:dyDescent="0.3">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c r="S241" t="str">
        <f>INDEX(Q:Q,MATCH(Table1[[#This Row],[Item Purchased]],D:D))</f>
        <v>Cash</v>
      </c>
      <c r="T241">
        <f>SUMIF(J:J,Table1[[#This Row],[Season]],F:F)</f>
        <v>55777</v>
      </c>
    </row>
    <row r="242" spans="1:20" x14ac:dyDescent="0.3">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c r="S242" t="str">
        <f>INDEX(Q:Q,MATCH(Table1[[#This Row],[Item Purchased]],D:D))</f>
        <v>Venmo</v>
      </c>
      <c r="T242">
        <f>SUMIF(J:J,Table1[[#This Row],[Season]],F:F)</f>
        <v>58607</v>
      </c>
    </row>
    <row r="243" spans="1:20" x14ac:dyDescent="0.3">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c r="S243" t="str">
        <f>INDEX(Q:Q,MATCH(Table1[[#This Row],[Item Purchased]],D:D))</f>
        <v>Venmo</v>
      </c>
      <c r="T243">
        <f>SUMIF(J:J,Table1[[#This Row],[Season]],F:F)</f>
        <v>58607</v>
      </c>
    </row>
    <row r="244" spans="1:20" x14ac:dyDescent="0.3">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c r="S244" t="str">
        <f>INDEX(Q:Q,MATCH(Table1[[#This Row],[Item Purchased]],D:D))</f>
        <v>Debit Card</v>
      </c>
      <c r="T244">
        <f>SUMIF(J:J,Table1[[#This Row],[Season]],F:F)</f>
        <v>55777</v>
      </c>
    </row>
    <row r="245" spans="1:20" x14ac:dyDescent="0.3">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c r="S245" t="str">
        <f>INDEX(Q:Q,MATCH(Table1[[#This Row],[Item Purchased]],D:D))</f>
        <v>Cash</v>
      </c>
      <c r="T245">
        <f>SUMIF(J:J,Table1[[#This Row],[Season]],F:F)</f>
        <v>58607</v>
      </c>
    </row>
    <row r="246" spans="1:20" x14ac:dyDescent="0.3">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c r="S246" t="e">
        <f>INDEX(Q:Q,MATCH(Table1[[#This Row],[Item Purchased]],D:D))</f>
        <v>#N/A</v>
      </c>
      <c r="T246">
        <f>SUMIF(J:J,Table1[[#This Row],[Season]],F:F)</f>
        <v>58679</v>
      </c>
    </row>
    <row r="247" spans="1:20" x14ac:dyDescent="0.3">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c r="S247" t="str">
        <f>INDEX(Q:Q,MATCH(Table1[[#This Row],[Item Purchased]],D:D))</f>
        <v>Bank Transfer</v>
      </c>
      <c r="T247">
        <f>SUMIF(J:J,Table1[[#This Row],[Season]],F:F)</f>
        <v>55777</v>
      </c>
    </row>
    <row r="248" spans="1:20" x14ac:dyDescent="0.3">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c r="S248" t="str">
        <f>INDEX(Q:Q,MATCH(Table1[[#This Row],[Item Purchased]],D:D))</f>
        <v>Venmo</v>
      </c>
      <c r="T248">
        <f>SUMIF(J:J,Table1[[#This Row],[Season]],F:F)</f>
        <v>58679</v>
      </c>
    </row>
    <row r="249" spans="1:20" x14ac:dyDescent="0.3">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c r="S249" t="str">
        <f>INDEX(Q:Q,MATCH(Table1[[#This Row],[Item Purchased]],D:D))</f>
        <v>Venmo</v>
      </c>
      <c r="T249">
        <f>SUMIF(J:J,Table1[[#This Row],[Season]],F:F)</f>
        <v>58679</v>
      </c>
    </row>
    <row r="250" spans="1:20" x14ac:dyDescent="0.3">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c r="S250" t="e">
        <f>INDEX(Q:Q,MATCH(Table1[[#This Row],[Item Purchased]],D:D))</f>
        <v>#N/A</v>
      </c>
      <c r="T250">
        <f>SUMIF(J:J,Table1[[#This Row],[Season]],F:F)</f>
        <v>58607</v>
      </c>
    </row>
    <row r="251" spans="1:20" x14ac:dyDescent="0.3">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c r="S251" t="str">
        <f>INDEX(Q:Q,MATCH(Table1[[#This Row],[Item Purchased]],D:D))</f>
        <v>Cash</v>
      </c>
      <c r="T251">
        <f>SUMIF(J:J,Table1[[#This Row],[Season]],F:F)</f>
        <v>60018</v>
      </c>
    </row>
    <row r="252" spans="1:20" x14ac:dyDescent="0.3">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c r="S252" t="str">
        <f>INDEX(Q:Q,MATCH(Table1[[#This Row],[Item Purchased]],D:D))</f>
        <v>Credit Card</v>
      </c>
      <c r="T252">
        <f>SUMIF(J:J,Table1[[#This Row],[Season]],F:F)</f>
        <v>60018</v>
      </c>
    </row>
    <row r="253" spans="1:20" x14ac:dyDescent="0.3">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c r="S253" t="str">
        <f>INDEX(Q:Q,MATCH(Table1[[#This Row],[Item Purchased]],D:D))</f>
        <v>Cash</v>
      </c>
      <c r="T253">
        <f>SUMIF(J:J,Table1[[#This Row],[Season]],F:F)</f>
        <v>58607</v>
      </c>
    </row>
    <row r="254" spans="1:20" x14ac:dyDescent="0.3">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c r="S254" t="str">
        <f>INDEX(Q:Q,MATCH(Table1[[#This Row],[Item Purchased]],D:D))</f>
        <v>PayPal</v>
      </c>
      <c r="T254">
        <f>SUMIF(J:J,Table1[[#This Row],[Season]],F:F)</f>
        <v>55777</v>
      </c>
    </row>
    <row r="255" spans="1:20" x14ac:dyDescent="0.3">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c r="S255" t="str">
        <f>INDEX(Q:Q,MATCH(Table1[[#This Row],[Item Purchased]],D:D))</f>
        <v>Venmo</v>
      </c>
      <c r="T255">
        <f>SUMIF(J:J,Table1[[#This Row],[Season]],F:F)</f>
        <v>58607</v>
      </c>
    </row>
    <row r="256" spans="1:20" x14ac:dyDescent="0.3">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c r="S256" t="str">
        <f>INDEX(Q:Q,MATCH(Table1[[#This Row],[Item Purchased]],D:D))</f>
        <v>Venmo</v>
      </c>
      <c r="T256">
        <f>SUMIF(J:J,Table1[[#This Row],[Season]],F:F)</f>
        <v>58607</v>
      </c>
    </row>
    <row r="257" spans="1:20" x14ac:dyDescent="0.3">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c r="S257" t="str">
        <f>INDEX(Q:Q,MATCH(Table1[[#This Row],[Item Purchased]],D:D))</f>
        <v>Bank Transfer</v>
      </c>
      <c r="T257">
        <f>SUMIF(J:J,Table1[[#This Row],[Season]],F:F)</f>
        <v>58679</v>
      </c>
    </row>
    <row r="258" spans="1:20" x14ac:dyDescent="0.3">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c r="S258" t="str">
        <f>INDEX(Q:Q,MATCH(Table1[[#This Row],[Item Purchased]],D:D))</f>
        <v>Cash</v>
      </c>
      <c r="T258">
        <f>SUMIF(J:J,Table1[[#This Row],[Season]],F:F)</f>
        <v>58679</v>
      </c>
    </row>
    <row r="259" spans="1:20" x14ac:dyDescent="0.3">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c r="S259" t="str">
        <f>INDEX(Q:Q,MATCH(Table1[[#This Row],[Item Purchased]],D:D))</f>
        <v>Cash</v>
      </c>
      <c r="T259">
        <f>SUMIF(J:J,Table1[[#This Row],[Season]],F:F)</f>
        <v>55777</v>
      </c>
    </row>
    <row r="260" spans="1:20" x14ac:dyDescent="0.3">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c r="S260" t="str">
        <f>INDEX(Q:Q,MATCH(Table1[[#This Row],[Item Purchased]],D:D))</f>
        <v>Debit Card</v>
      </c>
      <c r="T260">
        <f>SUMIF(J:J,Table1[[#This Row],[Season]],F:F)</f>
        <v>58679</v>
      </c>
    </row>
    <row r="261" spans="1:20" x14ac:dyDescent="0.3">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c r="S261" t="str">
        <f>INDEX(Q:Q,MATCH(Table1[[#This Row],[Item Purchased]],D:D))</f>
        <v>Cash</v>
      </c>
      <c r="T261">
        <f>SUMIF(J:J,Table1[[#This Row],[Season]],F:F)</f>
        <v>60018</v>
      </c>
    </row>
    <row r="262" spans="1:20" x14ac:dyDescent="0.3">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c r="S262" t="str">
        <f>INDEX(Q:Q,MATCH(Table1[[#This Row],[Item Purchased]],D:D))</f>
        <v>Venmo</v>
      </c>
      <c r="T262">
        <f>SUMIF(J:J,Table1[[#This Row],[Season]],F:F)</f>
        <v>58607</v>
      </c>
    </row>
    <row r="263" spans="1:20" x14ac:dyDescent="0.3">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c r="S263" t="str">
        <f>INDEX(Q:Q,MATCH(Table1[[#This Row],[Item Purchased]],D:D))</f>
        <v>Cash</v>
      </c>
      <c r="T263">
        <f>SUMIF(J:J,Table1[[#This Row],[Season]],F:F)</f>
        <v>58607</v>
      </c>
    </row>
    <row r="264" spans="1:20" x14ac:dyDescent="0.3">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c r="S264" t="str">
        <f>INDEX(Q:Q,MATCH(Table1[[#This Row],[Item Purchased]],D:D))</f>
        <v>Cash</v>
      </c>
      <c r="T264">
        <f>SUMIF(J:J,Table1[[#This Row],[Season]],F:F)</f>
        <v>55777</v>
      </c>
    </row>
    <row r="265" spans="1:20" x14ac:dyDescent="0.3">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c r="S265" t="str">
        <f>INDEX(Q:Q,MATCH(Table1[[#This Row],[Item Purchased]],D:D))</f>
        <v>PayPal</v>
      </c>
      <c r="T265">
        <f>SUMIF(J:J,Table1[[#This Row],[Season]],F:F)</f>
        <v>55777</v>
      </c>
    </row>
    <row r="266" spans="1:20" x14ac:dyDescent="0.3">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c r="S266" t="str">
        <f>INDEX(Q:Q,MATCH(Table1[[#This Row],[Item Purchased]],D:D))</f>
        <v>Cash</v>
      </c>
      <c r="T266">
        <f>SUMIF(J:J,Table1[[#This Row],[Season]],F:F)</f>
        <v>60018</v>
      </c>
    </row>
    <row r="267" spans="1:20" x14ac:dyDescent="0.3">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c r="S267" t="e">
        <f>INDEX(Q:Q,MATCH(Table1[[#This Row],[Item Purchased]],D:D))</f>
        <v>#N/A</v>
      </c>
      <c r="T267">
        <f>SUMIF(J:J,Table1[[#This Row],[Season]],F:F)</f>
        <v>58679</v>
      </c>
    </row>
    <row r="268" spans="1:20" x14ac:dyDescent="0.3">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c r="S268" t="str">
        <f>INDEX(Q:Q,MATCH(Table1[[#This Row],[Item Purchased]],D:D))</f>
        <v>Cash</v>
      </c>
      <c r="T268">
        <f>SUMIF(J:J,Table1[[#This Row],[Season]],F:F)</f>
        <v>55777</v>
      </c>
    </row>
    <row r="269" spans="1:20" x14ac:dyDescent="0.3">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c r="S269" t="str">
        <f>INDEX(Q:Q,MATCH(Table1[[#This Row],[Item Purchased]],D:D))</f>
        <v>Venmo</v>
      </c>
      <c r="T269">
        <f>SUMIF(J:J,Table1[[#This Row],[Season]],F:F)</f>
        <v>58679</v>
      </c>
    </row>
    <row r="270" spans="1:20" x14ac:dyDescent="0.3">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c r="S270" t="str">
        <f>INDEX(Q:Q,MATCH(Table1[[#This Row],[Item Purchased]],D:D))</f>
        <v>PayPal</v>
      </c>
      <c r="T270">
        <f>SUMIF(J:J,Table1[[#This Row],[Season]],F:F)</f>
        <v>58679</v>
      </c>
    </row>
    <row r="271" spans="1:20" x14ac:dyDescent="0.3">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c r="S271" t="str">
        <f>INDEX(Q:Q,MATCH(Table1[[#This Row],[Item Purchased]],D:D))</f>
        <v>Venmo</v>
      </c>
      <c r="T271">
        <f>SUMIF(J:J,Table1[[#This Row],[Season]],F:F)</f>
        <v>58607</v>
      </c>
    </row>
    <row r="272" spans="1:20" x14ac:dyDescent="0.3">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c r="S272" t="str">
        <f>INDEX(Q:Q,MATCH(Table1[[#This Row],[Item Purchased]],D:D))</f>
        <v>Cash</v>
      </c>
      <c r="T272">
        <f>SUMIF(J:J,Table1[[#This Row],[Season]],F:F)</f>
        <v>60018</v>
      </c>
    </row>
    <row r="273" spans="1:20" x14ac:dyDescent="0.3">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c r="S273" t="str">
        <f>INDEX(Q:Q,MATCH(Table1[[#This Row],[Item Purchased]],D:D))</f>
        <v>Venmo</v>
      </c>
      <c r="T273">
        <f>SUMIF(J:J,Table1[[#This Row],[Season]],F:F)</f>
        <v>55777</v>
      </c>
    </row>
    <row r="274" spans="1:20" x14ac:dyDescent="0.3">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c r="S274" t="str">
        <f>INDEX(Q:Q,MATCH(Table1[[#This Row],[Item Purchased]],D:D))</f>
        <v>Cash</v>
      </c>
      <c r="T274">
        <f>SUMIF(J:J,Table1[[#This Row],[Season]],F:F)</f>
        <v>55777</v>
      </c>
    </row>
    <row r="275" spans="1:20" x14ac:dyDescent="0.3">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c r="S275" t="str">
        <f>INDEX(Q:Q,MATCH(Table1[[#This Row],[Item Purchased]],D:D))</f>
        <v>Debit Card</v>
      </c>
      <c r="T275">
        <f>SUMIF(J:J,Table1[[#This Row],[Season]],F:F)</f>
        <v>58679</v>
      </c>
    </row>
    <row r="276" spans="1:20" x14ac:dyDescent="0.3">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c r="S276" t="str">
        <f>INDEX(Q:Q,MATCH(Table1[[#This Row],[Item Purchased]],D:D))</f>
        <v>Cash</v>
      </c>
      <c r="T276">
        <f>SUMIF(J:J,Table1[[#This Row],[Season]],F:F)</f>
        <v>58679</v>
      </c>
    </row>
    <row r="277" spans="1:20" x14ac:dyDescent="0.3">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c r="S277" t="e">
        <f>INDEX(Q:Q,MATCH(Table1[[#This Row],[Item Purchased]],D:D))</f>
        <v>#N/A</v>
      </c>
      <c r="T277">
        <f>SUMIF(J:J,Table1[[#This Row],[Season]],F:F)</f>
        <v>58607</v>
      </c>
    </row>
    <row r="278" spans="1:20" x14ac:dyDescent="0.3">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c r="S278" t="str">
        <f>INDEX(Q:Q,MATCH(Table1[[#This Row],[Item Purchased]],D:D))</f>
        <v>Credit Card</v>
      </c>
      <c r="T278">
        <f>SUMIF(J:J,Table1[[#This Row],[Season]],F:F)</f>
        <v>60018</v>
      </c>
    </row>
    <row r="279" spans="1:20" x14ac:dyDescent="0.3">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c r="S279" t="str">
        <f>INDEX(Q:Q,MATCH(Table1[[#This Row],[Item Purchased]],D:D))</f>
        <v>Bank Transfer</v>
      </c>
      <c r="T279">
        <f>SUMIF(J:J,Table1[[#This Row],[Season]],F:F)</f>
        <v>58607</v>
      </c>
    </row>
    <row r="280" spans="1:20" x14ac:dyDescent="0.3">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c r="S280" t="str">
        <f>INDEX(Q:Q,MATCH(Table1[[#This Row],[Item Purchased]],D:D))</f>
        <v>Venmo</v>
      </c>
      <c r="T280">
        <f>SUMIF(J:J,Table1[[#This Row],[Season]],F:F)</f>
        <v>58679</v>
      </c>
    </row>
    <row r="281" spans="1:20" x14ac:dyDescent="0.3">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c r="S281" t="str">
        <f>INDEX(Q:Q,MATCH(Table1[[#This Row],[Item Purchased]],D:D))</f>
        <v>Venmo</v>
      </c>
      <c r="T281">
        <f>SUMIF(J:J,Table1[[#This Row],[Season]],F:F)</f>
        <v>55777</v>
      </c>
    </row>
    <row r="282" spans="1:20" x14ac:dyDescent="0.3">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c r="S282" t="str">
        <f>INDEX(Q:Q,MATCH(Table1[[#This Row],[Item Purchased]],D:D))</f>
        <v>Bank Transfer</v>
      </c>
      <c r="T282">
        <f>SUMIF(J:J,Table1[[#This Row],[Season]],F:F)</f>
        <v>60018</v>
      </c>
    </row>
    <row r="283" spans="1:20" x14ac:dyDescent="0.3">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c r="S283" t="e">
        <f>INDEX(Q:Q,MATCH(Table1[[#This Row],[Item Purchased]],D:D))</f>
        <v>#N/A</v>
      </c>
      <c r="T283">
        <f>SUMIF(J:J,Table1[[#This Row],[Season]],F:F)</f>
        <v>58679</v>
      </c>
    </row>
    <row r="284" spans="1:20" x14ac:dyDescent="0.3">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c r="S284" t="str">
        <f>INDEX(Q:Q,MATCH(Table1[[#This Row],[Item Purchased]],D:D))</f>
        <v>Credit Card</v>
      </c>
      <c r="T284">
        <f>SUMIF(J:J,Table1[[#This Row],[Season]],F:F)</f>
        <v>55777</v>
      </c>
    </row>
    <row r="285" spans="1:20" x14ac:dyDescent="0.3">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c r="S285" t="str">
        <f>INDEX(Q:Q,MATCH(Table1[[#This Row],[Item Purchased]],D:D))</f>
        <v>Venmo</v>
      </c>
      <c r="T285">
        <f>SUMIF(J:J,Table1[[#This Row],[Season]],F:F)</f>
        <v>60018</v>
      </c>
    </row>
    <row r="286" spans="1:20" x14ac:dyDescent="0.3">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c r="S286" t="str">
        <f>INDEX(Q:Q,MATCH(Table1[[#This Row],[Item Purchased]],D:D))</f>
        <v>Credit Card</v>
      </c>
      <c r="T286">
        <f>SUMIF(J:J,Table1[[#This Row],[Season]],F:F)</f>
        <v>55777</v>
      </c>
    </row>
    <row r="287" spans="1:20" x14ac:dyDescent="0.3">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c r="S287" t="str">
        <f>INDEX(Q:Q,MATCH(Table1[[#This Row],[Item Purchased]],D:D))</f>
        <v>Cash</v>
      </c>
      <c r="T287">
        <f>SUMIF(J:J,Table1[[#This Row],[Season]],F:F)</f>
        <v>55777</v>
      </c>
    </row>
    <row r="288" spans="1:20" x14ac:dyDescent="0.3">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c r="S288" t="str">
        <f>INDEX(Q:Q,MATCH(Table1[[#This Row],[Item Purchased]],D:D))</f>
        <v>Cash</v>
      </c>
      <c r="T288">
        <f>SUMIF(J:J,Table1[[#This Row],[Season]],F:F)</f>
        <v>55777</v>
      </c>
    </row>
    <row r="289" spans="1:20" x14ac:dyDescent="0.3">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c r="S289" t="str">
        <f>INDEX(Q:Q,MATCH(Table1[[#This Row],[Item Purchased]],D:D))</f>
        <v>Bank Transfer</v>
      </c>
      <c r="T289">
        <f>SUMIF(J:J,Table1[[#This Row],[Season]],F:F)</f>
        <v>58679</v>
      </c>
    </row>
    <row r="290" spans="1:20" x14ac:dyDescent="0.3">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c r="S290" t="str">
        <f>INDEX(Q:Q,MATCH(Table1[[#This Row],[Item Purchased]],D:D))</f>
        <v>Venmo</v>
      </c>
      <c r="T290">
        <f>SUMIF(J:J,Table1[[#This Row],[Season]],F:F)</f>
        <v>58607</v>
      </c>
    </row>
    <row r="291" spans="1:20" x14ac:dyDescent="0.3">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c r="S291" t="str">
        <f>INDEX(Q:Q,MATCH(Table1[[#This Row],[Item Purchased]],D:D))</f>
        <v>Debit Card</v>
      </c>
      <c r="T291">
        <f>SUMIF(J:J,Table1[[#This Row],[Season]],F:F)</f>
        <v>60018</v>
      </c>
    </row>
    <row r="292" spans="1:20" x14ac:dyDescent="0.3">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c r="S292" t="str">
        <f>INDEX(Q:Q,MATCH(Table1[[#This Row],[Item Purchased]],D:D))</f>
        <v>Venmo</v>
      </c>
      <c r="T292">
        <f>SUMIF(J:J,Table1[[#This Row],[Season]],F:F)</f>
        <v>58607</v>
      </c>
    </row>
    <row r="293" spans="1:20" x14ac:dyDescent="0.3">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c r="S293" t="str">
        <f>INDEX(Q:Q,MATCH(Table1[[#This Row],[Item Purchased]],D:D))</f>
        <v>Debit Card</v>
      </c>
      <c r="T293">
        <f>SUMIF(J:J,Table1[[#This Row],[Season]],F:F)</f>
        <v>60018</v>
      </c>
    </row>
    <row r="294" spans="1:20" x14ac:dyDescent="0.3">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c r="S294" t="str">
        <f>INDEX(Q:Q,MATCH(Table1[[#This Row],[Item Purchased]],D:D))</f>
        <v>PayPal</v>
      </c>
      <c r="T294">
        <f>SUMIF(J:J,Table1[[#This Row],[Season]],F:F)</f>
        <v>58679</v>
      </c>
    </row>
    <row r="295" spans="1:20" x14ac:dyDescent="0.3">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c r="S295" t="str">
        <f>INDEX(Q:Q,MATCH(Table1[[#This Row],[Item Purchased]],D:D))</f>
        <v>Cash</v>
      </c>
      <c r="T295">
        <f>SUMIF(J:J,Table1[[#This Row],[Season]],F:F)</f>
        <v>58679</v>
      </c>
    </row>
    <row r="296" spans="1:20" x14ac:dyDescent="0.3">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c r="S296" t="str">
        <f>INDEX(Q:Q,MATCH(Table1[[#This Row],[Item Purchased]],D:D))</f>
        <v>Credit Card</v>
      </c>
      <c r="T296">
        <f>SUMIF(J:J,Table1[[#This Row],[Season]],F:F)</f>
        <v>58679</v>
      </c>
    </row>
    <row r="297" spans="1:20" x14ac:dyDescent="0.3">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c r="S297" t="str">
        <f>INDEX(Q:Q,MATCH(Table1[[#This Row],[Item Purchased]],D:D))</f>
        <v>Venmo</v>
      </c>
      <c r="T297">
        <f>SUMIF(J:J,Table1[[#This Row],[Season]],F:F)</f>
        <v>58607</v>
      </c>
    </row>
    <row r="298" spans="1:20" x14ac:dyDescent="0.3">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c r="S298" t="str">
        <f>INDEX(Q:Q,MATCH(Table1[[#This Row],[Item Purchased]],D:D))</f>
        <v>Bank Transfer</v>
      </c>
      <c r="T298">
        <f>SUMIF(J:J,Table1[[#This Row],[Season]],F:F)</f>
        <v>58679</v>
      </c>
    </row>
    <row r="299" spans="1:20" x14ac:dyDescent="0.3">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c r="S299" t="str">
        <f>INDEX(Q:Q,MATCH(Table1[[#This Row],[Item Purchased]],D:D))</f>
        <v>PayPal</v>
      </c>
      <c r="T299">
        <f>SUMIF(J:J,Table1[[#This Row],[Season]],F:F)</f>
        <v>55777</v>
      </c>
    </row>
    <row r="300" spans="1:20" x14ac:dyDescent="0.3">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c r="S300" t="str">
        <f>INDEX(Q:Q,MATCH(Table1[[#This Row],[Item Purchased]],D:D))</f>
        <v>Venmo</v>
      </c>
      <c r="T300">
        <f>SUMIF(J:J,Table1[[#This Row],[Season]],F:F)</f>
        <v>58607</v>
      </c>
    </row>
    <row r="301" spans="1:20" x14ac:dyDescent="0.3">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c r="S301" t="str">
        <f>INDEX(Q:Q,MATCH(Table1[[#This Row],[Item Purchased]],D:D))</f>
        <v>Venmo</v>
      </c>
      <c r="T301">
        <f>SUMIF(J:J,Table1[[#This Row],[Season]],F:F)</f>
        <v>55777</v>
      </c>
    </row>
    <row r="302" spans="1:20" x14ac:dyDescent="0.3">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c r="S302" t="str">
        <f>INDEX(Q:Q,MATCH(Table1[[#This Row],[Item Purchased]],D:D))</f>
        <v>Venmo</v>
      </c>
      <c r="T302">
        <f>SUMIF(J:J,Table1[[#This Row],[Season]],F:F)</f>
        <v>58679</v>
      </c>
    </row>
    <row r="303" spans="1:20" x14ac:dyDescent="0.3">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c r="S303" t="str">
        <f>INDEX(Q:Q,MATCH(Table1[[#This Row],[Item Purchased]],D:D))</f>
        <v>Credit Card</v>
      </c>
      <c r="T303">
        <f>SUMIF(J:J,Table1[[#This Row],[Season]],F:F)</f>
        <v>58679</v>
      </c>
    </row>
    <row r="304" spans="1:20" x14ac:dyDescent="0.3">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c r="S304" t="str">
        <f>INDEX(Q:Q,MATCH(Table1[[#This Row],[Item Purchased]],D:D))</f>
        <v>Venmo</v>
      </c>
      <c r="T304">
        <f>SUMIF(J:J,Table1[[#This Row],[Season]],F:F)</f>
        <v>55777</v>
      </c>
    </row>
    <row r="305" spans="1:20" x14ac:dyDescent="0.3">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c r="S305" t="str">
        <f>INDEX(Q:Q,MATCH(Table1[[#This Row],[Item Purchased]],D:D))</f>
        <v>Bank Transfer</v>
      </c>
      <c r="T305">
        <f>SUMIF(J:J,Table1[[#This Row],[Season]],F:F)</f>
        <v>55777</v>
      </c>
    </row>
    <row r="306" spans="1:20" x14ac:dyDescent="0.3">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c r="S306" t="str">
        <f>INDEX(Q:Q,MATCH(Table1[[#This Row],[Item Purchased]],D:D))</f>
        <v>Debit Card</v>
      </c>
      <c r="T306">
        <f>SUMIF(J:J,Table1[[#This Row],[Season]],F:F)</f>
        <v>58607</v>
      </c>
    </row>
    <row r="307" spans="1:20" x14ac:dyDescent="0.3">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c r="S307" t="str">
        <f>INDEX(Q:Q,MATCH(Table1[[#This Row],[Item Purchased]],D:D))</f>
        <v>Venmo</v>
      </c>
      <c r="T307">
        <f>SUMIF(J:J,Table1[[#This Row],[Season]],F:F)</f>
        <v>60018</v>
      </c>
    </row>
    <row r="308" spans="1:20" x14ac:dyDescent="0.3">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c r="S308" t="str">
        <f>INDEX(Q:Q,MATCH(Table1[[#This Row],[Item Purchased]],D:D))</f>
        <v>Debit Card</v>
      </c>
      <c r="T308">
        <f>SUMIF(J:J,Table1[[#This Row],[Season]],F:F)</f>
        <v>55777</v>
      </c>
    </row>
    <row r="309" spans="1:20" x14ac:dyDescent="0.3">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c r="S309" t="str">
        <f>INDEX(Q:Q,MATCH(Table1[[#This Row],[Item Purchased]],D:D))</f>
        <v>Debit Card</v>
      </c>
      <c r="T309">
        <f>SUMIF(J:J,Table1[[#This Row],[Season]],F:F)</f>
        <v>58607</v>
      </c>
    </row>
    <row r="310" spans="1:20" x14ac:dyDescent="0.3">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c r="S310" t="str">
        <f>INDEX(Q:Q,MATCH(Table1[[#This Row],[Item Purchased]],D:D))</f>
        <v>Cash</v>
      </c>
      <c r="T310">
        <f>SUMIF(J:J,Table1[[#This Row],[Season]],F:F)</f>
        <v>60018</v>
      </c>
    </row>
    <row r="311" spans="1:20" x14ac:dyDescent="0.3">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c r="S311" t="str">
        <f>INDEX(Q:Q,MATCH(Table1[[#This Row],[Item Purchased]],D:D))</f>
        <v>Debit Card</v>
      </c>
      <c r="T311">
        <f>SUMIF(J:J,Table1[[#This Row],[Season]],F:F)</f>
        <v>58679</v>
      </c>
    </row>
    <row r="312" spans="1:20" x14ac:dyDescent="0.3">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c r="S312" t="str">
        <f>INDEX(Q:Q,MATCH(Table1[[#This Row],[Item Purchased]],D:D))</f>
        <v>Cash</v>
      </c>
      <c r="T312">
        <f>SUMIF(J:J,Table1[[#This Row],[Season]],F:F)</f>
        <v>58607</v>
      </c>
    </row>
    <row r="313" spans="1:20" x14ac:dyDescent="0.3">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c r="S313" t="str">
        <f>INDEX(Q:Q,MATCH(Table1[[#This Row],[Item Purchased]],D:D))</f>
        <v>Cash</v>
      </c>
      <c r="T313">
        <f>SUMIF(J:J,Table1[[#This Row],[Season]],F:F)</f>
        <v>58607</v>
      </c>
    </row>
    <row r="314" spans="1:20" x14ac:dyDescent="0.3">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c r="S314" t="str">
        <f>INDEX(Q:Q,MATCH(Table1[[#This Row],[Item Purchased]],D:D))</f>
        <v>Cash</v>
      </c>
      <c r="T314">
        <f>SUMIF(J:J,Table1[[#This Row],[Season]],F:F)</f>
        <v>58679</v>
      </c>
    </row>
    <row r="315" spans="1:20" x14ac:dyDescent="0.3">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c r="S315" t="str">
        <f>INDEX(Q:Q,MATCH(Table1[[#This Row],[Item Purchased]],D:D))</f>
        <v>Debit Card</v>
      </c>
      <c r="T315">
        <f>SUMIF(J:J,Table1[[#This Row],[Season]],F:F)</f>
        <v>58679</v>
      </c>
    </row>
    <row r="316" spans="1:20" x14ac:dyDescent="0.3">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c r="S316" t="str">
        <f>INDEX(Q:Q,MATCH(Table1[[#This Row],[Item Purchased]],D:D))</f>
        <v>Cash</v>
      </c>
      <c r="T316">
        <f>SUMIF(J:J,Table1[[#This Row],[Season]],F:F)</f>
        <v>55777</v>
      </c>
    </row>
    <row r="317" spans="1:20" x14ac:dyDescent="0.3">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c r="S317" t="str">
        <f>INDEX(Q:Q,MATCH(Table1[[#This Row],[Item Purchased]],D:D))</f>
        <v>Cash</v>
      </c>
      <c r="T317">
        <f>SUMIF(J:J,Table1[[#This Row],[Season]],F:F)</f>
        <v>58679</v>
      </c>
    </row>
    <row r="318" spans="1:20" x14ac:dyDescent="0.3">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c r="S318" t="str">
        <f>INDEX(Q:Q,MATCH(Table1[[#This Row],[Item Purchased]],D:D))</f>
        <v>Cash</v>
      </c>
      <c r="T318">
        <f>SUMIF(J:J,Table1[[#This Row],[Season]],F:F)</f>
        <v>60018</v>
      </c>
    </row>
    <row r="319" spans="1:20" x14ac:dyDescent="0.3">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c r="S319" t="str">
        <f>INDEX(Q:Q,MATCH(Table1[[#This Row],[Item Purchased]],D:D))</f>
        <v>Venmo</v>
      </c>
      <c r="T319">
        <f>SUMIF(J:J,Table1[[#This Row],[Season]],F:F)</f>
        <v>60018</v>
      </c>
    </row>
    <row r="320" spans="1:20" x14ac:dyDescent="0.3">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c r="S320" t="e">
        <f>INDEX(Q:Q,MATCH(Table1[[#This Row],[Item Purchased]],D:D))</f>
        <v>#N/A</v>
      </c>
      <c r="T320">
        <f>SUMIF(J:J,Table1[[#This Row],[Season]],F:F)</f>
        <v>58607</v>
      </c>
    </row>
    <row r="321" spans="1:20" x14ac:dyDescent="0.3">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c r="S321" t="str">
        <f>INDEX(Q:Q,MATCH(Table1[[#This Row],[Item Purchased]],D:D))</f>
        <v>PayPal</v>
      </c>
      <c r="T321">
        <f>SUMIF(J:J,Table1[[#This Row],[Season]],F:F)</f>
        <v>58679</v>
      </c>
    </row>
    <row r="322" spans="1:20" x14ac:dyDescent="0.3">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c r="S322" t="str">
        <f>INDEX(Q:Q,MATCH(Table1[[#This Row],[Item Purchased]],D:D))</f>
        <v>Cash</v>
      </c>
      <c r="T322">
        <f>SUMIF(J:J,Table1[[#This Row],[Season]],F:F)</f>
        <v>55777</v>
      </c>
    </row>
    <row r="323" spans="1:20" x14ac:dyDescent="0.3">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c r="S323" t="str">
        <f>INDEX(Q:Q,MATCH(Table1[[#This Row],[Item Purchased]],D:D))</f>
        <v>Venmo</v>
      </c>
      <c r="T323">
        <f>SUMIF(J:J,Table1[[#This Row],[Season]],F:F)</f>
        <v>55777</v>
      </c>
    </row>
    <row r="324" spans="1:20" x14ac:dyDescent="0.3">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c r="S324" t="e">
        <f>INDEX(Q:Q,MATCH(Table1[[#This Row],[Item Purchased]],D:D))</f>
        <v>#N/A</v>
      </c>
      <c r="T324">
        <f>SUMIF(J:J,Table1[[#This Row],[Season]],F:F)</f>
        <v>58607</v>
      </c>
    </row>
    <row r="325" spans="1:20" x14ac:dyDescent="0.3">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c r="S325" t="str">
        <f>INDEX(Q:Q,MATCH(Table1[[#This Row],[Item Purchased]],D:D))</f>
        <v>Venmo</v>
      </c>
      <c r="T325">
        <f>SUMIF(J:J,Table1[[#This Row],[Season]],F:F)</f>
        <v>58607</v>
      </c>
    </row>
    <row r="326" spans="1:20" x14ac:dyDescent="0.3">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c r="S326" t="str">
        <f>INDEX(Q:Q,MATCH(Table1[[#This Row],[Item Purchased]],D:D))</f>
        <v>Bank Transfer</v>
      </c>
      <c r="T326">
        <f>SUMIF(J:J,Table1[[#This Row],[Season]],F:F)</f>
        <v>55777</v>
      </c>
    </row>
    <row r="327" spans="1:20" x14ac:dyDescent="0.3">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c r="S327" t="str">
        <f>INDEX(Q:Q,MATCH(Table1[[#This Row],[Item Purchased]],D:D))</f>
        <v>Cash</v>
      </c>
      <c r="T327">
        <f>SUMIF(J:J,Table1[[#This Row],[Season]],F:F)</f>
        <v>58607</v>
      </c>
    </row>
    <row r="328" spans="1:20" x14ac:dyDescent="0.3">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c r="S328" t="str">
        <f>INDEX(Q:Q,MATCH(Table1[[#This Row],[Item Purchased]],D:D))</f>
        <v>Bank Transfer</v>
      </c>
      <c r="T328">
        <f>SUMIF(J:J,Table1[[#This Row],[Season]],F:F)</f>
        <v>60018</v>
      </c>
    </row>
    <row r="329" spans="1:20" x14ac:dyDescent="0.3">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c r="S329" t="str">
        <f>INDEX(Q:Q,MATCH(Table1[[#This Row],[Item Purchased]],D:D))</f>
        <v>Debit Card</v>
      </c>
      <c r="T329">
        <f>SUMIF(J:J,Table1[[#This Row],[Season]],F:F)</f>
        <v>55777</v>
      </c>
    </row>
    <row r="330" spans="1:20" x14ac:dyDescent="0.3">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c r="S330" t="str">
        <f>INDEX(Q:Q,MATCH(Table1[[#This Row],[Item Purchased]],D:D))</f>
        <v>Debit Card</v>
      </c>
      <c r="T330">
        <f>SUMIF(J:J,Table1[[#This Row],[Season]],F:F)</f>
        <v>60018</v>
      </c>
    </row>
    <row r="331" spans="1:20" x14ac:dyDescent="0.3">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c r="S331" t="str">
        <f>INDEX(Q:Q,MATCH(Table1[[#This Row],[Item Purchased]],D:D))</f>
        <v>Venmo</v>
      </c>
      <c r="T331">
        <f>SUMIF(J:J,Table1[[#This Row],[Season]],F:F)</f>
        <v>55777</v>
      </c>
    </row>
    <row r="332" spans="1:20" x14ac:dyDescent="0.3">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c r="S332" t="str">
        <f>INDEX(Q:Q,MATCH(Table1[[#This Row],[Item Purchased]],D:D))</f>
        <v>Venmo</v>
      </c>
      <c r="T332">
        <f>SUMIF(J:J,Table1[[#This Row],[Season]],F:F)</f>
        <v>58607</v>
      </c>
    </row>
    <row r="333" spans="1:20" x14ac:dyDescent="0.3">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c r="S333" t="str">
        <f>INDEX(Q:Q,MATCH(Table1[[#This Row],[Item Purchased]],D:D))</f>
        <v>Bank Transfer</v>
      </c>
      <c r="T333">
        <f>SUMIF(J:J,Table1[[#This Row],[Season]],F:F)</f>
        <v>60018</v>
      </c>
    </row>
    <row r="334" spans="1:20" x14ac:dyDescent="0.3">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c r="S334" t="str">
        <f>INDEX(Q:Q,MATCH(Table1[[#This Row],[Item Purchased]],D:D))</f>
        <v>Bank Transfer</v>
      </c>
      <c r="T334">
        <f>SUMIF(J:J,Table1[[#This Row],[Season]],F:F)</f>
        <v>58607</v>
      </c>
    </row>
    <row r="335" spans="1:20" x14ac:dyDescent="0.3">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c r="S335" t="str">
        <f>INDEX(Q:Q,MATCH(Table1[[#This Row],[Item Purchased]],D:D))</f>
        <v>Venmo</v>
      </c>
      <c r="T335">
        <f>SUMIF(J:J,Table1[[#This Row],[Season]],F:F)</f>
        <v>58607</v>
      </c>
    </row>
    <row r="336" spans="1:20" x14ac:dyDescent="0.3">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c r="S336" t="str">
        <f>INDEX(Q:Q,MATCH(Table1[[#This Row],[Item Purchased]],D:D))</f>
        <v>Venmo</v>
      </c>
      <c r="T336">
        <f>SUMIF(J:J,Table1[[#This Row],[Season]],F:F)</f>
        <v>60018</v>
      </c>
    </row>
    <row r="337" spans="1:20" x14ac:dyDescent="0.3">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c r="S337" t="str">
        <f>INDEX(Q:Q,MATCH(Table1[[#This Row],[Item Purchased]],D:D))</f>
        <v>Venmo</v>
      </c>
      <c r="T337">
        <f>SUMIF(J:J,Table1[[#This Row],[Season]],F:F)</f>
        <v>58679</v>
      </c>
    </row>
    <row r="338" spans="1:20" x14ac:dyDescent="0.3">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c r="S338" t="str">
        <f>INDEX(Q:Q,MATCH(Table1[[#This Row],[Item Purchased]],D:D))</f>
        <v>Venmo</v>
      </c>
      <c r="T338">
        <f>SUMIF(J:J,Table1[[#This Row],[Season]],F:F)</f>
        <v>60018</v>
      </c>
    </row>
    <row r="339" spans="1:20" x14ac:dyDescent="0.3">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c r="S339" t="str">
        <f>INDEX(Q:Q,MATCH(Table1[[#This Row],[Item Purchased]],D:D))</f>
        <v>Venmo</v>
      </c>
      <c r="T339">
        <f>SUMIF(J:J,Table1[[#This Row],[Season]],F:F)</f>
        <v>58607</v>
      </c>
    </row>
    <row r="340" spans="1:20" x14ac:dyDescent="0.3">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c r="S340" t="str">
        <f>INDEX(Q:Q,MATCH(Table1[[#This Row],[Item Purchased]],D:D))</f>
        <v>Venmo</v>
      </c>
      <c r="T340">
        <f>SUMIF(J:J,Table1[[#This Row],[Season]],F:F)</f>
        <v>58607</v>
      </c>
    </row>
    <row r="341" spans="1:20" x14ac:dyDescent="0.3">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c r="S341" t="str">
        <f>INDEX(Q:Q,MATCH(Table1[[#This Row],[Item Purchased]],D:D))</f>
        <v>PayPal</v>
      </c>
      <c r="T341">
        <f>SUMIF(J:J,Table1[[#This Row],[Season]],F:F)</f>
        <v>58679</v>
      </c>
    </row>
    <row r="342" spans="1:20" x14ac:dyDescent="0.3">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c r="S342" t="str">
        <f>INDEX(Q:Q,MATCH(Table1[[#This Row],[Item Purchased]],D:D))</f>
        <v>PayPal</v>
      </c>
      <c r="T342">
        <f>SUMIF(J:J,Table1[[#This Row],[Season]],F:F)</f>
        <v>55777</v>
      </c>
    </row>
    <row r="343" spans="1:20" x14ac:dyDescent="0.3">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c r="S343" t="str">
        <f>INDEX(Q:Q,MATCH(Table1[[#This Row],[Item Purchased]],D:D))</f>
        <v>Venmo</v>
      </c>
      <c r="T343">
        <f>SUMIF(J:J,Table1[[#This Row],[Season]],F:F)</f>
        <v>55777</v>
      </c>
    </row>
    <row r="344" spans="1:20" x14ac:dyDescent="0.3">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c r="S344" t="str">
        <f>INDEX(Q:Q,MATCH(Table1[[#This Row],[Item Purchased]],D:D))</f>
        <v>Debit Card</v>
      </c>
      <c r="T344">
        <f>SUMIF(J:J,Table1[[#This Row],[Season]],F:F)</f>
        <v>58679</v>
      </c>
    </row>
    <row r="345" spans="1:20" x14ac:dyDescent="0.3">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c r="S345" t="str">
        <f>INDEX(Q:Q,MATCH(Table1[[#This Row],[Item Purchased]],D:D))</f>
        <v>Bank Transfer</v>
      </c>
      <c r="T345">
        <f>SUMIF(J:J,Table1[[#This Row],[Season]],F:F)</f>
        <v>55777</v>
      </c>
    </row>
    <row r="346" spans="1:20" x14ac:dyDescent="0.3">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c r="S346" t="str">
        <f>INDEX(Q:Q,MATCH(Table1[[#This Row],[Item Purchased]],D:D))</f>
        <v>Credit Card</v>
      </c>
      <c r="T346">
        <f>SUMIF(J:J,Table1[[#This Row],[Season]],F:F)</f>
        <v>58607</v>
      </c>
    </row>
    <row r="347" spans="1:20" x14ac:dyDescent="0.3">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c r="S347" t="str">
        <f>INDEX(Q:Q,MATCH(Table1[[#This Row],[Item Purchased]],D:D))</f>
        <v>PayPal</v>
      </c>
      <c r="T347">
        <f>SUMIF(J:J,Table1[[#This Row],[Season]],F:F)</f>
        <v>58607</v>
      </c>
    </row>
    <row r="348" spans="1:20" x14ac:dyDescent="0.3">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c r="S348" t="str">
        <f>INDEX(Q:Q,MATCH(Table1[[#This Row],[Item Purchased]],D:D))</f>
        <v>Cash</v>
      </c>
      <c r="T348">
        <f>SUMIF(J:J,Table1[[#This Row],[Season]],F:F)</f>
        <v>58679</v>
      </c>
    </row>
    <row r="349" spans="1:20" x14ac:dyDescent="0.3">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c r="S349" t="str">
        <f>INDEX(Q:Q,MATCH(Table1[[#This Row],[Item Purchased]],D:D))</f>
        <v>Bank Transfer</v>
      </c>
      <c r="T349">
        <f>SUMIF(J:J,Table1[[#This Row],[Season]],F:F)</f>
        <v>60018</v>
      </c>
    </row>
    <row r="350" spans="1:20" x14ac:dyDescent="0.3">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c r="S350" t="str">
        <f>INDEX(Q:Q,MATCH(Table1[[#This Row],[Item Purchased]],D:D))</f>
        <v>Venmo</v>
      </c>
      <c r="T350">
        <f>SUMIF(J:J,Table1[[#This Row],[Season]],F:F)</f>
        <v>60018</v>
      </c>
    </row>
    <row r="351" spans="1:20" x14ac:dyDescent="0.3">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c r="S351" t="str">
        <f>INDEX(Q:Q,MATCH(Table1[[#This Row],[Item Purchased]],D:D))</f>
        <v>Venmo</v>
      </c>
      <c r="T351">
        <f>SUMIF(J:J,Table1[[#This Row],[Season]],F:F)</f>
        <v>58607</v>
      </c>
    </row>
    <row r="352" spans="1:20" x14ac:dyDescent="0.3">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c r="S352" t="str">
        <f>INDEX(Q:Q,MATCH(Table1[[#This Row],[Item Purchased]],D:D))</f>
        <v>Venmo</v>
      </c>
      <c r="T352">
        <f>SUMIF(J:J,Table1[[#This Row],[Season]],F:F)</f>
        <v>58679</v>
      </c>
    </row>
    <row r="353" spans="1:20" x14ac:dyDescent="0.3">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c r="S353" t="str">
        <f>INDEX(Q:Q,MATCH(Table1[[#This Row],[Item Purchased]],D:D))</f>
        <v>Credit Card</v>
      </c>
      <c r="T353">
        <f>SUMIF(J:J,Table1[[#This Row],[Season]],F:F)</f>
        <v>58607</v>
      </c>
    </row>
    <row r="354" spans="1:20" x14ac:dyDescent="0.3">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c r="S354" t="str">
        <f>INDEX(Q:Q,MATCH(Table1[[#This Row],[Item Purchased]],D:D))</f>
        <v>Cash</v>
      </c>
      <c r="T354">
        <f>SUMIF(J:J,Table1[[#This Row],[Season]],F:F)</f>
        <v>60018</v>
      </c>
    </row>
    <row r="355" spans="1:20" x14ac:dyDescent="0.3">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c r="S355" t="str">
        <f>INDEX(Q:Q,MATCH(Table1[[#This Row],[Item Purchased]],D:D))</f>
        <v>Venmo</v>
      </c>
      <c r="T355">
        <f>SUMIF(J:J,Table1[[#This Row],[Season]],F:F)</f>
        <v>60018</v>
      </c>
    </row>
    <row r="356" spans="1:20" x14ac:dyDescent="0.3">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c r="S356" t="str">
        <f>INDEX(Q:Q,MATCH(Table1[[#This Row],[Item Purchased]],D:D))</f>
        <v>Cash</v>
      </c>
      <c r="T356">
        <f>SUMIF(J:J,Table1[[#This Row],[Season]],F:F)</f>
        <v>60018</v>
      </c>
    </row>
    <row r="357" spans="1:20" x14ac:dyDescent="0.3">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c r="S357" t="str">
        <f>INDEX(Q:Q,MATCH(Table1[[#This Row],[Item Purchased]],D:D))</f>
        <v>Cash</v>
      </c>
      <c r="T357">
        <f>SUMIF(J:J,Table1[[#This Row],[Season]],F:F)</f>
        <v>60018</v>
      </c>
    </row>
    <row r="358" spans="1:20" x14ac:dyDescent="0.3">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c r="S358" t="str">
        <f>INDEX(Q:Q,MATCH(Table1[[#This Row],[Item Purchased]],D:D))</f>
        <v>Cash</v>
      </c>
      <c r="T358">
        <f>SUMIF(J:J,Table1[[#This Row],[Season]],F:F)</f>
        <v>58679</v>
      </c>
    </row>
    <row r="359" spans="1:20" x14ac:dyDescent="0.3">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c r="S359" t="e">
        <f>INDEX(Q:Q,MATCH(Table1[[#This Row],[Item Purchased]],D:D))</f>
        <v>#N/A</v>
      </c>
      <c r="T359">
        <f>SUMIF(J:J,Table1[[#This Row],[Season]],F:F)</f>
        <v>58679</v>
      </c>
    </row>
    <row r="360" spans="1:20" x14ac:dyDescent="0.3">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c r="S360" t="str">
        <f>INDEX(Q:Q,MATCH(Table1[[#This Row],[Item Purchased]],D:D))</f>
        <v>Venmo</v>
      </c>
      <c r="T360">
        <f>SUMIF(J:J,Table1[[#This Row],[Season]],F:F)</f>
        <v>55777</v>
      </c>
    </row>
    <row r="361" spans="1:20" x14ac:dyDescent="0.3">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c r="S361" t="str">
        <f>INDEX(Q:Q,MATCH(Table1[[#This Row],[Item Purchased]],D:D))</f>
        <v>Venmo</v>
      </c>
      <c r="T361">
        <f>SUMIF(J:J,Table1[[#This Row],[Season]],F:F)</f>
        <v>58607</v>
      </c>
    </row>
    <row r="362" spans="1:20" x14ac:dyDescent="0.3">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c r="S362" t="str">
        <f>INDEX(Q:Q,MATCH(Table1[[#This Row],[Item Purchased]],D:D))</f>
        <v>Cash</v>
      </c>
      <c r="T362">
        <f>SUMIF(J:J,Table1[[#This Row],[Season]],F:F)</f>
        <v>55777</v>
      </c>
    </row>
    <row r="363" spans="1:20" x14ac:dyDescent="0.3">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c r="S363" t="str">
        <f>INDEX(Q:Q,MATCH(Table1[[#This Row],[Item Purchased]],D:D))</f>
        <v>Venmo</v>
      </c>
      <c r="T363">
        <f>SUMIF(J:J,Table1[[#This Row],[Season]],F:F)</f>
        <v>58679</v>
      </c>
    </row>
    <row r="364" spans="1:20" x14ac:dyDescent="0.3">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c r="S364" t="str">
        <f>INDEX(Q:Q,MATCH(Table1[[#This Row],[Item Purchased]],D:D))</f>
        <v>Venmo</v>
      </c>
      <c r="T364">
        <f>SUMIF(J:J,Table1[[#This Row],[Season]],F:F)</f>
        <v>60018</v>
      </c>
    </row>
    <row r="365" spans="1:20" x14ac:dyDescent="0.3">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c r="S365" t="str">
        <f>INDEX(Q:Q,MATCH(Table1[[#This Row],[Item Purchased]],D:D))</f>
        <v>PayPal</v>
      </c>
      <c r="T365">
        <f>SUMIF(J:J,Table1[[#This Row],[Season]],F:F)</f>
        <v>58607</v>
      </c>
    </row>
    <row r="366" spans="1:20" x14ac:dyDescent="0.3">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c r="S366" t="str">
        <f>INDEX(Q:Q,MATCH(Table1[[#This Row],[Item Purchased]],D:D))</f>
        <v>PayPal</v>
      </c>
      <c r="T366">
        <f>SUMIF(J:J,Table1[[#This Row],[Season]],F:F)</f>
        <v>55777</v>
      </c>
    </row>
    <row r="367" spans="1:20" x14ac:dyDescent="0.3">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c r="S367" t="str">
        <f>INDEX(Q:Q,MATCH(Table1[[#This Row],[Item Purchased]],D:D))</f>
        <v>Debit Card</v>
      </c>
      <c r="T367">
        <f>SUMIF(J:J,Table1[[#This Row],[Season]],F:F)</f>
        <v>55777</v>
      </c>
    </row>
    <row r="368" spans="1:20" x14ac:dyDescent="0.3">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c r="S368" t="str">
        <f>INDEX(Q:Q,MATCH(Table1[[#This Row],[Item Purchased]],D:D))</f>
        <v>Venmo</v>
      </c>
      <c r="T368">
        <f>SUMIF(J:J,Table1[[#This Row],[Season]],F:F)</f>
        <v>58679</v>
      </c>
    </row>
    <row r="369" spans="1:20" x14ac:dyDescent="0.3">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c r="S369" t="str">
        <f>INDEX(Q:Q,MATCH(Table1[[#This Row],[Item Purchased]],D:D))</f>
        <v>Debit Card</v>
      </c>
      <c r="T369">
        <f>SUMIF(J:J,Table1[[#This Row],[Season]],F:F)</f>
        <v>58679</v>
      </c>
    </row>
    <row r="370" spans="1:20" x14ac:dyDescent="0.3">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c r="S370" t="str">
        <f>INDEX(Q:Q,MATCH(Table1[[#This Row],[Item Purchased]],D:D))</f>
        <v>Cash</v>
      </c>
      <c r="T370">
        <f>SUMIF(J:J,Table1[[#This Row],[Season]],F:F)</f>
        <v>58679</v>
      </c>
    </row>
    <row r="371" spans="1:20" x14ac:dyDescent="0.3">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c r="S371" t="e">
        <f>INDEX(Q:Q,MATCH(Table1[[#This Row],[Item Purchased]],D:D))</f>
        <v>#N/A</v>
      </c>
      <c r="T371">
        <f>SUMIF(J:J,Table1[[#This Row],[Season]],F:F)</f>
        <v>55777</v>
      </c>
    </row>
    <row r="372" spans="1:20" x14ac:dyDescent="0.3">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c r="S372" t="str">
        <f>INDEX(Q:Q,MATCH(Table1[[#This Row],[Item Purchased]],D:D))</f>
        <v>Bank Transfer</v>
      </c>
      <c r="T372">
        <f>SUMIF(J:J,Table1[[#This Row],[Season]],F:F)</f>
        <v>58607</v>
      </c>
    </row>
    <row r="373" spans="1:20" x14ac:dyDescent="0.3">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c r="S373" t="str">
        <f>INDEX(Q:Q,MATCH(Table1[[#This Row],[Item Purchased]],D:D))</f>
        <v>Venmo</v>
      </c>
      <c r="T373">
        <f>SUMIF(J:J,Table1[[#This Row],[Season]],F:F)</f>
        <v>58607</v>
      </c>
    </row>
    <row r="374" spans="1:20" x14ac:dyDescent="0.3">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c r="S374" t="str">
        <f>INDEX(Q:Q,MATCH(Table1[[#This Row],[Item Purchased]],D:D))</f>
        <v>Venmo</v>
      </c>
      <c r="T374">
        <f>SUMIF(J:J,Table1[[#This Row],[Season]],F:F)</f>
        <v>55777</v>
      </c>
    </row>
    <row r="375" spans="1:20" x14ac:dyDescent="0.3">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c r="S375" t="str">
        <f>INDEX(Q:Q,MATCH(Table1[[#This Row],[Item Purchased]],D:D))</f>
        <v>Debit Card</v>
      </c>
      <c r="T375">
        <f>SUMIF(J:J,Table1[[#This Row],[Season]],F:F)</f>
        <v>55777</v>
      </c>
    </row>
    <row r="376" spans="1:20" x14ac:dyDescent="0.3">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c r="S376" t="str">
        <f>INDEX(Q:Q,MATCH(Table1[[#This Row],[Item Purchased]],D:D))</f>
        <v>Cash</v>
      </c>
      <c r="T376">
        <f>SUMIF(J:J,Table1[[#This Row],[Season]],F:F)</f>
        <v>58679</v>
      </c>
    </row>
    <row r="377" spans="1:20" x14ac:dyDescent="0.3">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c r="S377" t="str">
        <f>INDEX(Q:Q,MATCH(Table1[[#This Row],[Item Purchased]],D:D))</f>
        <v>Venmo</v>
      </c>
      <c r="T377">
        <f>SUMIF(J:J,Table1[[#This Row],[Season]],F:F)</f>
        <v>55777</v>
      </c>
    </row>
    <row r="378" spans="1:20" x14ac:dyDescent="0.3">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c r="S378" t="str">
        <f>INDEX(Q:Q,MATCH(Table1[[#This Row],[Item Purchased]],D:D))</f>
        <v>PayPal</v>
      </c>
      <c r="T378">
        <f>SUMIF(J:J,Table1[[#This Row],[Season]],F:F)</f>
        <v>60018</v>
      </c>
    </row>
    <row r="379" spans="1:20" x14ac:dyDescent="0.3">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c r="S379" t="str">
        <f>INDEX(Q:Q,MATCH(Table1[[#This Row],[Item Purchased]],D:D))</f>
        <v>Bank Transfer</v>
      </c>
      <c r="T379">
        <f>SUMIF(J:J,Table1[[#This Row],[Season]],F:F)</f>
        <v>58679</v>
      </c>
    </row>
    <row r="380" spans="1:20" x14ac:dyDescent="0.3">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c r="S380" t="str">
        <f>INDEX(Q:Q,MATCH(Table1[[#This Row],[Item Purchased]],D:D))</f>
        <v>Debit Card</v>
      </c>
      <c r="T380">
        <f>SUMIF(J:J,Table1[[#This Row],[Season]],F:F)</f>
        <v>58607</v>
      </c>
    </row>
    <row r="381" spans="1:20" x14ac:dyDescent="0.3">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c r="S381" t="str">
        <f>INDEX(Q:Q,MATCH(Table1[[#This Row],[Item Purchased]],D:D))</f>
        <v>Venmo</v>
      </c>
      <c r="T381">
        <f>SUMIF(J:J,Table1[[#This Row],[Season]],F:F)</f>
        <v>60018</v>
      </c>
    </row>
    <row r="382" spans="1:20" x14ac:dyDescent="0.3">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c r="S382" t="e">
        <f>INDEX(Q:Q,MATCH(Table1[[#This Row],[Item Purchased]],D:D))</f>
        <v>#N/A</v>
      </c>
      <c r="T382">
        <f>SUMIF(J:J,Table1[[#This Row],[Season]],F:F)</f>
        <v>60018</v>
      </c>
    </row>
    <row r="383" spans="1:20" x14ac:dyDescent="0.3">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c r="S383" t="str">
        <f>INDEX(Q:Q,MATCH(Table1[[#This Row],[Item Purchased]],D:D))</f>
        <v>Cash</v>
      </c>
      <c r="T383">
        <f>SUMIF(J:J,Table1[[#This Row],[Season]],F:F)</f>
        <v>58607</v>
      </c>
    </row>
    <row r="384" spans="1:20" x14ac:dyDescent="0.3">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c r="S384" t="str">
        <f>INDEX(Q:Q,MATCH(Table1[[#This Row],[Item Purchased]],D:D))</f>
        <v>Cash</v>
      </c>
      <c r="T384">
        <f>SUMIF(J:J,Table1[[#This Row],[Season]],F:F)</f>
        <v>58607</v>
      </c>
    </row>
    <row r="385" spans="1:20" x14ac:dyDescent="0.3">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c r="S385" t="str">
        <f>INDEX(Q:Q,MATCH(Table1[[#This Row],[Item Purchased]],D:D))</f>
        <v>Venmo</v>
      </c>
      <c r="T385">
        <f>SUMIF(J:J,Table1[[#This Row],[Season]],F:F)</f>
        <v>60018</v>
      </c>
    </row>
    <row r="386" spans="1:20" x14ac:dyDescent="0.3">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c r="S386" t="str">
        <f>INDEX(Q:Q,MATCH(Table1[[#This Row],[Item Purchased]],D:D))</f>
        <v>Venmo</v>
      </c>
      <c r="T386">
        <f>SUMIF(J:J,Table1[[#This Row],[Season]],F:F)</f>
        <v>60018</v>
      </c>
    </row>
    <row r="387" spans="1:20" x14ac:dyDescent="0.3">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c r="S387" t="str">
        <f>INDEX(Q:Q,MATCH(Table1[[#This Row],[Item Purchased]],D:D))</f>
        <v>PayPal</v>
      </c>
      <c r="T387">
        <f>SUMIF(J:J,Table1[[#This Row],[Season]],F:F)</f>
        <v>60018</v>
      </c>
    </row>
    <row r="388" spans="1:20" x14ac:dyDescent="0.3">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c r="S388" t="str">
        <f>INDEX(Q:Q,MATCH(Table1[[#This Row],[Item Purchased]],D:D))</f>
        <v>Cash</v>
      </c>
      <c r="T388">
        <f>SUMIF(J:J,Table1[[#This Row],[Season]],F:F)</f>
        <v>58679</v>
      </c>
    </row>
    <row r="389" spans="1:20" x14ac:dyDescent="0.3">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c r="S389" t="str">
        <f>INDEX(Q:Q,MATCH(Table1[[#This Row],[Item Purchased]],D:D))</f>
        <v>Debit Card</v>
      </c>
      <c r="T389">
        <f>SUMIF(J:J,Table1[[#This Row],[Season]],F:F)</f>
        <v>55777</v>
      </c>
    </row>
    <row r="390" spans="1:20" x14ac:dyDescent="0.3">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c r="S390" t="str">
        <f>INDEX(Q:Q,MATCH(Table1[[#This Row],[Item Purchased]],D:D))</f>
        <v>Cash</v>
      </c>
      <c r="T390">
        <f>SUMIF(J:J,Table1[[#This Row],[Season]],F:F)</f>
        <v>55777</v>
      </c>
    </row>
    <row r="391" spans="1:20" x14ac:dyDescent="0.3">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c r="S391" t="str">
        <f>INDEX(Q:Q,MATCH(Table1[[#This Row],[Item Purchased]],D:D))</f>
        <v>Venmo</v>
      </c>
      <c r="T391">
        <f>SUMIF(J:J,Table1[[#This Row],[Season]],F:F)</f>
        <v>58679</v>
      </c>
    </row>
    <row r="392" spans="1:20" x14ac:dyDescent="0.3">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c r="S392" t="str">
        <f>INDEX(Q:Q,MATCH(Table1[[#This Row],[Item Purchased]],D:D))</f>
        <v>Debit Card</v>
      </c>
      <c r="T392">
        <f>SUMIF(J:J,Table1[[#This Row],[Season]],F:F)</f>
        <v>58607</v>
      </c>
    </row>
    <row r="393" spans="1:20" x14ac:dyDescent="0.3">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c r="S393" t="str">
        <f>INDEX(Q:Q,MATCH(Table1[[#This Row],[Item Purchased]],D:D))</f>
        <v>Venmo</v>
      </c>
      <c r="T393">
        <f>SUMIF(J:J,Table1[[#This Row],[Season]],F:F)</f>
        <v>58679</v>
      </c>
    </row>
    <row r="394" spans="1:20" x14ac:dyDescent="0.3">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c r="S394" t="str">
        <f>INDEX(Q:Q,MATCH(Table1[[#This Row],[Item Purchased]],D:D))</f>
        <v>Venmo</v>
      </c>
      <c r="T394">
        <f>SUMIF(J:J,Table1[[#This Row],[Season]],F:F)</f>
        <v>58679</v>
      </c>
    </row>
    <row r="395" spans="1:20" x14ac:dyDescent="0.3">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c r="S395" t="str">
        <f>INDEX(Q:Q,MATCH(Table1[[#This Row],[Item Purchased]],D:D))</f>
        <v>PayPal</v>
      </c>
      <c r="T395">
        <f>SUMIF(J:J,Table1[[#This Row],[Season]],F:F)</f>
        <v>60018</v>
      </c>
    </row>
    <row r="396" spans="1:20" x14ac:dyDescent="0.3">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c r="S396" t="str">
        <f>INDEX(Q:Q,MATCH(Table1[[#This Row],[Item Purchased]],D:D))</f>
        <v>Bank Transfer</v>
      </c>
      <c r="T396">
        <f>SUMIF(J:J,Table1[[#This Row],[Season]],F:F)</f>
        <v>58679</v>
      </c>
    </row>
    <row r="397" spans="1:20" x14ac:dyDescent="0.3">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c r="S397" t="str">
        <f>INDEX(Q:Q,MATCH(Table1[[#This Row],[Item Purchased]],D:D))</f>
        <v>Venmo</v>
      </c>
      <c r="T397">
        <f>SUMIF(J:J,Table1[[#This Row],[Season]],F:F)</f>
        <v>58607</v>
      </c>
    </row>
    <row r="398" spans="1:20" x14ac:dyDescent="0.3">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c r="S398" t="str">
        <f>INDEX(Q:Q,MATCH(Table1[[#This Row],[Item Purchased]],D:D))</f>
        <v>Debit Card</v>
      </c>
      <c r="T398">
        <f>SUMIF(J:J,Table1[[#This Row],[Season]],F:F)</f>
        <v>60018</v>
      </c>
    </row>
    <row r="399" spans="1:20" x14ac:dyDescent="0.3">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c r="S399" t="e">
        <f>INDEX(Q:Q,MATCH(Table1[[#This Row],[Item Purchased]],D:D))</f>
        <v>#N/A</v>
      </c>
      <c r="T399">
        <f>SUMIF(J:J,Table1[[#This Row],[Season]],F:F)</f>
        <v>60018</v>
      </c>
    </row>
    <row r="400" spans="1:20" x14ac:dyDescent="0.3">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c r="S400" t="str">
        <f>INDEX(Q:Q,MATCH(Table1[[#This Row],[Item Purchased]],D:D))</f>
        <v>Venmo</v>
      </c>
      <c r="T400">
        <f>SUMIF(J:J,Table1[[#This Row],[Season]],F:F)</f>
        <v>58607</v>
      </c>
    </row>
    <row r="401" spans="1:20" x14ac:dyDescent="0.3">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c r="S401" t="str">
        <f>INDEX(Q:Q,MATCH(Table1[[#This Row],[Item Purchased]],D:D))</f>
        <v>Bank Transfer</v>
      </c>
      <c r="T401">
        <f>SUMIF(J:J,Table1[[#This Row],[Season]],F:F)</f>
        <v>60018</v>
      </c>
    </row>
    <row r="402" spans="1:20" x14ac:dyDescent="0.3">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c r="S402" t="str">
        <f>INDEX(Q:Q,MATCH(Table1[[#This Row],[Item Purchased]],D:D))</f>
        <v>Venmo</v>
      </c>
      <c r="T402">
        <f>SUMIF(J:J,Table1[[#This Row],[Season]],F:F)</f>
        <v>58607</v>
      </c>
    </row>
    <row r="403" spans="1:20" x14ac:dyDescent="0.3">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c r="S403" t="str">
        <f>INDEX(Q:Q,MATCH(Table1[[#This Row],[Item Purchased]],D:D))</f>
        <v>Venmo</v>
      </c>
      <c r="T403">
        <f>SUMIF(J:J,Table1[[#This Row],[Season]],F:F)</f>
        <v>60018</v>
      </c>
    </row>
    <row r="404" spans="1:20" x14ac:dyDescent="0.3">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c r="S404" t="e">
        <f>INDEX(Q:Q,MATCH(Table1[[#This Row],[Item Purchased]],D:D))</f>
        <v>#N/A</v>
      </c>
      <c r="T404">
        <f>SUMIF(J:J,Table1[[#This Row],[Season]],F:F)</f>
        <v>60018</v>
      </c>
    </row>
    <row r="405" spans="1:20" x14ac:dyDescent="0.3">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c r="S405" t="str">
        <f>INDEX(Q:Q,MATCH(Table1[[#This Row],[Item Purchased]],D:D))</f>
        <v>Venmo</v>
      </c>
      <c r="T405">
        <f>SUMIF(J:J,Table1[[#This Row],[Season]],F:F)</f>
        <v>58607</v>
      </c>
    </row>
    <row r="406" spans="1:20" x14ac:dyDescent="0.3">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c r="S406" t="str">
        <f>INDEX(Q:Q,MATCH(Table1[[#This Row],[Item Purchased]],D:D))</f>
        <v>Venmo</v>
      </c>
      <c r="T406">
        <f>SUMIF(J:J,Table1[[#This Row],[Season]],F:F)</f>
        <v>58679</v>
      </c>
    </row>
    <row r="407" spans="1:20" x14ac:dyDescent="0.3">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c r="S407" t="str">
        <f>INDEX(Q:Q,MATCH(Table1[[#This Row],[Item Purchased]],D:D))</f>
        <v>Cash</v>
      </c>
      <c r="T407">
        <f>SUMIF(J:J,Table1[[#This Row],[Season]],F:F)</f>
        <v>55777</v>
      </c>
    </row>
    <row r="408" spans="1:20" x14ac:dyDescent="0.3">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c r="S408" t="str">
        <f>INDEX(Q:Q,MATCH(Table1[[#This Row],[Item Purchased]],D:D))</f>
        <v>Debit Card</v>
      </c>
      <c r="T408">
        <f>SUMIF(J:J,Table1[[#This Row],[Season]],F:F)</f>
        <v>58679</v>
      </c>
    </row>
    <row r="409" spans="1:20" x14ac:dyDescent="0.3">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c r="S409" t="str">
        <f>INDEX(Q:Q,MATCH(Table1[[#This Row],[Item Purchased]],D:D))</f>
        <v>Venmo</v>
      </c>
      <c r="T409">
        <f>SUMIF(J:J,Table1[[#This Row],[Season]],F:F)</f>
        <v>58679</v>
      </c>
    </row>
    <row r="410" spans="1:20" x14ac:dyDescent="0.3">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c r="S410" t="str">
        <f>INDEX(Q:Q,MATCH(Table1[[#This Row],[Item Purchased]],D:D))</f>
        <v>Venmo</v>
      </c>
      <c r="T410">
        <f>SUMIF(J:J,Table1[[#This Row],[Season]],F:F)</f>
        <v>58679</v>
      </c>
    </row>
    <row r="411" spans="1:20" x14ac:dyDescent="0.3">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c r="S411" t="str">
        <f>INDEX(Q:Q,MATCH(Table1[[#This Row],[Item Purchased]],D:D))</f>
        <v>PayPal</v>
      </c>
      <c r="T411">
        <f>SUMIF(J:J,Table1[[#This Row],[Season]],F:F)</f>
        <v>58607</v>
      </c>
    </row>
    <row r="412" spans="1:20" x14ac:dyDescent="0.3">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c r="S412" t="str">
        <f>INDEX(Q:Q,MATCH(Table1[[#This Row],[Item Purchased]],D:D))</f>
        <v>Venmo</v>
      </c>
      <c r="T412">
        <f>SUMIF(J:J,Table1[[#This Row],[Season]],F:F)</f>
        <v>58679</v>
      </c>
    </row>
    <row r="413" spans="1:20" x14ac:dyDescent="0.3">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c r="S413" t="str">
        <f>INDEX(Q:Q,MATCH(Table1[[#This Row],[Item Purchased]],D:D))</f>
        <v>Cash</v>
      </c>
      <c r="T413">
        <f>SUMIF(J:J,Table1[[#This Row],[Season]],F:F)</f>
        <v>55777</v>
      </c>
    </row>
    <row r="414" spans="1:20" x14ac:dyDescent="0.3">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c r="S414" t="str">
        <f>INDEX(Q:Q,MATCH(Table1[[#This Row],[Item Purchased]],D:D))</f>
        <v>Debit Card</v>
      </c>
      <c r="T414">
        <f>SUMIF(J:J,Table1[[#This Row],[Season]],F:F)</f>
        <v>55777</v>
      </c>
    </row>
    <row r="415" spans="1:20" x14ac:dyDescent="0.3">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c r="S415" t="str">
        <f>INDEX(Q:Q,MATCH(Table1[[#This Row],[Item Purchased]],D:D))</f>
        <v>Cash</v>
      </c>
      <c r="T415">
        <f>SUMIF(J:J,Table1[[#This Row],[Season]],F:F)</f>
        <v>55777</v>
      </c>
    </row>
    <row r="416" spans="1:20" x14ac:dyDescent="0.3">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c r="S416" t="e">
        <f>INDEX(Q:Q,MATCH(Table1[[#This Row],[Item Purchased]],D:D))</f>
        <v>#N/A</v>
      </c>
      <c r="T416">
        <f>SUMIF(J:J,Table1[[#This Row],[Season]],F:F)</f>
        <v>58607</v>
      </c>
    </row>
    <row r="417" spans="1:20" x14ac:dyDescent="0.3">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c r="S417" t="str">
        <f>INDEX(Q:Q,MATCH(Table1[[#This Row],[Item Purchased]],D:D))</f>
        <v>Debit Card</v>
      </c>
      <c r="T417">
        <f>SUMIF(J:J,Table1[[#This Row],[Season]],F:F)</f>
        <v>58607</v>
      </c>
    </row>
    <row r="418" spans="1:20" x14ac:dyDescent="0.3">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c r="S418" t="e">
        <f>INDEX(Q:Q,MATCH(Table1[[#This Row],[Item Purchased]],D:D))</f>
        <v>#N/A</v>
      </c>
      <c r="T418">
        <f>SUMIF(J:J,Table1[[#This Row],[Season]],F:F)</f>
        <v>58679</v>
      </c>
    </row>
    <row r="419" spans="1:20" x14ac:dyDescent="0.3">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c r="S419" t="str">
        <f>INDEX(Q:Q,MATCH(Table1[[#This Row],[Item Purchased]],D:D))</f>
        <v>Bank Transfer</v>
      </c>
      <c r="T419">
        <f>SUMIF(J:J,Table1[[#This Row],[Season]],F:F)</f>
        <v>60018</v>
      </c>
    </row>
    <row r="420" spans="1:20" x14ac:dyDescent="0.3">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c r="S420" t="str">
        <f>INDEX(Q:Q,MATCH(Table1[[#This Row],[Item Purchased]],D:D))</f>
        <v>Venmo</v>
      </c>
      <c r="T420">
        <f>SUMIF(J:J,Table1[[#This Row],[Season]],F:F)</f>
        <v>58679</v>
      </c>
    </row>
    <row r="421" spans="1:20" x14ac:dyDescent="0.3">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c r="S421" t="str">
        <f>INDEX(Q:Q,MATCH(Table1[[#This Row],[Item Purchased]],D:D))</f>
        <v>PayPal</v>
      </c>
      <c r="T421">
        <f>SUMIF(J:J,Table1[[#This Row],[Season]],F:F)</f>
        <v>58607</v>
      </c>
    </row>
    <row r="422" spans="1:20" x14ac:dyDescent="0.3">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c r="S422" t="str">
        <f>INDEX(Q:Q,MATCH(Table1[[#This Row],[Item Purchased]],D:D))</f>
        <v>Venmo</v>
      </c>
      <c r="T422">
        <f>SUMIF(J:J,Table1[[#This Row],[Season]],F:F)</f>
        <v>58679</v>
      </c>
    </row>
    <row r="423" spans="1:20" x14ac:dyDescent="0.3">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c r="S423" t="str">
        <f>INDEX(Q:Q,MATCH(Table1[[#This Row],[Item Purchased]],D:D))</f>
        <v>Bank Transfer</v>
      </c>
      <c r="T423">
        <f>SUMIF(J:J,Table1[[#This Row],[Season]],F:F)</f>
        <v>58607</v>
      </c>
    </row>
    <row r="424" spans="1:20" x14ac:dyDescent="0.3">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c r="S424" t="str">
        <f>INDEX(Q:Q,MATCH(Table1[[#This Row],[Item Purchased]],D:D))</f>
        <v>Cash</v>
      </c>
      <c r="T424">
        <f>SUMIF(J:J,Table1[[#This Row],[Season]],F:F)</f>
        <v>60018</v>
      </c>
    </row>
    <row r="425" spans="1:20" x14ac:dyDescent="0.3">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c r="S425" t="str">
        <f>INDEX(Q:Q,MATCH(Table1[[#This Row],[Item Purchased]],D:D))</f>
        <v>Bank Transfer</v>
      </c>
      <c r="T425">
        <f>SUMIF(J:J,Table1[[#This Row],[Season]],F:F)</f>
        <v>58679</v>
      </c>
    </row>
    <row r="426" spans="1:20" x14ac:dyDescent="0.3">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c r="S426" t="str">
        <f>INDEX(Q:Q,MATCH(Table1[[#This Row],[Item Purchased]],D:D))</f>
        <v>Venmo</v>
      </c>
      <c r="T426">
        <f>SUMIF(J:J,Table1[[#This Row],[Season]],F:F)</f>
        <v>58607</v>
      </c>
    </row>
    <row r="427" spans="1:20" x14ac:dyDescent="0.3">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c r="S427" t="str">
        <f>INDEX(Q:Q,MATCH(Table1[[#This Row],[Item Purchased]],D:D))</f>
        <v>Cash</v>
      </c>
      <c r="T427">
        <f>SUMIF(J:J,Table1[[#This Row],[Season]],F:F)</f>
        <v>58607</v>
      </c>
    </row>
    <row r="428" spans="1:20" x14ac:dyDescent="0.3">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c r="S428" t="str">
        <f>INDEX(Q:Q,MATCH(Table1[[#This Row],[Item Purchased]],D:D))</f>
        <v>Cash</v>
      </c>
      <c r="T428">
        <f>SUMIF(J:J,Table1[[#This Row],[Season]],F:F)</f>
        <v>58607</v>
      </c>
    </row>
    <row r="429" spans="1:20" x14ac:dyDescent="0.3">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c r="S429" t="e">
        <f>INDEX(Q:Q,MATCH(Table1[[#This Row],[Item Purchased]],D:D))</f>
        <v>#N/A</v>
      </c>
      <c r="T429">
        <f>SUMIF(J:J,Table1[[#This Row],[Season]],F:F)</f>
        <v>58607</v>
      </c>
    </row>
    <row r="430" spans="1:20" x14ac:dyDescent="0.3">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c r="S430" t="str">
        <f>INDEX(Q:Q,MATCH(Table1[[#This Row],[Item Purchased]],D:D))</f>
        <v>Debit Card</v>
      </c>
      <c r="T430">
        <f>SUMIF(J:J,Table1[[#This Row],[Season]],F:F)</f>
        <v>58607</v>
      </c>
    </row>
    <row r="431" spans="1:20" x14ac:dyDescent="0.3">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c r="S431" t="str">
        <f>INDEX(Q:Q,MATCH(Table1[[#This Row],[Item Purchased]],D:D))</f>
        <v>Bank Transfer</v>
      </c>
      <c r="T431">
        <f>SUMIF(J:J,Table1[[#This Row],[Season]],F:F)</f>
        <v>58607</v>
      </c>
    </row>
    <row r="432" spans="1:20" x14ac:dyDescent="0.3">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c r="S432" t="str">
        <f>INDEX(Q:Q,MATCH(Table1[[#This Row],[Item Purchased]],D:D))</f>
        <v>Bank Transfer</v>
      </c>
      <c r="T432">
        <f>SUMIF(J:J,Table1[[#This Row],[Season]],F:F)</f>
        <v>55777</v>
      </c>
    </row>
    <row r="433" spans="1:20" x14ac:dyDescent="0.3">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c r="S433" t="str">
        <f>INDEX(Q:Q,MATCH(Table1[[#This Row],[Item Purchased]],D:D))</f>
        <v>Venmo</v>
      </c>
      <c r="T433">
        <f>SUMIF(J:J,Table1[[#This Row],[Season]],F:F)</f>
        <v>58607</v>
      </c>
    </row>
    <row r="434" spans="1:20" x14ac:dyDescent="0.3">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c r="S434" t="str">
        <f>INDEX(Q:Q,MATCH(Table1[[#This Row],[Item Purchased]],D:D))</f>
        <v>Bank Transfer</v>
      </c>
      <c r="T434">
        <f>SUMIF(J:J,Table1[[#This Row],[Season]],F:F)</f>
        <v>60018</v>
      </c>
    </row>
    <row r="435" spans="1:20" x14ac:dyDescent="0.3">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c r="S435" t="str">
        <f>INDEX(Q:Q,MATCH(Table1[[#This Row],[Item Purchased]],D:D))</f>
        <v>Credit Card</v>
      </c>
      <c r="T435">
        <f>SUMIF(J:J,Table1[[#This Row],[Season]],F:F)</f>
        <v>60018</v>
      </c>
    </row>
    <row r="436" spans="1:20" x14ac:dyDescent="0.3">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c r="S436" t="str">
        <f>INDEX(Q:Q,MATCH(Table1[[#This Row],[Item Purchased]],D:D))</f>
        <v>PayPal</v>
      </c>
      <c r="T436">
        <f>SUMIF(J:J,Table1[[#This Row],[Season]],F:F)</f>
        <v>58679</v>
      </c>
    </row>
    <row r="437" spans="1:20" x14ac:dyDescent="0.3">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c r="S437" t="str">
        <f>INDEX(Q:Q,MATCH(Table1[[#This Row],[Item Purchased]],D:D))</f>
        <v>Debit Card</v>
      </c>
      <c r="T437">
        <f>SUMIF(J:J,Table1[[#This Row],[Season]],F:F)</f>
        <v>58607</v>
      </c>
    </row>
    <row r="438" spans="1:20" x14ac:dyDescent="0.3">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c r="S438" t="str">
        <f>INDEX(Q:Q,MATCH(Table1[[#This Row],[Item Purchased]],D:D))</f>
        <v>Cash</v>
      </c>
      <c r="T438">
        <f>SUMIF(J:J,Table1[[#This Row],[Season]],F:F)</f>
        <v>55777</v>
      </c>
    </row>
    <row r="439" spans="1:20" x14ac:dyDescent="0.3">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c r="S439" t="str">
        <f>INDEX(Q:Q,MATCH(Table1[[#This Row],[Item Purchased]],D:D))</f>
        <v>Cash</v>
      </c>
      <c r="T439">
        <f>SUMIF(J:J,Table1[[#This Row],[Season]],F:F)</f>
        <v>55777</v>
      </c>
    </row>
    <row r="440" spans="1:20" x14ac:dyDescent="0.3">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c r="S440" t="e">
        <f>INDEX(Q:Q,MATCH(Table1[[#This Row],[Item Purchased]],D:D))</f>
        <v>#N/A</v>
      </c>
      <c r="T440">
        <f>SUMIF(J:J,Table1[[#This Row],[Season]],F:F)</f>
        <v>58607</v>
      </c>
    </row>
    <row r="441" spans="1:20" x14ac:dyDescent="0.3">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c r="S441" t="str">
        <f>INDEX(Q:Q,MATCH(Table1[[#This Row],[Item Purchased]],D:D))</f>
        <v>Debit Card</v>
      </c>
      <c r="T441">
        <f>SUMIF(J:J,Table1[[#This Row],[Season]],F:F)</f>
        <v>55777</v>
      </c>
    </row>
    <row r="442" spans="1:20" x14ac:dyDescent="0.3">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c r="S442" t="str">
        <f>INDEX(Q:Q,MATCH(Table1[[#This Row],[Item Purchased]],D:D))</f>
        <v>Bank Transfer</v>
      </c>
      <c r="T442">
        <f>SUMIF(J:J,Table1[[#This Row],[Season]],F:F)</f>
        <v>58607</v>
      </c>
    </row>
    <row r="443" spans="1:20" x14ac:dyDescent="0.3">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c r="S443" t="str">
        <f>INDEX(Q:Q,MATCH(Table1[[#This Row],[Item Purchased]],D:D))</f>
        <v>Venmo</v>
      </c>
      <c r="T443">
        <f>SUMIF(J:J,Table1[[#This Row],[Season]],F:F)</f>
        <v>58607</v>
      </c>
    </row>
    <row r="444" spans="1:20" x14ac:dyDescent="0.3">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c r="S444" t="str">
        <f>INDEX(Q:Q,MATCH(Table1[[#This Row],[Item Purchased]],D:D))</f>
        <v>Venmo</v>
      </c>
      <c r="T444">
        <f>SUMIF(J:J,Table1[[#This Row],[Season]],F:F)</f>
        <v>60018</v>
      </c>
    </row>
    <row r="445" spans="1:20" x14ac:dyDescent="0.3">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c r="S445" t="str">
        <f>INDEX(Q:Q,MATCH(Table1[[#This Row],[Item Purchased]],D:D))</f>
        <v>Venmo</v>
      </c>
      <c r="T445">
        <f>SUMIF(J:J,Table1[[#This Row],[Season]],F:F)</f>
        <v>55777</v>
      </c>
    </row>
    <row r="446" spans="1:20" x14ac:dyDescent="0.3">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c r="S446" t="str">
        <f>INDEX(Q:Q,MATCH(Table1[[#This Row],[Item Purchased]],D:D))</f>
        <v>Debit Card</v>
      </c>
      <c r="T446">
        <f>SUMIF(J:J,Table1[[#This Row],[Season]],F:F)</f>
        <v>55777</v>
      </c>
    </row>
    <row r="447" spans="1:20" x14ac:dyDescent="0.3">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c r="S447" t="str">
        <f>INDEX(Q:Q,MATCH(Table1[[#This Row],[Item Purchased]],D:D))</f>
        <v>Venmo</v>
      </c>
      <c r="T447">
        <f>SUMIF(J:J,Table1[[#This Row],[Season]],F:F)</f>
        <v>60018</v>
      </c>
    </row>
    <row r="448" spans="1:20" x14ac:dyDescent="0.3">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c r="S448" t="str">
        <f>INDEX(Q:Q,MATCH(Table1[[#This Row],[Item Purchased]],D:D))</f>
        <v>Bank Transfer</v>
      </c>
      <c r="T448">
        <f>SUMIF(J:J,Table1[[#This Row],[Season]],F:F)</f>
        <v>55777</v>
      </c>
    </row>
    <row r="449" spans="1:20" x14ac:dyDescent="0.3">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c r="S449" t="str">
        <f>INDEX(Q:Q,MATCH(Table1[[#This Row],[Item Purchased]],D:D))</f>
        <v>PayPal</v>
      </c>
      <c r="T449">
        <f>SUMIF(J:J,Table1[[#This Row],[Season]],F:F)</f>
        <v>58679</v>
      </c>
    </row>
    <row r="450" spans="1:20" x14ac:dyDescent="0.3">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c r="S450" t="str">
        <f>INDEX(Q:Q,MATCH(Table1[[#This Row],[Item Purchased]],D:D))</f>
        <v>Debit Card</v>
      </c>
      <c r="T450">
        <f>SUMIF(J:J,Table1[[#This Row],[Season]],F:F)</f>
        <v>55777</v>
      </c>
    </row>
    <row r="451" spans="1:20" x14ac:dyDescent="0.3">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c r="S451" t="str">
        <f>INDEX(Q:Q,MATCH(Table1[[#This Row],[Item Purchased]],D:D))</f>
        <v>Cash</v>
      </c>
      <c r="T451">
        <f>SUMIF(J:J,Table1[[#This Row],[Season]],F:F)</f>
        <v>55777</v>
      </c>
    </row>
    <row r="452" spans="1:20" x14ac:dyDescent="0.3">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c r="S452" t="str">
        <f>INDEX(Q:Q,MATCH(Table1[[#This Row],[Item Purchased]],D:D))</f>
        <v>Venmo</v>
      </c>
      <c r="T452">
        <f>SUMIF(J:J,Table1[[#This Row],[Season]],F:F)</f>
        <v>55777</v>
      </c>
    </row>
    <row r="453" spans="1:20" x14ac:dyDescent="0.3">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c r="S453" t="str">
        <f>INDEX(Q:Q,MATCH(Table1[[#This Row],[Item Purchased]],D:D))</f>
        <v>Cash</v>
      </c>
      <c r="T453">
        <f>SUMIF(J:J,Table1[[#This Row],[Season]],F:F)</f>
        <v>55777</v>
      </c>
    </row>
    <row r="454" spans="1:20" x14ac:dyDescent="0.3">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c r="S454" t="str">
        <f>INDEX(Q:Q,MATCH(Table1[[#This Row],[Item Purchased]],D:D))</f>
        <v>Cash</v>
      </c>
      <c r="T454">
        <f>SUMIF(J:J,Table1[[#This Row],[Season]],F:F)</f>
        <v>55777</v>
      </c>
    </row>
    <row r="455" spans="1:20" x14ac:dyDescent="0.3">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c r="S455" t="str">
        <f>INDEX(Q:Q,MATCH(Table1[[#This Row],[Item Purchased]],D:D))</f>
        <v>Cash</v>
      </c>
      <c r="T455">
        <f>SUMIF(J:J,Table1[[#This Row],[Season]],F:F)</f>
        <v>58607</v>
      </c>
    </row>
    <row r="456" spans="1:20" x14ac:dyDescent="0.3">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c r="S456" t="str">
        <f>INDEX(Q:Q,MATCH(Table1[[#This Row],[Item Purchased]],D:D))</f>
        <v>Debit Card</v>
      </c>
      <c r="T456">
        <f>SUMIF(J:J,Table1[[#This Row],[Season]],F:F)</f>
        <v>55777</v>
      </c>
    </row>
    <row r="457" spans="1:20" x14ac:dyDescent="0.3">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c r="S457" t="str">
        <f>INDEX(Q:Q,MATCH(Table1[[#This Row],[Item Purchased]],D:D))</f>
        <v>Venmo</v>
      </c>
      <c r="T457">
        <f>SUMIF(J:J,Table1[[#This Row],[Season]],F:F)</f>
        <v>60018</v>
      </c>
    </row>
    <row r="458" spans="1:20" x14ac:dyDescent="0.3">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c r="S458" t="str">
        <f>INDEX(Q:Q,MATCH(Table1[[#This Row],[Item Purchased]],D:D))</f>
        <v>Venmo</v>
      </c>
      <c r="T458">
        <f>SUMIF(J:J,Table1[[#This Row],[Season]],F:F)</f>
        <v>60018</v>
      </c>
    </row>
    <row r="459" spans="1:20" x14ac:dyDescent="0.3">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c r="S459" t="str">
        <f>INDEX(Q:Q,MATCH(Table1[[#This Row],[Item Purchased]],D:D))</f>
        <v>Debit Card</v>
      </c>
      <c r="T459">
        <f>SUMIF(J:J,Table1[[#This Row],[Season]],F:F)</f>
        <v>58679</v>
      </c>
    </row>
    <row r="460" spans="1:20" x14ac:dyDescent="0.3">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c r="S460" t="str">
        <f>INDEX(Q:Q,MATCH(Table1[[#This Row],[Item Purchased]],D:D))</f>
        <v>PayPal</v>
      </c>
      <c r="T460">
        <f>SUMIF(J:J,Table1[[#This Row],[Season]],F:F)</f>
        <v>58607</v>
      </c>
    </row>
    <row r="461" spans="1:20" x14ac:dyDescent="0.3">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c r="S461" t="str">
        <f>INDEX(Q:Q,MATCH(Table1[[#This Row],[Item Purchased]],D:D))</f>
        <v>Venmo</v>
      </c>
      <c r="T461">
        <f>SUMIF(J:J,Table1[[#This Row],[Season]],F:F)</f>
        <v>58607</v>
      </c>
    </row>
    <row r="462" spans="1:20" x14ac:dyDescent="0.3">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c r="S462" t="str">
        <f>INDEX(Q:Q,MATCH(Table1[[#This Row],[Item Purchased]],D:D))</f>
        <v>PayPal</v>
      </c>
      <c r="T462">
        <f>SUMIF(J:J,Table1[[#This Row],[Season]],F:F)</f>
        <v>55777</v>
      </c>
    </row>
    <row r="463" spans="1:20" x14ac:dyDescent="0.3">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c r="S463" t="str">
        <f>INDEX(Q:Q,MATCH(Table1[[#This Row],[Item Purchased]],D:D))</f>
        <v>Venmo</v>
      </c>
      <c r="T463">
        <f>SUMIF(J:J,Table1[[#This Row],[Season]],F:F)</f>
        <v>58607</v>
      </c>
    </row>
    <row r="464" spans="1:20" x14ac:dyDescent="0.3">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c r="S464" t="str">
        <f>INDEX(Q:Q,MATCH(Table1[[#This Row],[Item Purchased]],D:D))</f>
        <v>Debit Card</v>
      </c>
      <c r="T464">
        <f>SUMIF(J:J,Table1[[#This Row],[Season]],F:F)</f>
        <v>60018</v>
      </c>
    </row>
    <row r="465" spans="1:20" x14ac:dyDescent="0.3">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c r="S465" t="str">
        <f>INDEX(Q:Q,MATCH(Table1[[#This Row],[Item Purchased]],D:D))</f>
        <v>Cash</v>
      </c>
      <c r="T465">
        <f>SUMIF(J:J,Table1[[#This Row],[Season]],F:F)</f>
        <v>55777</v>
      </c>
    </row>
    <row r="466" spans="1:20" x14ac:dyDescent="0.3">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c r="S466" t="str">
        <f>INDEX(Q:Q,MATCH(Table1[[#This Row],[Item Purchased]],D:D))</f>
        <v>Venmo</v>
      </c>
      <c r="T466">
        <f>SUMIF(J:J,Table1[[#This Row],[Season]],F:F)</f>
        <v>58607</v>
      </c>
    </row>
    <row r="467" spans="1:20" x14ac:dyDescent="0.3">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c r="S467" t="str">
        <f>INDEX(Q:Q,MATCH(Table1[[#This Row],[Item Purchased]],D:D))</f>
        <v>Credit Card</v>
      </c>
      <c r="T467">
        <f>SUMIF(J:J,Table1[[#This Row],[Season]],F:F)</f>
        <v>55777</v>
      </c>
    </row>
    <row r="468" spans="1:20" x14ac:dyDescent="0.3">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c r="S468" t="str">
        <f>INDEX(Q:Q,MATCH(Table1[[#This Row],[Item Purchased]],D:D))</f>
        <v>Cash</v>
      </c>
      <c r="T468">
        <f>SUMIF(J:J,Table1[[#This Row],[Season]],F:F)</f>
        <v>58607</v>
      </c>
    </row>
    <row r="469" spans="1:20" x14ac:dyDescent="0.3">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c r="S469" t="e">
        <f>INDEX(Q:Q,MATCH(Table1[[#This Row],[Item Purchased]],D:D))</f>
        <v>#N/A</v>
      </c>
      <c r="T469">
        <f>SUMIF(J:J,Table1[[#This Row],[Season]],F:F)</f>
        <v>58679</v>
      </c>
    </row>
    <row r="470" spans="1:20" x14ac:dyDescent="0.3">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c r="S470" t="e">
        <f>INDEX(Q:Q,MATCH(Table1[[#This Row],[Item Purchased]],D:D))</f>
        <v>#N/A</v>
      </c>
      <c r="T470">
        <f>SUMIF(J:J,Table1[[#This Row],[Season]],F:F)</f>
        <v>60018</v>
      </c>
    </row>
    <row r="471" spans="1:20" x14ac:dyDescent="0.3">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c r="S471" t="str">
        <f>INDEX(Q:Q,MATCH(Table1[[#This Row],[Item Purchased]],D:D))</f>
        <v>PayPal</v>
      </c>
      <c r="T471">
        <f>SUMIF(J:J,Table1[[#This Row],[Season]],F:F)</f>
        <v>60018</v>
      </c>
    </row>
    <row r="472" spans="1:20" x14ac:dyDescent="0.3">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c r="S472" t="str">
        <f>INDEX(Q:Q,MATCH(Table1[[#This Row],[Item Purchased]],D:D))</f>
        <v>Debit Card</v>
      </c>
      <c r="T472">
        <f>SUMIF(J:J,Table1[[#This Row],[Season]],F:F)</f>
        <v>55777</v>
      </c>
    </row>
    <row r="473" spans="1:20" x14ac:dyDescent="0.3">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c r="S473" t="str">
        <f>INDEX(Q:Q,MATCH(Table1[[#This Row],[Item Purchased]],D:D))</f>
        <v>Bank Transfer</v>
      </c>
      <c r="T473">
        <f>SUMIF(J:J,Table1[[#This Row],[Season]],F:F)</f>
        <v>58607</v>
      </c>
    </row>
    <row r="474" spans="1:20" x14ac:dyDescent="0.3">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c r="S474" t="str">
        <f>INDEX(Q:Q,MATCH(Table1[[#This Row],[Item Purchased]],D:D))</f>
        <v>Cash</v>
      </c>
      <c r="T474">
        <f>SUMIF(J:J,Table1[[#This Row],[Season]],F:F)</f>
        <v>58607</v>
      </c>
    </row>
    <row r="475" spans="1:20" x14ac:dyDescent="0.3">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c r="S475" t="str">
        <f>INDEX(Q:Q,MATCH(Table1[[#This Row],[Item Purchased]],D:D))</f>
        <v>Debit Card</v>
      </c>
      <c r="T475">
        <f>SUMIF(J:J,Table1[[#This Row],[Season]],F:F)</f>
        <v>58679</v>
      </c>
    </row>
    <row r="476" spans="1:20" x14ac:dyDescent="0.3">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c r="S476" t="str">
        <f>INDEX(Q:Q,MATCH(Table1[[#This Row],[Item Purchased]],D:D))</f>
        <v>Venmo</v>
      </c>
      <c r="T476">
        <f>SUMIF(J:J,Table1[[#This Row],[Season]],F:F)</f>
        <v>55777</v>
      </c>
    </row>
    <row r="477" spans="1:20" x14ac:dyDescent="0.3">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c r="S477" t="str">
        <f>INDEX(Q:Q,MATCH(Table1[[#This Row],[Item Purchased]],D:D))</f>
        <v>Venmo</v>
      </c>
      <c r="T477">
        <f>SUMIF(J:J,Table1[[#This Row],[Season]],F:F)</f>
        <v>55777</v>
      </c>
    </row>
    <row r="478" spans="1:20" x14ac:dyDescent="0.3">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c r="S478" t="str">
        <f>INDEX(Q:Q,MATCH(Table1[[#This Row],[Item Purchased]],D:D))</f>
        <v>Bank Transfer</v>
      </c>
      <c r="T478">
        <f>SUMIF(J:J,Table1[[#This Row],[Season]],F:F)</f>
        <v>58679</v>
      </c>
    </row>
    <row r="479" spans="1:20" x14ac:dyDescent="0.3">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c r="S479" t="str">
        <f>INDEX(Q:Q,MATCH(Table1[[#This Row],[Item Purchased]],D:D))</f>
        <v>Venmo</v>
      </c>
      <c r="T479">
        <f>SUMIF(J:J,Table1[[#This Row],[Season]],F:F)</f>
        <v>55777</v>
      </c>
    </row>
    <row r="480" spans="1:20" x14ac:dyDescent="0.3">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c r="S480" t="str">
        <f>INDEX(Q:Q,MATCH(Table1[[#This Row],[Item Purchased]],D:D))</f>
        <v>Cash</v>
      </c>
      <c r="T480">
        <f>SUMIF(J:J,Table1[[#This Row],[Season]],F:F)</f>
        <v>58607</v>
      </c>
    </row>
    <row r="481" spans="1:20" x14ac:dyDescent="0.3">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c r="S481" t="str">
        <f>INDEX(Q:Q,MATCH(Table1[[#This Row],[Item Purchased]],D:D))</f>
        <v>Cash</v>
      </c>
      <c r="T481">
        <f>SUMIF(J:J,Table1[[#This Row],[Season]],F:F)</f>
        <v>58607</v>
      </c>
    </row>
    <row r="482" spans="1:20" x14ac:dyDescent="0.3">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c r="S482" t="str">
        <f>INDEX(Q:Q,MATCH(Table1[[#This Row],[Item Purchased]],D:D))</f>
        <v>Venmo</v>
      </c>
      <c r="T482">
        <f>SUMIF(J:J,Table1[[#This Row],[Season]],F:F)</f>
        <v>55777</v>
      </c>
    </row>
    <row r="483" spans="1:20" x14ac:dyDescent="0.3">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c r="S483" t="str">
        <f>INDEX(Q:Q,MATCH(Table1[[#This Row],[Item Purchased]],D:D))</f>
        <v>Venmo</v>
      </c>
      <c r="T483">
        <f>SUMIF(J:J,Table1[[#This Row],[Season]],F:F)</f>
        <v>60018</v>
      </c>
    </row>
    <row r="484" spans="1:20" x14ac:dyDescent="0.3">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c r="S484" t="e">
        <f>INDEX(Q:Q,MATCH(Table1[[#This Row],[Item Purchased]],D:D))</f>
        <v>#N/A</v>
      </c>
      <c r="T484">
        <f>SUMIF(J:J,Table1[[#This Row],[Season]],F:F)</f>
        <v>58607</v>
      </c>
    </row>
    <row r="485" spans="1:20" x14ac:dyDescent="0.3">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c r="S485" t="str">
        <f>INDEX(Q:Q,MATCH(Table1[[#This Row],[Item Purchased]],D:D))</f>
        <v>Venmo</v>
      </c>
      <c r="T485">
        <f>SUMIF(J:J,Table1[[#This Row],[Season]],F:F)</f>
        <v>60018</v>
      </c>
    </row>
    <row r="486" spans="1:20" x14ac:dyDescent="0.3">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c r="S486" t="str">
        <f>INDEX(Q:Q,MATCH(Table1[[#This Row],[Item Purchased]],D:D))</f>
        <v>Venmo</v>
      </c>
      <c r="T486">
        <f>SUMIF(J:J,Table1[[#This Row],[Season]],F:F)</f>
        <v>55777</v>
      </c>
    </row>
    <row r="487" spans="1:20" x14ac:dyDescent="0.3">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c r="S487" t="str">
        <f>INDEX(Q:Q,MATCH(Table1[[#This Row],[Item Purchased]],D:D))</f>
        <v>PayPal</v>
      </c>
      <c r="T487">
        <f>SUMIF(J:J,Table1[[#This Row],[Season]],F:F)</f>
        <v>58679</v>
      </c>
    </row>
    <row r="488" spans="1:20" x14ac:dyDescent="0.3">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c r="S488" t="str">
        <f>INDEX(Q:Q,MATCH(Table1[[#This Row],[Item Purchased]],D:D))</f>
        <v>Bank Transfer</v>
      </c>
      <c r="T488">
        <f>SUMIF(J:J,Table1[[#This Row],[Season]],F:F)</f>
        <v>60018</v>
      </c>
    </row>
    <row r="489" spans="1:20" x14ac:dyDescent="0.3">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c r="S489" t="str">
        <f>INDEX(Q:Q,MATCH(Table1[[#This Row],[Item Purchased]],D:D))</f>
        <v>Debit Card</v>
      </c>
      <c r="T489">
        <f>SUMIF(J:J,Table1[[#This Row],[Season]],F:F)</f>
        <v>58607</v>
      </c>
    </row>
    <row r="490" spans="1:20" x14ac:dyDescent="0.3">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c r="S490" t="str">
        <f>INDEX(Q:Q,MATCH(Table1[[#This Row],[Item Purchased]],D:D))</f>
        <v>Venmo</v>
      </c>
      <c r="T490">
        <f>SUMIF(J:J,Table1[[#This Row],[Season]],F:F)</f>
        <v>58679</v>
      </c>
    </row>
    <row r="491" spans="1:20" x14ac:dyDescent="0.3">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c r="S491" t="str">
        <f>INDEX(Q:Q,MATCH(Table1[[#This Row],[Item Purchased]],D:D))</f>
        <v>Venmo</v>
      </c>
      <c r="T491">
        <f>SUMIF(J:J,Table1[[#This Row],[Season]],F:F)</f>
        <v>55777</v>
      </c>
    </row>
    <row r="492" spans="1:20" x14ac:dyDescent="0.3">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c r="S492" t="str">
        <f>INDEX(Q:Q,MATCH(Table1[[#This Row],[Item Purchased]],D:D))</f>
        <v>Venmo</v>
      </c>
      <c r="T492">
        <f>SUMIF(J:J,Table1[[#This Row],[Season]],F:F)</f>
        <v>58607</v>
      </c>
    </row>
    <row r="493" spans="1:20" x14ac:dyDescent="0.3">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c r="S493" t="str">
        <f>INDEX(Q:Q,MATCH(Table1[[#This Row],[Item Purchased]],D:D))</f>
        <v>Debit Card</v>
      </c>
      <c r="T493">
        <f>SUMIF(J:J,Table1[[#This Row],[Season]],F:F)</f>
        <v>55777</v>
      </c>
    </row>
    <row r="494" spans="1:20" x14ac:dyDescent="0.3">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c r="S494" t="str">
        <f>INDEX(Q:Q,MATCH(Table1[[#This Row],[Item Purchased]],D:D))</f>
        <v>Bank Transfer</v>
      </c>
      <c r="T494">
        <f>SUMIF(J:J,Table1[[#This Row],[Season]],F:F)</f>
        <v>60018</v>
      </c>
    </row>
    <row r="495" spans="1:20" x14ac:dyDescent="0.3">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c r="S495" t="e">
        <f>INDEX(Q:Q,MATCH(Table1[[#This Row],[Item Purchased]],D:D))</f>
        <v>#N/A</v>
      </c>
      <c r="T495">
        <f>SUMIF(J:J,Table1[[#This Row],[Season]],F:F)</f>
        <v>55777</v>
      </c>
    </row>
    <row r="496" spans="1:20" x14ac:dyDescent="0.3">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c r="S496" t="str">
        <f>INDEX(Q:Q,MATCH(Table1[[#This Row],[Item Purchased]],D:D))</f>
        <v>Venmo</v>
      </c>
      <c r="T496">
        <f>SUMIF(J:J,Table1[[#This Row],[Season]],F:F)</f>
        <v>58607</v>
      </c>
    </row>
    <row r="497" spans="1:20" x14ac:dyDescent="0.3">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c r="S497" t="str">
        <f>INDEX(Q:Q,MATCH(Table1[[#This Row],[Item Purchased]],D:D))</f>
        <v>Cash</v>
      </c>
      <c r="T497">
        <f>SUMIF(J:J,Table1[[#This Row],[Season]],F:F)</f>
        <v>60018</v>
      </c>
    </row>
    <row r="498" spans="1:20" x14ac:dyDescent="0.3">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c r="S498" t="str">
        <f>INDEX(Q:Q,MATCH(Table1[[#This Row],[Item Purchased]],D:D))</f>
        <v>Debit Card</v>
      </c>
      <c r="T498">
        <f>SUMIF(J:J,Table1[[#This Row],[Season]],F:F)</f>
        <v>60018</v>
      </c>
    </row>
    <row r="499" spans="1:20" x14ac:dyDescent="0.3">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c r="S499" t="str">
        <f>INDEX(Q:Q,MATCH(Table1[[#This Row],[Item Purchased]],D:D))</f>
        <v>Venmo</v>
      </c>
      <c r="T499">
        <f>SUMIF(J:J,Table1[[#This Row],[Season]],F:F)</f>
        <v>58607</v>
      </c>
    </row>
    <row r="500" spans="1:20" x14ac:dyDescent="0.3">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c r="S500" t="str">
        <f>INDEX(Q:Q,MATCH(Table1[[#This Row],[Item Purchased]],D:D))</f>
        <v>Venmo</v>
      </c>
      <c r="T500">
        <f>SUMIF(J:J,Table1[[#This Row],[Season]],F:F)</f>
        <v>58679</v>
      </c>
    </row>
    <row r="501" spans="1:20" x14ac:dyDescent="0.3">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c r="S501" t="str">
        <f>INDEX(Q:Q,MATCH(Table1[[#This Row],[Item Purchased]],D:D))</f>
        <v>PayPal</v>
      </c>
      <c r="T501">
        <f>SUMIF(J:J,Table1[[#This Row],[Season]],F:F)</f>
        <v>58607</v>
      </c>
    </row>
    <row r="502" spans="1:20" x14ac:dyDescent="0.3">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c r="S502" t="str">
        <f>INDEX(Q:Q,MATCH(Table1[[#This Row],[Item Purchased]],D:D))</f>
        <v>Venmo</v>
      </c>
      <c r="T502">
        <f>SUMIF(J:J,Table1[[#This Row],[Season]],F:F)</f>
        <v>60018</v>
      </c>
    </row>
    <row r="503" spans="1:20" x14ac:dyDescent="0.3">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c r="S503" t="str">
        <f>INDEX(Q:Q,MATCH(Table1[[#This Row],[Item Purchased]],D:D))</f>
        <v>Venmo</v>
      </c>
      <c r="T503">
        <f>SUMIF(J:J,Table1[[#This Row],[Season]],F:F)</f>
        <v>58679</v>
      </c>
    </row>
    <row r="504" spans="1:20" x14ac:dyDescent="0.3">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c r="S504" t="str">
        <f>INDEX(Q:Q,MATCH(Table1[[#This Row],[Item Purchased]],D:D))</f>
        <v>Cash</v>
      </c>
      <c r="T504">
        <f>SUMIF(J:J,Table1[[#This Row],[Season]],F:F)</f>
        <v>60018</v>
      </c>
    </row>
    <row r="505" spans="1:20" x14ac:dyDescent="0.3">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c r="S505" t="str">
        <f>INDEX(Q:Q,MATCH(Table1[[#This Row],[Item Purchased]],D:D))</f>
        <v>PayPal</v>
      </c>
      <c r="T505">
        <f>SUMIF(J:J,Table1[[#This Row],[Season]],F:F)</f>
        <v>55777</v>
      </c>
    </row>
    <row r="506" spans="1:20" x14ac:dyDescent="0.3">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c r="S506" t="str">
        <f>INDEX(Q:Q,MATCH(Table1[[#This Row],[Item Purchased]],D:D))</f>
        <v>PayPal</v>
      </c>
      <c r="T506">
        <f>SUMIF(J:J,Table1[[#This Row],[Season]],F:F)</f>
        <v>58607</v>
      </c>
    </row>
    <row r="507" spans="1:20" x14ac:dyDescent="0.3">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c r="S507" t="str">
        <f>INDEX(Q:Q,MATCH(Table1[[#This Row],[Item Purchased]],D:D))</f>
        <v>Venmo</v>
      </c>
      <c r="T507">
        <f>SUMIF(J:J,Table1[[#This Row],[Season]],F:F)</f>
        <v>58679</v>
      </c>
    </row>
    <row r="508" spans="1:20" x14ac:dyDescent="0.3">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c r="S508" t="str">
        <f>INDEX(Q:Q,MATCH(Table1[[#This Row],[Item Purchased]],D:D))</f>
        <v>Bank Transfer</v>
      </c>
      <c r="T508">
        <f>SUMIF(J:J,Table1[[#This Row],[Season]],F:F)</f>
        <v>60018</v>
      </c>
    </row>
    <row r="509" spans="1:20" x14ac:dyDescent="0.3">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c r="S509" t="str">
        <f>INDEX(Q:Q,MATCH(Table1[[#This Row],[Item Purchased]],D:D))</f>
        <v>PayPal</v>
      </c>
      <c r="T509">
        <f>SUMIF(J:J,Table1[[#This Row],[Season]],F:F)</f>
        <v>58679</v>
      </c>
    </row>
    <row r="510" spans="1:20" x14ac:dyDescent="0.3">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c r="S510" t="str">
        <f>INDEX(Q:Q,MATCH(Table1[[#This Row],[Item Purchased]],D:D))</f>
        <v>Cash</v>
      </c>
      <c r="T510">
        <f>SUMIF(J:J,Table1[[#This Row],[Season]],F:F)</f>
        <v>58607</v>
      </c>
    </row>
    <row r="511" spans="1:20" x14ac:dyDescent="0.3">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c r="S511" t="str">
        <f>INDEX(Q:Q,MATCH(Table1[[#This Row],[Item Purchased]],D:D))</f>
        <v>Venmo</v>
      </c>
      <c r="T511">
        <f>SUMIF(J:J,Table1[[#This Row],[Season]],F:F)</f>
        <v>55777</v>
      </c>
    </row>
    <row r="512" spans="1:20" x14ac:dyDescent="0.3">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c r="S512" t="str">
        <f>INDEX(Q:Q,MATCH(Table1[[#This Row],[Item Purchased]],D:D))</f>
        <v>Bank Transfer</v>
      </c>
      <c r="T512">
        <f>SUMIF(J:J,Table1[[#This Row],[Season]],F:F)</f>
        <v>60018</v>
      </c>
    </row>
    <row r="513" spans="1:20" x14ac:dyDescent="0.3">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c r="S513" t="str">
        <f>INDEX(Q:Q,MATCH(Table1[[#This Row],[Item Purchased]],D:D))</f>
        <v>Bank Transfer</v>
      </c>
      <c r="T513">
        <f>SUMIF(J:J,Table1[[#This Row],[Season]],F:F)</f>
        <v>60018</v>
      </c>
    </row>
    <row r="514" spans="1:20" x14ac:dyDescent="0.3">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c r="S514" t="str">
        <f>INDEX(Q:Q,MATCH(Table1[[#This Row],[Item Purchased]],D:D))</f>
        <v>Debit Card</v>
      </c>
      <c r="T514">
        <f>SUMIF(J:J,Table1[[#This Row],[Season]],F:F)</f>
        <v>58607</v>
      </c>
    </row>
    <row r="515" spans="1:20" x14ac:dyDescent="0.3">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c r="S515" t="str">
        <f>INDEX(Q:Q,MATCH(Table1[[#This Row],[Item Purchased]],D:D))</f>
        <v>Bank Transfer</v>
      </c>
      <c r="T515">
        <f>SUMIF(J:J,Table1[[#This Row],[Season]],F:F)</f>
        <v>60018</v>
      </c>
    </row>
    <row r="516" spans="1:20" x14ac:dyDescent="0.3">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c r="S516" t="str">
        <f>INDEX(Q:Q,MATCH(Table1[[#This Row],[Item Purchased]],D:D))</f>
        <v>Credit Card</v>
      </c>
      <c r="T516">
        <f>SUMIF(J:J,Table1[[#This Row],[Season]],F:F)</f>
        <v>58607</v>
      </c>
    </row>
    <row r="517" spans="1:20" x14ac:dyDescent="0.3">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c r="S517" t="str">
        <f>INDEX(Q:Q,MATCH(Table1[[#This Row],[Item Purchased]],D:D))</f>
        <v>Venmo</v>
      </c>
      <c r="T517">
        <f>SUMIF(J:J,Table1[[#This Row],[Season]],F:F)</f>
        <v>58679</v>
      </c>
    </row>
    <row r="518" spans="1:20" x14ac:dyDescent="0.3">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c r="S518" t="str">
        <f>INDEX(Q:Q,MATCH(Table1[[#This Row],[Item Purchased]],D:D))</f>
        <v>Venmo</v>
      </c>
      <c r="T518">
        <f>SUMIF(J:J,Table1[[#This Row],[Season]],F:F)</f>
        <v>60018</v>
      </c>
    </row>
    <row r="519" spans="1:20" x14ac:dyDescent="0.3">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c r="S519" t="str">
        <f>INDEX(Q:Q,MATCH(Table1[[#This Row],[Item Purchased]],D:D))</f>
        <v>Venmo</v>
      </c>
      <c r="T519">
        <f>SUMIF(J:J,Table1[[#This Row],[Season]],F:F)</f>
        <v>60018</v>
      </c>
    </row>
    <row r="520" spans="1:20" x14ac:dyDescent="0.3">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c r="S520" t="str">
        <f>INDEX(Q:Q,MATCH(Table1[[#This Row],[Item Purchased]],D:D))</f>
        <v>Venmo</v>
      </c>
      <c r="T520">
        <f>SUMIF(J:J,Table1[[#This Row],[Season]],F:F)</f>
        <v>60018</v>
      </c>
    </row>
    <row r="521" spans="1:20" x14ac:dyDescent="0.3">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c r="S521" t="e">
        <f>INDEX(Q:Q,MATCH(Table1[[#This Row],[Item Purchased]],D:D))</f>
        <v>#N/A</v>
      </c>
      <c r="T521">
        <f>SUMIF(J:J,Table1[[#This Row],[Season]],F:F)</f>
        <v>55777</v>
      </c>
    </row>
    <row r="522" spans="1:20" x14ac:dyDescent="0.3">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c r="S522" t="str">
        <f>INDEX(Q:Q,MATCH(Table1[[#This Row],[Item Purchased]],D:D))</f>
        <v>Venmo</v>
      </c>
      <c r="T522">
        <f>SUMIF(J:J,Table1[[#This Row],[Season]],F:F)</f>
        <v>58679</v>
      </c>
    </row>
    <row r="523" spans="1:20" x14ac:dyDescent="0.3">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c r="S523" t="str">
        <f>INDEX(Q:Q,MATCH(Table1[[#This Row],[Item Purchased]],D:D))</f>
        <v>PayPal</v>
      </c>
      <c r="T523">
        <f>SUMIF(J:J,Table1[[#This Row],[Season]],F:F)</f>
        <v>58607</v>
      </c>
    </row>
    <row r="524" spans="1:20" x14ac:dyDescent="0.3">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c r="S524" t="str">
        <f>INDEX(Q:Q,MATCH(Table1[[#This Row],[Item Purchased]],D:D))</f>
        <v>Debit Card</v>
      </c>
      <c r="T524">
        <f>SUMIF(J:J,Table1[[#This Row],[Season]],F:F)</f>
        <v>58679</v>
      </c>
    </row>
    <row r="525" spans="1:20" x14ac:dyDescent="0.3">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c r="S525" t="str">
        <f>INDEX(Q:Q,MATCH(Table1[[#This Row],[Item Purchased]],D:D))</f>
        <v>Bank Transfer</v>
      </c>
      <c r="T525">
        <f>SUMIF(J:J,Table1[[#This Row],[Season]],F:F)</f>
        <v>58679</v>
      </c>
    </row>
    <row r="526" spans="1:20" x14ac:dyDescent="0.3">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c r="S526" t="str">
        <f>INDEX(Q:Q,MATCH(Table1[[#This Row],[Item Purchased]],D:D))</f>
        <v>Bank Transfer</v>
      </c>
      <c r="T526">
        <f>SUMIF(J:J,Table1[[#This Row],[Season]],F:F)</f>
        <v>55777</v>
      </c>
    </row>
    <row r="527" spans="1:20" x14ac:dyDescent="0.3">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c r="S527" t="str">
        <f>INDEX(Q:Q,MATCH(Table1[[#This Row],[Item Purchased]],D:D))</f>
        <v>Debit Card</v>
      </c>
      <c r="T527">
        <f>SUMIF(J:J,Table1[[#This Row],[Season]],F:F)</f>
        <v>58679</v>
      </c>
    </row>
    <row r="528" spans="1:20" x14ac:dyDescent="0.3">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c r="S528" t="str">
        <f>INDEX(Q:Q,MATCH(Table1[[#This Row],[Item Purchased]],D:D))</f>
        <v>Cash</v>
      </c>
      <c r="T528">
        <f>SUMIF(J:J,Table1[[#This Row],[Season]],F:F)</f>
        <v>58607</v>
      </c>
    </row>
    <row r="529" spans="1:20" x14ac:dyDescent="0.3">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c r="S529" t="str">
        <f>INDEX(Q:Q,MATCH(Table1[[#This Row],[Item Purchased]],D:D))</f>
        <v>Venmo</v>
      </c>
      <c r="T529">
        <f>SUMIF(J:J,Table1[[#This Row],[Season]],F:F)</f>
        <v>58607</v>
      </c>
    </row>
    <row r="530" spans="1:20" x14ac:dyDescent="0.3">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c r="S530" t="str">
        <f>INDEX(Q:Q,MATCH(Table1[[#This Row],[Item Purchased]],D:D))</f>
        <v>Venmo</v>
      </c>
      <c r="T530">
        <f>SUMIF(J:J,Table1[[#This Row],[Season]],F:F)</f>
        <v>58607</v>
      </c>
    </row>
    <row r="531" spans="1:20" x14ac:dyDescent="0.3">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c r="S531" t="str">
        <f>INDEX(Q:Q,MATCH(Table1[[#This Row],[Item Purchased]],D:D))</f>
        <v>PayPal</v>
      </c>
      <c r="T531">
        <f>SUMIF(J:J,Table1[[#This Row],[Season]],F:F)</f>
        <v>60018</v>
      </c>
    </row>
    <row r="532" spans="1:20" x14ac:dyDescent="0.3">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c r="S532" t="str">
        <f>INDEX(Q:Q,MATCH(Table1[[#This Row],[Item Purchased]],D:D))</f>
        <v>Debit Card</v>
      </c>
      <c r="T532">
        <f>SUMIF(J:J,Table1[[#This Row],[Season]],F:F)</f>
        <v>58607</v>
      </c>
    </row>
    <row r="533" spans="1:20" x14ac:dyDescent="0.3">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c r="S533" t="str">
        <f>INDEX(Q:Q,MATCH(Table1[[#This Row],[Item Purchased]],D:D))</f>
        <v>Bank Transfer</v>
      </c>
      <c r="T533">
        <f>SUMIF(J:J,Table1[[#This Row],[Season]],F:F)</f>
        <v>60018</v>
      </c>
    </row>
    <row r="534" spans="1:20" x14ac:dyDescent="0.3">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c r="S534" t="str">
        <f>INDEX(Q:Q,MATCH(Table1[[#This Row],[Item Purchased]],D:D))</f>
        <v>Cash</v>
      </c>
      <c r="T534">
        <f>SUMIF(J:J,Table1[[#This Row],[Season]],F:F)</f>
        <v>58607</v>
      </c>
    </row>
    <row r="535" spans="1:20" x14ac:dyDescent="0.3">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c r="S535" t="str">
        <f>INDEX(Q:Q,MATCH(Table1[[#This Row],[Item Purchased]],D:D))</f>
        <v>Bank Transfer</v>
      </c>
      <c r="T535">
        <f>SUMIF(J:J,Table1[[#This Row],[Season]],F:F)</f>
        <v>58679</v>
      </c>
    </row>
    <row r="536" spans="1:20" x14ac:dyDescent="0.3">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c r="S536" t="str">
        <f>INDEX(Q:Q,MATCH(Table1[[#This Row],[Item Purchased]],D:D))</f>
        <v>Debit Card</v>
      </c>
      <c r="T536">
        <f>SUMIF(J:J,Table1[[#This Row],[Season]],F:F)</f>
        <v>60018</v>
      </c>
    </row>
    <row r="537" spans="1:20" x14ac:dyDescent="0.3">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c r="S537" t="str">
        <f>INDEX(Q:Q,MATCH(Table1[[#This Row],[Item Purchased]],D:D))</f>
        <v>Venmo</v>
      </c>
      <c r="T537">
        <f>SUMIF(J:J,Table1[[#This Row],[Season]],F:F)</f>
        <v>58679</v>
      </c>
    </row>
    <row r="538" spans="1:20" x14ac:dyDescent="0.3">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c r="S538" t="str">
        <f>INDEX(Q:Q,MATCH(Table1[[#This Row],[Item Purchased]],D:D))</f>
        <v>Debit Card</v>
      </c>
      <c r="T538">
        <f>SUMIF(J:J,Table1[[#This Row],[Season]],F:F)</f>
        <v>60018</v>
      </c>
    </row>
    <row r="539" spans="1:20" x14ac:dyDescent="0.3">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c r="S539" t="str">
        <f>INDEX(Q:Q,MATCH(Table1[[#This Row],[Item Purchased]],D:D))</f>
        <v>Venmo</v>
      </c>
      <c r="T539">
        <f>SUMIF(J:J,Table1[[#This Row],[Season]],F:F)</f>
        <v>55777</v>
      </c>
    </row>
    <row r="540" spans="1:20" x14ac:dyDescent="0.3">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c r="S540" t="str">
        <f>INDEX(Q:Q,MATCH(Table1[[#This Row],[Item Purchased]],D:D))</f>
        <v>Venmo</v>
      </c>
      <c r="T540">
        <f>SUMIF(J:J,Table1[[#This Row],[Season]],F:F)</f>
        <v>58679</v>
      </c>
    </row>
    <row r="541" spans="1:20" x14ac:dyDescent="0.3">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c r="S541" t="str">
        <f>INDEX(Q:Q,MATCH(Table1[[#This Row],[Item Purchased]],D:D))</f>
        <v>Debit Card</v>
      </c>
      <c r="T541">
        <f>SUMIF(J:J,Table1[[#This Row],[Season]],F:F)</f>
        <v>58607</v>
      </c>
    </row>
    <row r="542" spans="1:20" x14ac:dyDescent="0.3">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c r="S542" t="str">
        <f>INDEX(Q:Q,MATCH(Table1[[#This Row],[Item Purchased]],D:D))</f>
        <v>Debit Card</v>
      </c>
      <c r="T542">
        <f>SUMIF(J:J,Table1[[#This Row],[Season]],F:F)</f>
        <v>58679</v>
      </c>
    </row>
    <row r="543" spans="1:20" x14ac:dyDescent="0.3">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c r="S543" t="str">
        <f>INDEX(Q:Q,MATCH(Table1[[#This Row],[Item Purchased]],D:D))</f>
        <v>Debit Card</v>
      </c>
      <c r="T543">
        <f>SUMIF(J:J,Table1[[#This Row],[Season]],F:F)</f>
        <v>60018</v>
      </c>
    </row>
    <row r="544" spans="1:20" x14ac:dyDescent="0.3">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c r="S544" t="str">
        <f>INDEX(Q:Q,MATCH(Table1[[#This Row],[Item Purchased]],D:D))</f>
        <v>Venmo</v>
      </c>
      <c r="T544">
        <f>SUMIF(J:J,Table1[[#This Row],[Season]],F:F)</f>
        <v>58679</v>
      </c>
    </row>
    <row r="545" spans="1:20" x14ac:dyDescent="0.3">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c r="S545" t="str">
        <f>INDEX(Q:Q,MATCH(Table1[[#This Row],[Item Purchased]],D:D))</f>
        <v>Credit Card</v>
      </c>
      <c r="T545">
        <f>SUMIF(J:J,Table1[[#This Row],[Season]],F:F)</f>
        <v>58679</v>
      </c>
    </row>
    <row r="546" spans="1:20" x14ac:dyDescent="0.3">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c r="S546" t="str">
        <f>INDEX(Q:Q,MATCH(Table1[[#This Row],[Item Purchased]],D:D))</f>
        <v>Bank Transfer</v>
      </c>
      <c r="T546">
        <f>SUMIF(J:J,Table1[[#This Row],[Season]],F:F)</f>
        <v>55777</v>
      </c>
    </row>
    <row r="547" spans="1:20" x14ac:dyDescent="0.3">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c r="S547" t="str">
        <f>INDEX(Q:Q,MATCH(Table1[[#This Row],[Item Purchased]],D:D))</f>
        <v>Debit Card</v>
      </c>
      <c r="T547">
        <f>SUMIF(J:J,Table1[[#This Row],[Season]],F:F)</f>
        <v>55777</v>
      </c>
    </row>
    <row r="548" spans="1:20" x14ac:dyDescent="0.3">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c r="S548" t="str">
        <f>INDEX(Q:Q,MATCH(Table1[[#This Row],[Item Purchased]],D:D))</f>
        <v>Venmo</v>
      </c>
      <c r="T548">
        <f>SUMIF(J:J,Table1[[#This Row],[Season]],F:F)</f>
        <v>58607</v>
      </c>
    </row>
    <row r="549" spans="1:20" x14ac:dyDescent="0.3">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c r="S549" t="str">
        <f>INDEX(Q:Q,MATCH(Table1[[#This Row],[Item Purchased]],D:D))</f>
        <v>Debit Card</v>
      </c>
      <c r="T549">
        <f>SUMIF(J:J,Table1[[#This Row],[Season]],F:F)</f>
        <v>58607</v>
      </c>
    </row>
    <row r="550" spans="1:20" x14ac:dyDescent="0.3">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c r="S550" t="e">
        <f>INDEX(Q:Q,MATCH(Table1[[#This Row],[Item Purchased]],D:D))</f>
        <v>#N/A</v>
      </c>
      <c r="T550">
        <f>SUMIF(J:J,Table1[[#This Row],[Season]],F:F)</f>
        <v>58607</v>
      </c>
    </row>
    <row r="551" spans="1:20" x14ac:dyDescent="0.3">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c r="S551" t="e">
        <f>INDEX(Q:Q,MATCH(Table1[[#This Row],[Item Purchased]],D:D))</f>
        <v>#N/A</v>
      </c>
      <c r="T551">
        <f>SUMIF(J:J,Table1[[#This Row],[Season]],F:F)</f>
        <v>60018</v>
      </c>
    </row>
    <row r="552" spans="1:20" x14ac:dyDescent="0.3">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c r="S552" t="e">
        <f>INDEX(Q:Q,MATCH(Table1[[#This Row],[Item Purchased]],D:D))</f>
        <v>#N/A</v>
      </c>
      <c r="T552">
        <f>SUMIF(J:J,Table1[[#This Row],[Season]],F:F)</f>
        <v>55777</v>
      </c>
    </row>
    <row r="553" spans="1:20" x14ac:dyDescent="0.3">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c r="S553" t="str">
        <f>INDEX(Q:Q,MATCH(Table1[[#This Row],[Item Purchased]],D:D))</f>
        <v>Debit Card</v>
      </c>
      <c r="T553">
        <f>SUMIF(J:J,Table1[[#This Row],[Season]],F:F)</f>
        <v>60018</v>
      </c>
    </row>
    <row r="554" spans="1:20" x14ac:dyDescent="0.3">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c r="S554" t="str">
        <f>INDEX(Q:Q,MATCH(Table1[[#This Row],[Item Purchased]],D:D))</f>
        <v>Venmo</v>
      </c>
      <c r="T554">
        <f>SUMIF(J:J,Table1[[#This Row],[Season]],F:F)</f>
        <v>60018</v>
      </c>
    </row>
    <row r="555" spans="1:20" x14ac:dyDescent="0.3">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c r="S555" t="str">
        <f>INDEX(Q:Q,MATCH(Table1[[#This Row],[Item Purchased]],D:D))</f>
        <v>Venmo</v>
      </c>
      <c r="T555">
        <f>SUMIF(J:J,Table1[[#This Row],[Season]],F:F)</f>
        <v>58607</v>
      </c>
    </row>
    <row r="556" spans="1:20" x14ac:dyDescent="0.3">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c r="S556" t="str">
        <f>INDEX(Q:Q,MATCH(Table1[[#This Row],[Item Purchased]],D:D))</f>
        <v>Venmo</v>
      </c>
      <c r="T556">
        <f>SUMIF(J:J,Table1[[#This Row],[Season]],F:F)</f>
        <v>55777</v>
      </c>
    </row>
    <row r="557" spans="1:20" x14ac:dyDescent="0.3">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c r="S557" t="str">
        <f>INDEX(Q:Q,MATCH(Table1[[#This Row],[Item Purchased]],D:D))</f>
        <v>Debit Card</v>
      </c>
      <c r="T557">
        <f>SUMIF(J:J,Table1[[#This Row],[Season]],F:F)</f>
        <v>60018</v>
      </c>
    </row>
    <row r="558" spans="1:20" x14ac:dyDescent="0.3">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c r="S558" t="str">
        <f>INDEX(Q:Q,MATCH(Table1[[#This Row],[Item Purchased]],D:D))</f>
        <v>Debit Card</v>
      </c>
      <c r="T558">
        <f>SUMIF(J:J,Table1[[#This Row],[Season]],F:F)</f>
        <v>58607</v>
      </c>
    </row>
    <row r="559" spans="1:20" x14ac:dyDescent="0.3">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c r="S559" t="str">
        <f>INDEX(Q:Q,MATCH(Table1[[#This Row],[Item Purchased]],D:D))</f>
        <v>Bank Transfer</v>
      </c>
      <c r="T559">
        <f>SUMIF(J:J,Table1[[#This Row],[Season]],F:F)</f>
        <v>58679</v>
      </c>
    </row>
    <row r="560" spans="1:20" x14ac:dyDescent="0.3">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c r="S560" t="str">
        <f>INDEX(Q:Q,MATCH(Table1[[#This Row],[Item Purchased]],D:D))</f>
        <v>Venmo</v>
      </c>
      <c r="T560">
        <f>SUMIF(J:J,Table1[[#This Row],[Season]],F:F)</f>
        <v>60018</v>
      </c>
    </row>
    <row r="561" spans="1:20" x14ac:dyDescent="0.3">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c r="S561" t="str">
        <f>INDEX(Q:Q,MATCH(Table1[[#This Row],[Item Purchased]],D:D))</f>
        <v>Bank Transfer</v>
      </c>
      <c r="T561">
        <f>SUMIF(J:J,Table1[[#This Row],[Season]],F:F)</f>
        <v>60018</v>
      </c>
    </row>
    <row r="562" spans="1:20" x14ac:dyDescent="0.3">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c r="S562" t="str">
        <f>INDEX(Q:Q,MATCH(Table1[[#This Row],[Item Purchased]],D:D))</f>
        <v>Cash</v>
      </c>
      <c r="T562">
        <f>SUMIF(J:J,Table1[[#This Row],[Season]],F:F)</f>
        <v>60018</v>
      </c>
    </row>
    <row r="563" spans="1:20" x14ac:dyDescent="0.3">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c r="S563" t="str">
        <f>INDEX(Q:Q,MATCH(Table1[[#This Row],[Item Purchased]],D:D))</f>
        <v>Debit Card</v>
      </c>
      <c r="T563">
        <f>SUMIF(J:J,Table1[[#This Row],[Season]],F:F)</f>
        <v>60018</v>
      </c>
    </row>
    <row r="564" spans="1:20" x14ac:dyDescent="0.3">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c r="S564" t="str">
        <f>INDEX(Q:Q,MATCH(Table1[[#This Row],[Item Purchased]],D:D))</f>
        <v>Cash</v>
      </c>
      <c r="T564">
        <f>SUMIF(J:J,Table1[[#This Row],[Season]],F:F)</f>
        <v>55777</v>
      </c>
    </row>
    <row r="565" spans="1:20" x14ac:dyDescent="0.3">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c r="S565" t="str">
        <f>INDEX(Q:Q,MATCH(Table1[[#This Row],[Item Purchased]],D:D))</f>
        <v>PayPal</v>
      </c>
      <c r="T565">
        <f>SUMIF(J:J,Table1[[#This Row],[Season]],F:F)</f>
        <v>60018</v>
      </c>
    </row>
    <row r="566" spans="1:20" x14ac:dyDescent="0.3">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c r="S566" t="str">
        <f>INDEX(Q:Q,MATCH(Table1[[#This Row],[Item Purchased]],D:D))</f>
        <v>Venmo</v>
      </c>
      <c r="T566">
        <f>SUMIF(J:J,Table1[[#This Row],[Season]],F:F)</f>
        <v>58607</v>
      </c>
    </row>
    <row r="567" spans="1:20" x14ac:dyDescent="0.3">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c r="S567" t="e">
        <f>INDEX(Q:Q,MATCH(Table1[[#This Row],[Item Purchased]],D:D))</f>
        <v>#N/A</v>
      </c>
      <c r="T567">
        <f>SUMIF(J:J,Table1[[#This Row],[Season]],F:F)</f>
        <v>60018</v>
      </c>
    </row>
    <row r="568" spans="1:20" x14ac:dyDescent="0.3">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c r="S568" t="str">
        <f>INDEX(Q:Q,MATCH(Table1[[#This Row],[Item Purchased]],D:D))</f>
        <v>Venmo</v>
      </c>
      <c r="T568">
        <f>SUMIF(J:J,Table1[[#This Row],[Season]],F:F)</f>
        <v>58679</v>
      </c>
    </row>
    <row r="569" spans="1:20" x14ac:dyDescent="0.3">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c r="S569" t="str">
        <f>INDEX(Q:Q,MATCH(Table1[[#This Row],[Item Purchased]],D:D))</f>
        <v>Venmo</v>
      </c>
      <c r="T569">
        <f>SUMIF(J:J,Table1[[#This Row],[Season]],F:F)</f>
        <v>58607</v>
      </c>
    </row>
    <row r="570" spans="1:20" x14ac:dyDescent="0.3">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c r="S570" t="str">
        <f>INDEX(Q:Q,MATCH(Table1[[#This Row],[Item Purchased]],D:D))</f>
        <v>Cash</v>
      </c>
      <c r="T570">
        <f>SUMIF(J:J,Table1[[#This Row],[Season]],F:F)</f>
        <v>55777</v>
      </c>
    </row>
    <row r="571" spans="1:20" x14ac:dyDescent="0.3">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c r="S571" t="str">
        <f>INDEX(Q:Q,MATCH(Table1[[#This Row],[Item Purchased]],D:D))</f>
        <v>Credit Card</v>
      </c>
      <c r="T571">
        <f>SUMIF(J:J,Table1[[#This Row],[Season]],F:F)</f>
        <v>60018</v>
      </c>
    </row>
    <row r="572" spans="1:20" x14ac:dyDescent="0.3">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c r="S572" t="str">
        <f>INDEX(Q:Q,MATCH(Table1[[#This Row],[Item Purchased]],D:D))</f>
        <v>Venmo</v>
      </c>
      <c r="T572">
        <f>SUMIF(J:J,Table1[[#This Row],[Season]],F:F)</f>
        <v>60018</v>
      </c>
    </row>
    <row r="573" spans="1:20" x14ac:dyDescent="0.3">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c r="S573" t="str">
        <f>INDEX(Q:Q,MATCH(Table1[[#This Row],[Item Purchased]],D:D))</f>
        <v>Debit Card</v>
      </c>
      <c r="T573">
        <f>SUMIF(J:J,Table1[[#This Row],[Season]],F:F)</f>
        <v>58679</v>
      </c>
    </row>
    <row r="574" spans="1:20" x14ac:dyDescent="0.3">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c r="S574" t="str">
        <f>INDEX(Q:Q,MATCH(Table1[[#This Row],[Item Purchased]],D:D))</f>
        <v>Bank Transfer</v>
      </c>
      <c r="T574">
        <f>SUMIF(J:J,Table1[[#This Row],[Season]],F:F)</f>
        <v>55777</v>
      </c>
    </row>
    <row r="575" spans="1:20" x14ac:dyDescent="0.3">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c r="S575" t="str">
        <f>INDEX(Q:Q,MATCH(Table1[[#This Row],[Item Purchased]],D:D))</f>
        <v>Cash</v>
      </c>
      <c r="T575">
        <f>SUMIF(J:J,Table1[[#This Row],[Season]],F:F)</f>
        <v>55777</v>
      </c>
    </row>
    <row r="576" spans="1:20" x14ac:dyDescent="0.3">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c r="S576" t="str">
        <f>INDEX(Q:Q,MATCH(Table1[[#This Row],[Item Purchased]],D:D))</f>
        <v>Venmo</v>
      </c>
      <c r="T576">
        <f>SUMIF(J:J,Table1[[#This Row],[Season]],F:F)</f>
        <v>60018</v>
      </c>
    </row>
    <row r="577" spans="1:20" x14ac:dyDescent="0.3">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c r="S577" t="str">
        <f>INDEX(Q:Q,MATCH(Table1[[#This Row],[Item Purchased]],D:D))</f>
        <v>Cash</v>
      </c>
      <c r="T577">
        <f>SUMIF(J:J,Table1[[#This Row],[Season]],F:F)</f>
        <v>60018</v>
      </c>
    </row>
    <row r="578" spans="1:20" x14ac:dyDescent="0.3">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c r="S578" t="str">
        <f>INDEX(Q:Q,MATCH(Table1[[#This Row],[Item Purchased]],D:D))</f>
        <v>Venmo</v>
      </c>
      <c r="T578">
        <f>SUMIF(J:J,Table1[[#This Row],[Season]],F:F)</f>
        <v>58607</v>
      </c>
    </row>
    <row r="579" spans="1:20" x14ac:dyDescent="0.3">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c r="S579" t="str">
        <f>INDEX(Q:Q,MATCH(Table1[[#This Row],[Item Purchased]],D:D))</f>
        <v>Credit Card</v>
      </c>
      <c r="T579">
        <f>SUMIF(J:J,Table1[[#This Row],[Season]],F:F)</f>
        <v>60018</v>
      </c>
    </row>
    <row r="580" spans="1:20" x14ac:dyDescent="0.3">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c r="S580" t="str">
        <f>INDEX(Q:Q,MATCH(Table1[[#This Row],[Item Purchased]],D:D))</f>
        <v>Bank Transfer</v>
      </c>
      <c r="T580">
        <f>SUMIF(J:J,Table1[[#This Row],[Season]],F:F)</f>
        <v>60018</v>
      </c>
    </row>
    <row r="581" spans="1:20" x14ac:dyDescent="0.3">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c r="S581" t="str">
        <f>INDEX(Q:Q,MATCH(Table1[[#This Row],[Item Purchased]],D:D))</f>
        <v>Bank Transfer</v>
      </c>
      <c r="T581">
        <f>SUMIF(J:J,Table1[[#This Row],[Season]],F:F)</f>
        <v>58607</v>
      </c>
    </row>
    <row r="582" spans="1:20" x14ac:dyDescent="0.3">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c r="S582" t="str">
        <f>INDEX(Q:Q,MATCH(Table1[[#This Row],[Item Purchased]],D:D))</f>
        <v>Venmo</v>
      </c>
      <c r="T582">
        <f>SUMIF(J:J,Table1[[#This Row],[Season]],F:F)</f>
        <v>58679</v>
      </c>
    </row>
    <row r="583" spans="1:20" x14ac:dyDescent="0.3">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c r="S583" t="str">
        <f>INDEX(Q:Q,MATCH(Table1[[#This Row],[Item Purchased]],D:D))</f>
        <v>Venmo</v>
      </c>
      <c r="T583">
        <f>SUMIF(J:J,Table1[[#This Row],[Season]],F:F)</f>
        <v>58607</v>
      </c>
    </row>
    <row r="584" spans="1:20" x14ac:dyDescent="0.3">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c r="S584" t="str">
        <f>INDEX(Q:Q,MATCH(Table1[[#This Row],[Item Purchased]],D:D))</f>
        <v>Debit Card</v>
      </c>
      <c r="T584">
        <f>SUMIF(J:J,Table1[[#This Row],[Season]],F:F)</f>
        <v>58679</v>
      </c>
    </row>
    <row r="585" spans="1:20" x14ac:dyDescent="0.3">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c r="S585" t="str">
        <f>INDEX(Q:Q,MATCH(Table1[[#This Row],[Item Purchased]],D:D))</f>
        <v>PayPal</v>
      </c>
      <c r="T585">
        <f>SUMIF(J:J,Table1[[#This Row],[Season]],F:F)</f>
        <v>58679</v>
      </c>
    </row>
    <row r="586" spans="1:20" x14ac:dyDescent="0.3">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c r="S586" t="str">
        <f>INDEX(Q:Q,MATCH(Table1[[#This Row],[Item Purchased]],D:D))</f>
        <v>Venmo</v>
      </c>
      <c r="T586">
        <f>SUMIF(J:J,Table1[[#This Row],[Season]],F:F)</f>
        <v>58679</v>
      </c>
    </row>
    <row r="587" spans="1:20" x14ac:dyDescent="0.3">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c r="S587" t="str">
        <f>INDEX(Q:Q,MATCH(Table1[[#This Row],[Item Purchased]],D:D))</f>
        <v>Venmo</v>
      </c>
      <c r="T587">
        <f>SUMIF(J:J,Table1[[#This Row],[Season]],F:F)</f>
        <v>60018</v>
      </c>
    </row>
    <row r="588" spans="1:20" x14ac:dyDescent="0.3">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c r="S588" t="str">
        <f>INDEX(Q:Q,MATCH(Table1[[#This Row],[Item Purchased]],D:D))</f>
        <v>Venmo</v>
      </c>
      <c r="T588">
        <f>SUMIF(J:J,Table1[[#This Row],[Season]],F:F)</f>
        <v>58607</v>
      </c>
    </row>
    <row r="589" spans="1:20" x14ac:dyDescent="0.3">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c r="S589" t="str">
        <f>INDEX(Q:Q,MATCH(Table1[[#This Row],[Item Purchased]],D:D))</f>
        <v>Venmo</v>
      </c>
      <c r="T589">
        <f>SUMIF(J:J,Table1[[#This Row],[Season]],F:F)</f>
        <v>60018</v>
      </c>
    </row>
    <row r="590" spans="1:20" x14ac:dyDescent="0.3">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c r="S590" t="str">
        <f>INDEX(Q:Q,MATCH(Table1[[#This Row],[Item Purchased]],D:D))</f>
        <v>Venmo</v>
      </c>
      <c r="T590">
        <f>SUMIF(J:J,Table1[[#This Row],[Season]],F:F)</f>
        <v>60018</v>
      </c>
    </row>
    <row r="591" spans="1:20" x14ac:dyDescent="0.3">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c r="S591" t="str">
        <f>INDEX(Q:Q,MATCH(Table1[[#This Row],[Item Purchased]],D:D))</f>
        <v>Bank Transfer</v>
      </c>
      <c r="T591">
        <f>SUMIF(J:J,Table1[[#This Row],[Season]],F:F)</f>
        <v>60018</v>
      </c>
    </row>
    <row r="592" spans="1:20" x14ac:dyDescent="0.3">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c r="S592" t="e">
        <f>INDEX(Q:Q,MATCH(Table1[[#This Row],[Item Purchased]],D:D))</f>
        <v>#N/A</v>
      </c>
      <c r="T592">
        <f>SUMIF(J:J,Table1[[#This Row],[Season]],F:F)</f>
        <v>60018</v>
      </c>
    </row>
    <row r="593" spans="1:20" x14ac:dyDescent="0.3">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c r="S593" t="e">
        <f>INDEX(Q:Q,MATCH(Table1[[#This Row],[Item Purchased]],D:D))</f>
        <v>#N/A</v>
      </c>
      <c r="T593">
        <f>SUMIF(J:J,Table1[[#This Row],[Season]],F:F)</f>
        <v>60018</v>
      </c>
    </row>
    <row r="594" spans="1:20" x14ac:dyDescent="0.3">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c r="S594" t="str">
        <f>INDEX(Q:Q,MATCH(Table1[[#This Row],[Item Purchased]],D:D))</f>
        <v>Venmo</v>
      </c>
      <c r="T594">
        <f>SUMIF(J:J,Table1[[#This Row],[Season]],F:F)</f>
        <v>60018</v>
      </c>
    </row>
    <row r="595" spans="1:20" x14ac:dyDescent="0.3">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c r="S595" t="str">
        <f>INDEX(Q:Q,MATCH(Table1[[#This Row],[Item Purchased]],D:D))</f>
        <v>Debit Card</v>
      </c>
      <c r="T595">
        <f>SUMIF(J:J,Table1[[#This Row],[Season]],F:F)</f>
        <v>58607</v>
      </c>
    </row>
    <row r="596" spans="1:20" x14ac:dyDescent="0.3">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c r="S596" t="str">
        <f>INDEX(Q:Q,MATCH(Table1[[#This Row],[Item Purchased]],D:D))</f>
        <v>Venmo</v>
      </c>
      <c r="T596">
        <f>SUMIF(J:J,Table1[[#This Row],[Season]],F:F)</f>
        <v>58607</v>
      </c>
    </row>
    <row r="597" spans="1:20" x14ac:dyDescent="0.3">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c r="S597" t="str">
        <f>INDEX(Q:Q,MATCH(Table1[[#This Row],[Item Purchased]],D:D))</f>
        <v>PayPal</v>
      </c>
      <c r="T597">
        <f>SUMIF(J:J,Table1[[#This Row],[Season]],F:F)</f>
        <v>55777</v>
      </c>
    </row>
    <row r="598" spans="1:20" x14ac:dyDescent="0.3">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c r="S598" t="str">
        <f>INDEX(Q:Q,MATCH(Table1[[#This Row],[Item Purchased]],D:D))</f>
        <v>PayPal</v>
      </c>
      <c r="T598">
        <f>SUMIF(J:J,Table1[[#This Row],[Season]],F:F)</f>
        <v>55777</v>
      </c>
    </row>
    <row r="599" spans="1:20" x14ac:dyDescent="0.3">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c r="S599" t="str">
        <f>INDEX(Q:Q,MATCH(Table1[[#This Row],[Item Purchased]],D:D))</f>
        <v>Cash</v>
      </c>
      <c r="T599">
        <f>SUMIF(J:J,Table1[[#This Row],[Season]],F:F)</f>
        <v>55777</v>
      </c>
    </row>
    <row r="600" spans="1:20" x14ac:dyDescent="0.3">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c r="S600" t="str">
        <f>INDEX(Q:Q,MATCH(Table1[[#This Row],[Item Purchased]],D:D))</f>
        <v>Debit Card</v>
      </c>
      <c r="T600">
        <f>SUMIF(J:J,Table1[[#This Row],[Season]],F:F)</f>
        <v>58607</v>
      </c>
    </row>
    <row r="601" spans="1:20" x14ac:dyDescent="0.3">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c r="S601" t="str">
        <f>INDEX(Q:Q,MATCH(Table1[[#This Row],[Item Purchased]],D:D))</f>
        <v>Venmo</v>
      </c>
      <c r="T601">
        <f>SUMIF(J:J,Table1[[#This Row],[Season]],F:F)</f>
        <v>58679</v>
      </c>
    </row>
    <row r="602" spans="1:20" x14ac:dyDescent="0.3">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c r="S602" t="str">
        <f>INDEX(Q:Q,MATCH(Table1[[#This Row],[Item Purchased]],D:D))</f>
        <v>Venmo</v>
      </c>
      <c r="T602">
        <f>SUMIF(J:J,Table1[[#This Row],[Season]],F:F)</f>
        <v>58679</v>
      </c>
    </row>
    <row r="603" spans="1:20" x14ac:dyDescent="0.3">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c r="S603" t="e">
        <f>INDEX(Q:Q,MATCH(Table1[[#This Row],[Item Purchased]],D:D))</f>
        <v>#N/A</v>
      </c>
      <c r="T603">
        <f>SUMIF(J:J,Table1[[#This Row],[Season]],F:F)</f>
        <v>55777</v>
      </c>
    </row>
    <row r="604" spans="1:20" x14ac:dyDescent="0.3">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c r="S604" t="str">
        <f>INDEX(Q:Q,MATCH(Table1[[#This Row],[Item Purchased]],D:D))</f>
        <v>PayPal</v>
      </c>
      <c r="T604">
        <f>SUMIF(J:J,Table1[[#This Row],[Season]],F:F)</f>
        <v>55777</v>
      </c>
    </row>
    <row r="605" spans="1:20" x14ac:dyDescent="0.3">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c r="S605" t="str">
        <f>INDEX(Q:Q,MATCH(Table1[[#This Row],[Item Purchased]],D:D))</f>
        <v>Cash</v>
      </c>
      <c r="T605">
        <f>SUMIF(J:J,Table1[[#This Row],[Season]],F:F)</f>
        <v>58607</v>
      </c>
    </row>
    <row r="606" spans="1:20" x14ac:dyDescent="0.3">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c r="S606" t="str">
        <f>INDEX(Q:Q,MATCH(Table1[[#This Row],[Item Purchased]],D:D))</f>
        <v>Venmo</v>
      </c>
      <c r="T606">
        <f>SUMIF(J:J,Table1[[#This Row],[Season]],F:F)</f>
        <v>60018</v>
      </c>
    </row>
    <row r="607" spans="1:20" x14ac:dyDescent="0.3">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c r="S607" t="str">
        <f>INDEX(Q:Q,MATCH(Table1[[#This Row],[Item Purchased]],D:D))</f>
        <v>Venmo</v>
      </c>
      <c r="T607">
        <f>SUMIF(J:J,Table1[[#This Row],[Season]],F:F)</f>
        <v>58607</v>
      </c>
    </row>
    <row r="608" spans="1:20" x14ac:dyDescent="0.3">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c r="S608" t="str">
        <f>INDEX(Q:Q,MATCH(Table1[[#This Row],[Item Purchased]],D:D))</f>
        <v>Bank Transfer</v>
      </c>
      <c r="T608">
        <f>SUMIF(J:J,Table1[[#This Row],[Season]],F:F)</f>
        <v>58679</v>
      </c>
    </row>
    <row r="609" spans="1:20" x14ac:dyDescent="0.3">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c r="S609" t="str">
        <f>INDEX(Q:Q,MATCH(Table1[[#This Row],[Item Purchased]],D:D))</f>
        <v>Venmo</v>
      </c>
      <c r="T609">
        <f>SUMIF(J:J,Table1[[#This Row],[Season]],F:F)</f>
        <v>60018</v>
      </c>
    </row>
    <row r="610" spans="1:20" x14ac:dyDescent="0.3">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c r="S610" t="e">
        <f>INDEX(Q:Q,MATCH(Table1[[#This Row],[Item Purchased]],D:D))</f>
        <v>#N/A</v>
      </c>
      <c r="T610">
        <f>SUMIF(J:J,Table1[[#This Row],[Season]],F:F)</f>
        <v>60018</v>
      </c>
    </row>
    <row r="611" spans="1:20" x14ac:dyDescent="0.3">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c r="S611" t="str">
        <f>INDEX(Q:Q,MATCH(Table1[[#This Row],[Item Purchased]],D:D))</f>
        <v>Venmo</v>
      </c>
      <c r="T611">
        <f>SUMIF(J:J,Table1[[#This Row],[Season]],F:F)</f>
        <v>60018</v>
      </c>
    </row>
    <row r="612" spans="1:20" x14ac:dyDescent="0.3">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c r="S612" t="str">
        <f>INDEX(Q:Q,MATCH(Table1[[#This Row],[Item Purchased]],D:D))</f>
        <v>PayPal</v>
      </c>
      <c r="T612">
        <f>SUMIF(J:J,Table1[[#This Row],[Season]],F:F)</f>
        <v>55777</v>
      </c>
    </row>
    <row r="613" spans="1:20" x14ac:dyDescent="0.3">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c r="S613" t="str">
        <f>INDEX(Q:Q,MATCH(Table1[[#This Row],[Item Purchased]],D:D))</f>
        <v>Bank Transfer</v>
      </c>
      <c r="T613">
        <f>SUMIF(J:J,Table1[[#This Row],[Season]],F:F)</f>
        <v>58607</v>
      </c>
    </row>
    <row r="614" spans="1:20" x14ac:dyDescent="0.3">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c r="S614" t="str">
        <f>INDEX(Q:Q,MATCH(Table1[[#This Row],[Item Purchased]],D:D))</f>
        <v>Venmo</v>
      </c>
      <c r="T614">
        <f>SUMIF(J:J,Table1[[#This Row],[Season]],F:F)</f>
        <v>60018</v>
      </c>
    </row>
    <row r="615" spans="1:20" x14ac:dyDescent="0.3">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c r="S615" t="str">
        <f>INDEX(Q:Q,MATCH(Table1[[#This Row],[Item Purchased]],D:D))</f>
        <v>Debit Card</v>
      </c>
      <c r="T615">
        <f>SUMIF(J:J,Table1[[#This Row],[Season]],F:F)</f>
        <v>60018</v>
      </c>
    </row>
    <row r="616" spans="1:20" x14ac:dyDescent="0.3">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c r="S616" t="str">
        <f>INDEX(Q:Q,MATCH(Table1[[#This Row],[Item Purchased]],D:D))</f>
        <v>Cash</v>
      </c>
      <c r="T616">
        <f>SUMIF(J:J,Table1[[#This Row],[Season]],F:F)</f>
        <v>58607</v>
      </c>
    </row>
    <row r="617" spans="1:20" x14ac:dyDescent="0.3">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c r="S617" t="str">
        <f>INDEX(Q:Q,MATCH(Table1[[#This Row],[Item Purchased]],D:D))</f>
        <v>Bank Transfer</v>
      </c>
      <c r="T617">
        <f>SUMIF(J:J,Table1[[#This Row],[Season]],F:F)</f>
        <v>55777</v>
      </c>
    </row>
    <row r="618" spans="1:20" x14ac:dyDescent="0.3">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c r="S618" t="str">
        <f>INDEX(Q:Q,MATCH(Table1[[#This Row],[Item Purchased]],D:D))</f>
        <v>Debit Card</v>
      </c>
      <c r="T618">
        <f>SUMIF(J:J,Table1[[#This Row],[Season]],F:F)</f>
        <v>58679</v>
      </c>
    </row>
    <row r="619" spans="1:20" x14ac:dyDescent="0.3">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c r="S619" t="e">
        <f>INDEX(Q:Q,MATCH(Table1[[#This Row],[Item Purchased]],D:D))</f>
        <v>#N/A</v>
      </c>
      <c r="T619">
        <f>SUMIF(J:J,Table1[[#This Row],[Season]],F:F)</f>
        <v>60018</v>
      </c>
    </row>
    <row r="620" spans="1:20" x14ac:dyDescent="0.3">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c r="S620" t="str">
        <f>INDEX(Q:Q,MATCH(Table1[[#This Row],[Item Purchased]],D:D))</f>
        <v>Debit Card</v>
      </c>
      <c r="T620">
        <f>SUMIF(J:J,Table1[[#This Row],[Season]],F:F)</f>
        <v>58679</v>
      </c>
    </row>
    <row r="621" spans="1:20" x14ac:dyDescent="0.3">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c r="S621" t="e">
        <f>INDEX(Q:Q,MATCH(Table1[[#This Row],[Item Purchased]],D:D))</f>
        <v>#N/A</v>
      </c>
      <c r="T621">
        <f>SUMIF(J:J,Table1[[#This Row],[Season]],F:F)</f>
        <v>55777</v>
      </c>
    </row>
    <row r="622" spans="1:20" x14ac:dyDescent="0.3">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c r="S622" t="e">
        <f>INDEX(Q:Q,MATCH(Table1[[#This Row],[Item Purchased]],D:D))</f>
        <v>#N/A</v>
      </c>
      <c r="T622">
        <f>SUMIF(J:J,Table1[[#This Row],[Season]],F:F)</f>
        <v>60018</v>
      </c>
    </row>
    <row r="623" spans="1:20" x14ac:dyDescent="0.3">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c r="S623" t="str">
        <f>INDEX(Q:Q,MATCH(Table1[[#This Row],[Item Purchased]],D:D))</f>
        <v>Venmo</v>
      </c>
      <c r="T623">
        <f>SUMIF(J:J,Table1[[#This Row],[Season]],F:F)</f>
        <v>60018</v>
      </c>
    </row>
    <row r="624" spans="1:20" x14ac:dyDescent="0.3">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c r="S624" t="str">
        <f>INDEX(Q:Q,MATCH(Table1[[#This Row],[Item Purchased]],D:D))</f>
        <v>Venmo</v>
      </c>
      <c r="T624">
        <f>SUMIF(J:J,Table1[[#This Row],[Season]],F:F)</f>
        <v>58679</v>
      </c>
    </row>
    <row r="625" spans="1:20" x14ac:dyDescent="0.3">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c r="S625" t="str">
        <f>INDEX(Q:Q,MATCH(Table1[[#This Row],[Item Purchased]],D:D))</f>
        <v>PayPal</v>
      </c>
      <c r="T625">
        <f>SUMIF(J:J,Table1[[#This Row],[Season]],F:F)</f>
        <v>60018</v>
      </c>
    </row>
    <row r="626" spans="1:20" x14ac:dyDescent="0.3">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c r="S626" t="str">
        <f>INDEX(Q:Q,MATCH(Table1[[#This Row],[Item Purchased]],D:D))</f>
        <v>Cash</v>
      </c>
      <c r="T626">
        <f>SUMIF(J:J,Table1[[#This Row],[Season]],F:F)</f>
        <v>60018</v>
      </c>
    </row>
    <row r="627" spans="1:20" x14ac:dyDescent="0.3">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c r="S627" t="str">
        <f>INDEX(Q:Q,MATCH(Table1[[#This Row],[Item Purchased]],D:D))</f>
        <v>Cash</v>
      </c>
      <c r="T627">
        <f>SUMIF(J:J,Table1[[#This Row],[Season]],F:F)</f>
        <v>60018</v>
      </c>
    </row>
    <row r="628" spans="1:20" x14ac:dyDescent="0.3">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c r="S628" t="str">
        <f>INDEX(Q:Q,MATCH(Table1[[#This Row],[Item Purchased]],D:D))</f>
        <v>Venmo</v>
      </c>
      <c r="T628">
        <f>SUMIF(J:J,Table1[[#This Row],[Season]],F:F)</f>
        <v>58679</v>
      </c>
    </row>
    <row r="629" spans="1:20" x14ac:dyDescent="0.3">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c r="S629" t="str">
        <f>INDEX(Q:Q,MATCH(Table1[[#This Row],[Item Purchased]],D:D))</f>
        <v>Bank Transfer</v>
      </c>
      <c r="T629">
        <f>SUMIF(J:J,Table1[[#This Row],[Season]],F:F)</f>
        <v>58607</v>
      </c>
    </row>
    <row r="630" spans="1:20" x14ac:dyDescent="0.3">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c r="S630" t="str">
        <f>INDEX(Q:Q,MATCH(Table1[[#This Row],[Item Purchased]],D:D))</f>
        <v>Venmo</v>
      </c>
      <c r="T630">
        <f>SUMIF(J:J,Table1[[#This Row],[Season]],F:F)</f>
        <v>60018</v>
      </c>
    </row>
    <row r="631" spans="1:20" x14ac:dyDescent="0.3">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c r="S631" t="str">
        <f>INDEX(Q:Q,MATCH(Table1[[#This Row],[Item Purchased]],D:D))</f>
        <v>PayPal</v>
      </c>
      <c r="T631">
        <f>SUMIF(J:J,Table1[[#This Row],[Season]],F:F)</f>
        <v>58679</v>
      </c>
    </row>
    <row r="632" spans="1:20" x14ac:dyDescent="0.3">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c r="S632" t="str">
        <f>INDEX(Q:Q,MATCH(Table1[[#This Row],[Item Purchased]],D:D))</f>
        <v>Cash</v>
      </c>
      <c r="T632">
        <f>SUMIF(J:J,Table1[[#This Row],[Season]],F:F)</f>
        <v>60018</v>
      </c>
    </row>
    <row r="633" spans="1:20" x14ac:dyDescent="0.3">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c r="S633" t="str">
        <f>INDEX(Q:Q,MATCH(Table1[[#This Row],[Item Purchased]],D:D))</f>
        <v>Venmo</v>
      </c>
      <c r="T633">
        <f>SUMIF(J:J,Table1[[#This Row],[Season]],F:F)</f>
        <v>55777</v>
      </c>
    </row>
    <row r="634" spans="1:20" x14ac:dyDescent="0.3">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c r="S634" t="e">
        <f>INDEX(Q:Q,MATCH(Table1[[#This Row],[Item Purchased]],D:D))</f>
        <v>#N/A</v>
      </c>
      <c r="T634">
        <f>SUMIF(J:J,Table1[[#This Row],[Season]],F:F)</f>
        <v>58607</v>
      </c>
    </row>
    <row r="635" spans="1:20" x14ac:dyDescent="0.3">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c r="S635" t="str">
        <f>INDEX(Q:Q,MATCH(Table1[[#This Row],[Item Purchased]],D:D))</f>
        <v>Bank Transfer</v>
      </c>
      <c r="T635">
        <f>SUMIF(J:J,Table1[[#This Row],[Season]],F:F)</f>
        <v>58679</v>
      </c>
    </row>
    <row r="636" spans="1:20" x14ac:dyDescent="0.3">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c r="S636" t="str">
        <f>INDEX(Q:Q,MATCH(Table1[[#This Row],[Item Purchased]],D:D))</f>
        <v>Venmo</v>
      </c>
      <c r="T636">
        <f>SUMIF(J:J,Table1[[#This Row],[Season]],F:F)</f>
        <v>55777</v>
      </c>
    </row>
    <row r="637" spans="1:20" x14ac:dyDescent="0.3">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c r="S637" t="str">
        <f>INDEX(Q:Q,MATCH(Table1[[#This Row],[Item Purchased]],D:D))</f>
        <v>Venmo</v>
      </c>
      <c r="T637">
        <f>SUMIF(J:J,Table1[[#This Row],[Season]],F:F)</f>
        <v>60018</v>
      </c>
    </row>
    <row r="638" spans="1:20" x14ac:dyDescent="0.3">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c r="S638" t="str">
        <f>INDEX(Q:Q,MATCH(Table1[[#This Row],[Item Purchased]],D:D))</f>
        <v>Cash</v>
      </c>
      <c r="T638">
        <f>SUMIF(J:J,Table1[[#This Row],[Season]],F:F)</f>
        <v>55777</v>
      </c>
    </row>
    <row r="639" spans="1:20" x14ac:dyDescent="0.3">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c r="S639" t="str">
        <f>INDEX(Q:Q,MATCH(Table1[[#This Row],[Item Purchased]],D:D))</f>
        <v>Venmo</v>
      </c>
      <c r="T639">
        <f>SUMIF(J:J,Table1[[#This Row],[Season]],F:F)</f>
        <v>58607</v>
      </c>
    </row>
    <row r="640" spans="1:20" x14ac:dyDescent="0.3">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c r="S640" t="str">
        <f>INDEX(Q:Q,MATCH(Table1[[#This Row],[Item Purchased]],D:D))</f>
        <v>Bank Transfer</v>
      </c>
      <c r="T640">
        <f>SUMIF(J:J,Table1[[#This Row],[Season]],F:F)</f>
        <v>55777</v>
      </c>
    </row>
    <row r="641" spans="1:20" x14ac:dyDescent="0.3">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c r="S641" t="str">
        <f>INDEX(Q:Q,MATCH(Table1[[#This Row],[Item Purchased]],D:D))</f>
        <v>Debit Card</v>
      </c>
      <c r="T641">
        <f>SUMIF(J:J,Table1[[#This Row],[Season]],F:F)</f>
        <v>58679</v>
      </c>
    </row>
    <row r="642" spans="1:20" x14ac:dyDescent="0.3">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c r="S642" t="str">
        <f>INDEX(Q:Q,MATCH(Table1[[#This Row],[Item Purchased]],D:D))</f>
        <v>Credit Card</v>
      </c>
      <c r="T642">
        <f>SUMIF(J:J,Table1[[#This Row],[Season]],F:F)</f>
        <v>55777</v>
      </c>
    </row>
    <row r="643" spans="1:20" x14ac:dyDescent="0.3">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c r="S643" t="str">
        <f>INDEX(Q:Q,MATCH(Table1[[#This Row],[Item Purchased]],D:D))</f>
        <v>Venmo</v>
      </c>
      <c r="T643">
        <f>SUMIF(J:J,Table1[[#This Row],[Season]],F:F)</f>
        <v>58607</v>
      </c>
    </row>
    <row r="644" spans="1:20" x14ac:dyDescent="0.3">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c r="S644" t="str">
        <f>INDEX(Q:Q,MATCH(Table1[[#This Row],[Item Purchased]],D:D))</f>
        <v>Credit Card</v>
      </c>
      <c r="T644">
        <f>SUMIF(J:J,Table1[[#This Row],[Season]],F:F)</f>
        <v>58679</v>
      </c>
    </row>
    <row r="645" spans="1:20" x14ac:dyDescent="0.3">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c r="S645" t="str">
        <f>INDEX(Q:Q,MATCH(Table1[[#This Row],[Item Purchased]],D:D))</f>
        <v>Venmo</v>
      </c>
      <c r="T645">
        <f>SUMIF(J:J,Table1[[#This Row],[Season]],F:F)</f>
        <v>58607</v>
      </c>
    </row>
    <row r="646" spans="1:20" x14ac:dyDescent="0.3">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c r="S646" t="e">
        <f>INDEX(Q:Q,MATCH(Table1[[#This Row],[Item Purchased]],D:D))</f>
        <v>#N/A</v>
      </c>
      <c r="T646">
        <f>SUMIF(J:J,Table1[[#This Row],[Season]],F:F)</f>
        <v>55777</v>
      </c>
    </row>
    <row r="647" spans="1:20" x14ac:dyDescent="0.3">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c r="S647" t="str">
        <f>INDEX(Q:Q,MATCH(Table1[[#This Row],[Item Purchased]],D:D))</f>
        <v>Venmo</v>
      </c>
      <c r="T647">
        <f>SUMIF(J:J,Table1[[#This Row],[Season]],F:F)</f>
        <v>55777</v>
      </c>
    </row>
    <row r="648" spans="1:20" x14ac:dyDescent="0.3">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c r="S648" t="str">
        <f>INDEX(Q:Q,MATCH(Table1[[#This Row],[Item Purchased]],D:D))</f>
        <v>Venmo</v>
      </c>
      <c r="T648">
        <f>SUMIF(J:J,Table1[[#This Row],[Season]],F:F)</f>
        <v>58679</v>
      </c>
    </row>
    <row r="649" spans="1:20" x14ac:dyDescent="0.3">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c r="S649" t="str">
        <f>INDEX(Q:Q,MATCH(Table1[[#This Row],[Item Purchased]],D:D))</f>
        <v>Venmo</v>
      </c>
      <c r="T649">
        <f>SUMIF(J:J,Table1[[#This Row],[Season]],F:F)</f>
        <v>55777</v>
      </c>
    </row>
    <row r="650" spans="1:20" x14ac:dyDescent="0.3">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c r="S650" t="str">
        <f>INDEX(Q:Q,MATCH(Table1[[#This Row],[Item Purchased]],D:D))</f>
        <v>Venmo</v>
      </c>
      <c r="T650">
        <f>SUMIF(J:J,Table1[[#This Row],[Season]],F:F)</f>
        <v>58607</v>
      </c>
    </row>
    <row r="651" spans="1:20" x14ac:dyDescent="0.3">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c r="S651" t="str">
        <f>INDEX(Q:Q,MATCH(Table1[[#This Row],[Item Purchased]],D:D))</f>
        <v>Cash</v>
      </c>
      <c r="T651">
        <f>SUMIF(J:J,Table1[[#This Row],[Season]],F:F)</f>
        <v>58679</v>
      </c>
    </row>
    <row r="652" spans="1:20" x14ac:dyDescent="0.3">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c r="S652" t="str">
        <f>INDEX(Q:Q,MATCH(Table1[[#This Row],[Item Purchased]],D:D))</f>
        <v>Debit Card</v>
      </c>
      <c r="T652">
        <f>SUMIF(J:J,Table1[[#This Row],[Season]],F:F)</f>
        <v>58679</v>
      </c>
    </row>
    <row r="653" spans="1:20" x14ac:dyDescent="0.3">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c r="S653" t="str">
        <f>INDEX(Q:Q,MATCH(Table1[[#This Row],[Item Purchased]],D:D))</f>
        <v>Venmo</v>
      </c>
      <c r="T653">
        <f>SUMIF(J:J,Table1[[#This Row],[Season]],F:F)</f>
        <v>55777</v>
      </c>
    </row>
    <row r="654" spans="1:20" x14ac:dyDescent="0.3">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c r="S654" t="str">
        <f>INDEX(Q:Q,MATCH(Table1[[#This Row],[Item Purchased]],D:D))</f>
        <v>Venmo</v>
      </c>
      <c r="T654">
        <f>SUMIF(J:J,Table1[[#This Row],[Season]],F:F)</f>
        <v>58607</v>
      </c>
    </row>
    <row r="655" spans="1:20" x14ac:dyDescent="0.3">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c r="S655" t="str">
        <f>INDEX(Q:Q,MATCH(Table1[[#This Row],[Item Purchased]],D:D))</f>
        <v>Bank Transfer</v>
      </c>
      <c r="T655">
        <f>SUMIF(J:J,Table1[[#This Row],[Season]],F:F)</f>
        <v>58607</v>
      </c>
    </row>
    <row r="656" spans="1:20" x14ac:dyDescent="0.3">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c r="S656" t="str">
        <f>INDEX(Q:Q,MATCH(Table1[[#This Row],[Item Purchased]],D:D))</f>
        <v>Cash</v>
      </c>
      <c r="T656">
        <f>SUMIF(J:J,Table1[[#This Row],[Season]],F:F)</f>
        <v>55777</v>
      </c>
    </row>
    <row r="657" spans="1:20" x14ac:dyDescent="0.3">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c r="S657" t="str">
        <f>INDEX(Q:Q,MATCH(Table1[[#This Row],[Item Purchased]],D:D))</f>
        <v>Cash</v>
      </c>
      <c r="T657">
        <f>SUMIF(J:J,Table1[[#This Row],[Season]],F:F)</f>
        <v>60018</v>
      </c>
    </row>
    <row r="658" spans="1:20" x14ac:dyDescent="0.3">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c r="S658" t="str">
        <f>INDEX(Q:Q,MATCH(Table1[[#This Row],[Item Purchased]],D:D))</f>
        <v>Cash</v>
      </c>
      <c r="T658">
        <f>SUMIF(J:J,Table1[[#This Row],[Season]],F:F)</f>
        <v>55777</v>
      </c>
    </row>
    <row r="659" spans="1:20" x14ac:dyDescent="0.3">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c r="S659" t="str">
        <f>INDEX(Q:Q,MATCH(Table1[[#This Row],[Item Purchased]],D:D))</f>
        <v>Debit Card</v>
      </c>
      <c r="T659">
        <f>SUMIF(J:J,Table1[[#This Row],[Season]],F:F)</f>
        <v>58607</v>
      </c>
    </row>
    <row r="660" spans="1:20" x14ac:dyDescent="0.3">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c r="S660" t="e">
        <f>INDEX(Q:Q,MATCH(Table1[[#This Row],[Item Purchased]],D:D))</f>
        <v>#N/A</v>
      </c>
      <c r="T660">
        <f>SUMIF(J:J,Table1[[#This Row],[Season]],F:F)</f>
        <v>60018</v>
      </c>
    </row>
    <row r="661" spans="1:20" x14ac:dyDescent="0.3">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c r="S661" t="str">
        <f>INDEX(Q:Q,MATCH(Table1[[#This Row],[Item Purchased]],D:D))</f>
        <v>PayPal</v>
      </c>
      <c r="T661">
        <f>SUMIF(J:J,Table1[[#This Row],[Season]],F:F)</f>
        <v>58679</v>
      </c>
    </row>
    <row r="662" spans="1:20" x14ac:dyDescent="0.3">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c r="S662" t="str">
        <f>INDEX(Q:Q,MATCH(Table1[[#This Row],[Item Purchased]],D:D))</f>
        <v>Debit Card</v>
      </c>
      <c r="T662">
        <f>SUMIF(J:J,Table1[[#This Row],[Season]],F:F)</f>
        <v>60018</v>
      </c>
    </row>
    <row r="663" spans="1:20" x14ac:dyDescent="0.3">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c r="S663" t="str">
        <f>INDEX(Q:Q,MATCH(Table1[[#This Row],[Item Purchased]],D:D))</f>
        <v>Bank Transfer</v>
      </c>
      <c r="T663">
        <f>SUMIF(J:J,Table1[[#This Row],[Season]],F:F)</f>
        <v>60018</v>
      </c>
    </row>
    <row r="664" spans="1:20" x14ac:dyDescent="0.3">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c r="S664" t="str">
        <f>INDEX(Q:Q,MATCH(Table1[[#This Row],[Item Purchased]],D:D))</f>
        <v>Debit Card</v>
      </c>
      <c r="T664">
        <f>SUMIF(J:J,Table1[[#This Row],[Season]],F:F)</f>
        <v>60018</v>
      </c>
    </row>
    <row r="665" spans="1:20" x14ac:dyDescent="0.3">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c r="S665" t="str">
        <f>INDEX(Q:Q,MATCH(Table1[[#This Row],[Item Purchased]],D:D))</f>
        <v>Debit Card</v>
      </c>
      <c r="T665">
        <f>SUMIF(J:J,Table1[[#This Row],[Season]],F:F)</f>
        <v>60018</v>
      </c>
    </row>
    <row r="666" spans="1:20" x14ac:dyDescent="0.3">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c r="S666" t="str">
        <f>INDEX(Q:Q,MATCH(Table1[[#This Row],[Item Purchased]],D:D))</f>
        <v>Cash</v>
      </c>
      <c r="T666">
        <f>SUMIF(J:J,Table1[[#This Row],[Season]],F:F)</f>
        <v>58607</v>
      </c>
    </row>
    <row r="667" spans="1:20" x14ac:dyDescent="0.3">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c r="S667" t="str">
        <f>INDEX(Q:Q,MATCH(Table1[[#This Row],[Item Purchased]],D:D))</f>
        <v>Cash</v>
      </c>
      <c r="T667">
        <f>SUMIF(J:J,Table1[[#This Row],[Season]],F:F)</f>
        <v>58679</v>
      </c>
    </row>
    <row r="668" spans="1:20" x14ac:dyDescent="0.3">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c r="S668" t="str">
        <f>INDEX(Q:Q,MATCH(Table1[[#This Row],[Item Purchased]],D:D))</f>
        <v>Venmo</v>
      </c>
      <c r="T668">
        <f>SUMIF(J:J,Table1[[#This Row],[Season]],F:F)</f>
        <v>58607</v>
      </c>
    </row>
    <row r="669" spans="1:20" x14ac:dyDescent="0.3">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c r="S669" t="str">
        <f>INDEX(Q:Q,MATCH(Table1[[#This Row],[Item Purchased]],D:D))</f>
        <v>Venmo</v>
      </c>
      <c r="T669">
        <f>SUMIF(J:J,Table1[[#This Row],[Season]],F:F)</f>
        <v>58607</v>
      </c>
    </row>
    <row r="670" spans="1:20" x14ac:dyDescent="0.3">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c r="S670" t="str">
        <f>INDEX(Q:Q,MATCH(Table1[[#This Row],[Item Purchased]],D:D))</f>
        <v>Venmo</v>
      </c>
      <c r="T670">
        <f>SUMIF(J:J,Table1[[#This Row],[Season]],F:F)</f>
        <v>60018</v>
      </c>
    </row>
    <row r="671" spans="1:20" x14ac:dyDescent="0.3">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c r="S671" t="str">
        <f>INDEX(Q:Q,MATCH(Table1[[#This Row],[Item Purchased]],D:D))</f>
        <v>Debit Card</v>
      </c>
      <c r="T671">
        <f>SUMIF(J:J,Table1[[#This Row],[Season]],F:F)</f>
        <v>58679</v>
      </c>
    </row>
    <row r="672" spans="1:20" x14ac:dyDescent="0.3">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c r="S672" t="str">
        <f>INDEX(Q:Q,MATCH(Table1[[#This Row],[Item Purchased]],D:D))</f>
        <v>Venmo</v>
      </c>
      <c r="T672">
        <f>SUMIF(J:J,Table1[[#This Row],[Season]],F:F)</f>
        <v>58679</v>
      </c>
    </row>
    <row r="673" spans="1:20" x14ac:dyDescent="0.3">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c r="S673" t="str">
        <f>INDEX(Q:Q,MATCH(Table1[[#This Row],[Item Purchased]],D:D))</f>
        <v>Debit Card</v>
      </c>
      <c r="T673">
        <f>SUMIF(J:J,Table1[[#This Row],[Season]],F:F)</f>
        <v>58607</v>
      </c>
    </row>
    <row r="674" spans="1:20" x14ac:dyDescent="0.3">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c r="S674" t="str">
        <f>INDEX(Q:Q,MATCH(Table1[[#This Row],[Item Purchased]],D:D))</f>
        <v>Venmo</v>
      </c>
      <c r="T674">
        <f>SUMIF(J:J,Table1[[#This Row],[Season]],F:F)</f>
        <v>58607</v>
      </c>
    </row>
    <row r="675" spans="1:20" x14ac:dyDescent="0.3">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c r="S675" t="str">
        <f>INDEX(Q:Q,MATCH(Table1[[#This Row],[Item Purchased]],D:D))</f>
        <v>Bank Transfer</v>
      </c>
      <c r="T675">
        <f>SUMIF(J:J,Table1[[#This Row],[Season]],F:F)</f>
        <v>58679</v>
      </c>
    </row>
    <row r="676" spans="1:20" x14ac:dyDescent="0.3">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c r="S676" t="str">
        <f>INDEX(Q:Q,MATCH(Table1[[#This Row],[Item Purchased]],D:D))</f>
        <v>Cash</v>
      </c>
      <c r="T676">
        <f>SUMIF(J:J,Table1[[#This Row],[Season]],F:F)</f>
        <v>58607</v>
      </c>
    </row>
    <row r="677" spans="1:20" x14ac:dyDescent="0.3">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c r="S677" t="str">
        <f>INDEX(Q:Q,MATCH(Table1[[#This Row],[Item Purchased]],D:D))</f>
        <v>Venmo</v>
      </c>
      <c r="T677">
        <f>SUMIF(J:J,Table1[[#This Row],[Season]],F:F)</f>
        <v>58679</v>
      </c>
    </row>
    <row r="678" spans="1:20" x14ac:dyDescent="0.3">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c r="S678" t="str">
        <f>INDEX(Q:Q,MATCH(Table1[[#This Row],[Item Purchased]],D:D))</f>
        <v>Cash</v>
      </c>
      <c r="T678">
        <f>SUMIF(J:J,Table1[[#This Row],[Season]],F:F)</f>
        <v>58607</v>
      </c>
    </row>
    <row r="679" spans="1:20" x14ac:dyDescent="0.3">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c r="S679" t="str">
        <f>INDEX(Q:Q,MATCH(Table1[[#This Row],[Item Purchased]],D:D))</f>
        <v>Venmo</v>
      </c>
      <c r="T679">
        <f>SUMIF(J:J,Table1[[#This Row],[Season]],F:F)</f>
        <v>55777</v>
      </c>
    </row>
    <row r="680" spans="1:20" x14ac:dyDescent="0.3">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c r="S680" t="str">
        <f>INDEX(Q:Q,MATCH(Table1[[#This Row],[Item Purchased]],D:D))</f>
        <v>Venmo</v>
      </c>
      <c r="T680">
        <f>SUMIF(J:J,Table1[[#This Row],[Season]],F:F)</f>
        <v>60018</v>
      </c>
    </row>
    <row r="681" spans="1:20" x14ac:dyDescent="0.3">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c r="S681" t="str">
        <f>INDEX(Q:Q,MATCH(Table1[[#This Row],[Item Purchased]],D:D))</f>
        <v>Bank Transfer</v>
      </c>
      <c r="T681">
        <f>SUMIF(J:J,Table1[[#This Row],[Season]],F:F)</f>
        <v>60018</v>
      </c>
    </row>
    <row r="682" spans="1:20" x14ac:dyDescent="0.3">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c r="S682" t="str">
        <f>INDEX(Q:Q,MATCH(Table1[[#This Row],[Item Purchased]],D:D))</f>
        <v>Venmo</v>
      </c>
      <c r="T682">
        <f>SUMIF(J:J,Table1[[#This Row],[Season]],F:F)</f>
        <v>58679</v>
      </c>
    </row>
    <row r="683" spans="1:20" x14ac:dyDescent="0.3">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c r="S683" t="str">
        <f>INDEX(Q:Q,MATCH(Table1[[#This Row],[Item Purchased]],D:D))</f>
        <v>Bank Transfer</v>
      </c>
      <c r="T683">
        <f>SUMIF(J:J,Table1[[#This Row],[Season]],F:F)</f>
        <v>58607</v>
      </c>
    </row>
    <row r="684" spans="1:20" x14ac:dyDescent="0.3">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c r="S684" t="str">
        <f>INDEX(Q:Q,MATCH(Table1[[#This Row],[Item Purchased]],D:D))</f>
        <v>Debit Card</v>
      </c>
      <c r="T684">
        <f>SUMIF(J:J,Table1[[#This Row],[Season]],F:F)</f>
        <v>55777</v>
      </c>
    </row>
    <row r="685" spans="1:20" x14ac:dyDescent="0.3">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c r="S685" t="str">
        <f>INDEX(Q:Q,MATCH(Table1[[#This Row],[Item Purchased]],D:D))</f>
        <v>Bank Transfer</v>
      </c>
      <c r="T685">
        <f>SUMIF(J:J,Table1[[#This Row],[Season]],F:F)</f>
        <v>58607</v>
      </c>
    </row>
    <row r="686" spans="1:20" x14ac:dyDescent="0.3">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c r="S686" t="str">
        <f>INDEX(Q:Q,MATCH(Table1[[#This Row],[Item Purchased]],D:D))</f>
        <v>Venmo</v>
      </c>
      <c r="T686">
        <f>SUMIF(J:J,Table1[[#This Row],[Season]],F:F)</f>
        <v>55777</v>
      </c>
    </row>
    <row r="687" spans="1:20" x14ac:dyDescent="0.3">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c r="S687" t="str">
        <f>INDEX(Q:Q,MATCH(Table1[[#This Row],[Item Purchased]],D:D))</f>
        <v>Venmo</v>
      </c>
      <c r="T687">
        <f>SUMIF(J:J,Table1[[#This Row],[Season]],F:F)</f>
        <v>58607</v>
      </c>
    </row>
    <row r="688" spans="1:20" x14ac:dyDescent="0.3">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c r="S688" t="str">
        <f>INDEX(Q:Q,MATCH(Table1[[#This Row],[Item Purchased]],D:D))</f>
        <v>Venmo</v>
      </c>
      <c r="T688">
        <f>SUMIF(J:J,Table1[[#This Row],[Season]],F:F)</f>
        <v>60018</v>
      </c>
    </row>
    <row r="689" spans="1:20" x14ac:dyDescent="0.3">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c r="S689" t="str">
        <f>INDEX(Q:Q,MATCH(Table1[[#This Row],[Item Purchased]],D:D))</f>
        <v>Debit Card</v>
      </c>
      <c r="T689">
        <f>SUMIF(J:J,Table1[[#This Row],[Season]],F:F)</f>
        <v>58607</v>
      </c>
    </row>
    <row r="690" spans="1:20" x14ac:dyDescent="0.3">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c r="S690" t="str">
        <f>INDEX(Q:Q,MATCH(Table1[[#This Row],[Item Purchased]],D:D))</f>
        <v>Bank Transfer</v>
      </c>
      <c r="T690">
        <f>SUMIF(J:J,Table1[[#This Row],[Season]],F:F)</f>
        <v>55777</v>
      </c>
    </row>
    <row r="691" spans="1:20" x14ac:dyDescent="0.3">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c r="S691" t="str">
        <f>INDEX(Q:Q,MATCH(Table1[[#This Row],[Item Purchased]],D:D))</f>
        <v>Venmo</v>
      </c>
      <c r="T691">
        <f>SUMIF(J:J,Table1[[#This Row],[Season]],F:F)</f>
        <v>55777</v>
      </c>
    </row>
    <row r="692" spans="1:20" x14ac:dyDescent="0.3">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c r="S692" t="str">
        <f>INDEX(Q:Q,MATCH(Table1[[#This Row],[Item Purchased]],D:D))</f>
        <v>PayPal</v>
      </c>
      <c r="T692">
        <f>SUMIF(J:J,Table1[[#This Row],[Season]],F:F)</f>
        <v>58679</v>
      </c>
    </row>
    <row r="693" spans="1:20" x14ac:dyDescent="0.3">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c r="S693" t="e">
        <f>INDEX(Q:Q,MATCH(Table1[[#This Row],[Item Purchased]],D:D))</f>
        <v>#N/A</v>
      </c>
      <c r="T693">
        <f>SUMIF(J:J,Table1[[#This Row],[Season]],F:F)</f>
        <v>55777</v>
      </c>
    </row>
    <row r="694" spans="1:20" x14ac:dyDescent="0.3">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c r="S694" t="str">
        <f>INDEX(Q:Q,MATCH(Table1[[#This Row],[Item Purchased]],D:D))</f>
        <v>Venmo</v>
      </c>
      <c r="T694">
        <f>SUMIF(J:J,Table1[[#This Row],[Season]],F:F)</f>
        <v>58679</v>
      </c>
    </row>
    <row r="695" spans="1:20" x14ac:dyDescent="0.3">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c r="S695" t="str">
        <f>INDEX(Q:Q,MATCH(Table1[[#This Row],[Item Purchased]],D:D))</f>
        <v>PayPal</v>
      </c>
      <c r="T695">
        <f>SUMIF(J:J,Table1[[#This Row],[Season]],F:F)</f>
        <v>58679</v>
      </c>
    </row>
    <row r="696" spans="1:20" x14ac:dyDescent="0.3">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c r="S696" t="str">
        <f>INDEX(Q:Q,MATCH(Table1[[#This Row],[Item Purchased]],D:D))</f>
        <v>Debit Card</v>
      </c>
      <c r="T696">
        <f>SUMIF(J:J,Table1[[#This Row],[Season]],F:F)</f>
        <v>60018</v>
      </c>
    </row>
    <row r="697" spans="1:20" x14ac:dyDescent="0.3">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c r="S697" t="str">
        <f>INDEX(Q:Q,MATCH(Table1[[#This Row],[Item Purchased]],D:D))</f>
        <v>PayPal</v>
      </c>
      <c r="T697">
        <f>SUMIF(J:J,Table1[[#This Row],[Season]],F:F)</f>
        <v>55777</v>
      </c>
    </row>
    <row r="698" spans="1:20" x14ac:dyDescent="0.3">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c r="S698" t="e">
        <f>INDEX(Q:Q,MATCH(Table1[[#This Row],[Item Purchased]],D:D))</f>
        <v>#N/A</v>
      </c>
      <c r="T698">
        <f>SUMIF(J:J,Table1[[#This Row],[Season]],F:F)</f>
        <v>60018</v>
      </c>
    </row>
    <row r="699" spans="1:20" x14ac:dyDescent="0.3">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c r="S699" t="str">
        <f>INDEX(Q:Q,MATCH(Table1[[#This Row],[Item Purchased]],D:D))</f>
        <v>Bank Transfer</v>
      </c>
      <c r="T699">
        <f>SUMIF(J:J,Table1[[#This Row],[Season]],F:F)</f>
        <v>55777</v>
      </c>
    </row>
    <row r="700" spans="1:20" x14ac:dyDescent="0.3">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c r="S700" t="str">
        <f>INDEX(Q:Q,MATCH(Table1[[#This Row],[Item Purchased]],D:D))</f>
        <v>Venmo</v>
      </c>
      <c r="T700">
        <f>SUMIF(J:J,Table1[[#This Row],[Season]],F:F)</f>
        <v>58607</v>
      </c>
    </row>
    <row r="701" spans="1:20" x14ac:dyDescent="0.3">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c r="S701" t="str">
        <f>INDEX(Q:Q,MATCH(Table1[[#This Row],[Item Purchased]],D:D))</f>
        <v>Cash</v>
      </c>
      <c r="T701">
        <f>SUMIF(J:J,Table1[[#This Row],[Season]],F:F)</f>
        <v>60018</v>
      </c>
    </row>
    <row r="702" spans="1:20" x14ac:dyDescent="0.3">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c r="S702" t="str">
        <f>INDEX(Q:Q,MATCH(Table1[[#This Row],[Item Purchased]],D:D))</f>
        <v>Cash</v>
      </c>
      <c r="T702">
        <f>SUMIF(J:J,Table1[[#This Row],[Season]],F:F)</f>
        <v>58607</v>
      </c>
    </row>
    <row r="703" spans="1:20" x14ac:dyDescent="0.3">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c r="S703" t="str">
        <f>INDEX(Q:Q,MATCH(Table1[[#This Row],[Item Purchased]],D:D))</f>
        <v>Venmo</v>
      </c>
      <c r="T703">
        <f>SUMIF(J:J,Table1[[#This Row],[Season]],F:F)</f>
        <v>60018</v>
      </c>
    </row>
    <row r="704" spans="1:20" x14ac:dyDescent="0.3">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c r="S704" t="str">
        <f>INDEX(Q:Q,MATCH(Table1[[#This Row],[Item Purchased]],D:D))</f>
        <v>Bank Transfer</v>
      </c>
      <c r="T704">
        <f>SUMIF(J:J,Table1[[#This Row],[Season]],F:F)</f>
        <v>58607</v>
      </c>
    </row>
    <row r="705" spans="1:20" x14ac:dyDescent="0.3">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c r="S705" t="str">
        <f>INDEX(Q:Q,MATCH(Table1[[#This Row],[Item Purchased]],D:D))</f>
        <v>Debit Card</v>
      </c>
      <c r="T705">
        <f>SUMIF(J:J,Table1[[#This Row],[Season]],F:F)</f>
        <v>55777</v>
      </c>
    </row>
    <row r="706" spans="1:20" x14ac:dyDescent="0.3">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c r="S706" t="str">
        <f>INDEX(Q:Q,MATCH(Table1[[#This Row],[Item Purchased]],D:D))</f>
        <v>Venmo</v>
      </c>
      <c r="T706">
        <f>SUMIF(J:J,Table1[[#This Row],[Season]],F:F)</f>
        <v>58679</v>
      </c>
    </row>
    <row r="707" spans="1:20" x14ac:dyDescent="0.3">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c r="S707" t="str">
        <f>INDEX(Q:Q,MATCH(Table1[[#This Row],[Item Purchased]],D:D))</f>
        <v>Cash</v>
      </c>
      <c r="T707">
        <f>SUMIF(J:J,Table1[[#This Row],[Season]],F:F)</f>
        <v>55777</v>
      </c>
    </row>
    <row r="708" spans="1:20" x14ac:dyDescent="0.3">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c r="S708" t="str">
        <f>INDEX(Q:Q,MATCH(Table1[[#This Row],[Item Purchased]],D:D))</f>
        <v>Cash</v>
      </c>
      <c r="T708">
        <f>SUMIF(J:J,Table1[[#This Row],[Season]],F:F)</f>
        <v>55777</v>
      </c>
    </row>
    <row r="709" spans="1:20" x14ac:dyDescent="0.3">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c r="S709" t="str">
        <f>INDEX(Q:Q,MATCH(Table1[[#This Row],[Item Purchased]],D:D))</f>
        <v>Bank Transfer</v>
      </c>
      <c r="T709">
        <f>SUMIF(J:J,Table1[[#This Row],[Season]],F:F)</f>
        <v>58679</v>
      </c>
    </row>
    <row r="710" spans="1:20" x14ac:dyDescent="0.3">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c r="S710" t="e">
        <f>INDEX(Q:Q,MATCH(Table1[[#This Row],[Item Purchased]],D:D))</f>
        <v>#N/A</v>
      </c>
      <c r="T710">
        <f>SUMIF(J:J,Table1[[#This Row],[Season]],F:F)</f>
        <v>55777</v>
      </c>
    </row>
    <row r="711" spans="1:20" x14ac:dyDescent="0.3">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c r="S711" t="str">
        <f>INDEX(Q:Q,MATCH(Table1[[#This Row],[Item Purchased]],D:D))</f>
        <v>Debit Card</v>
      </c>
      <c r="T711">
        <f>SUMIF(J:J,Table1[[#This Row],[Season]],F:F)</f>
        <v>55777</v>
      </c>
    </row>
    <row r="712" spans="1:20" x14ac:dyDescent="0.3">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c r="S712" t="str">
        <f>INDEX(Q:Q,MATCH(Table1[[#This Row],[Item Purchased]],D:D))</f>
        <v>Bank Transfer</v>
      </c>
      <c r="T712">
        <f>SUMIF(J:J,Table1[[#This Row],[Season]],F:F)</f>
        <v>58679</v>
      </c>
    </row>
    <row r="713" spans="1:20" x14ac:dyDescent="0.3">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c r="S713" t="str">
        <f>INDEX(Q:Q,MATCH(Table1[[#This Row],[Item Purchased]],D:D))</f>
        <v>Venmo</v>
      </c>
      <c r="T713">
        <f>SUMIF(J:J,Table1[[#This Row],[Season]],F:F)</f>
        <v>58679</v>
      </c>
    </row>
    <row r="714" spans="1:20" x14ac:dyDescent="0.3">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c r="S714" t="str">
        <f>INDEX(Q:Q,MATCH(Table1[[#This Row],[Item Purchased]],D:D))</f>
        <v>Venmo</v>
      </c>
      <c r="T714">
        <f>SUMIF(J:J,Table1[[#This Row],[Season]],F:F)</f>
        <v>55777</v>
      </c>
    </row>
    <row r="715" spans="1:20" x14ac:dyDescent="0.3">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c r="S715" t="str">
        <f>INDEX(Q:Q,MATCH(Table1[[#This Row],[Item Purchased]],D:D))</f>
        <v>Venmo</v>
      </c>
      <c r="T715">
        <f>SUMIF(J:J,Table1[[#This Row],[Season]],F:F)</f>
        <v>55777</v>
      </c>
    </row>
    <row r="716" spans="1:20" x14ac:dyDescent="0.3">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c r="S716" t="str">
        <f>INDEX(Q:Q,MATCH(Table1[[#This Row],[Item Purchased]],D:D))</f>
        <v>Debit Card</v>
      </c>
      <c r="T716">
        <f>SUMIF(J:J,Table1[[#This Row],[Season]],F:F)</f>
        <v>60018</v>
      </c>
    </row>
    <row r="717" spans="1:20" x14ac:dyDescent="0.3">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c r="S717" t="str">
        <f>INDEX(Q:Q,MATCH(Table1[[#This Row],[Item Purchased]],D:D))</f>
        <v>Cash</v>
      </c>
      <c r="T717">
        <f>SUMIF(J:J,Table1[[#This Row],[Season]],F:F)</f>
        <v>58679</v>
      </c>
    </row>
    <row r="718" spans="1:20" x14ac:dyDescent="0.3">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c r="S718" t="str">
        <f>INDEX(Q:Q,MATCH(Table1[[#This Row],[Item Purchased]],D:D))</f>
        <v>Cash</v>
      </c>
      <c r="T718">
        <f>SUMIF(J:J,Table1[[#This Row],[Season]],F:F)</f>
        <v>58679</v>
      </c>
    </row>
    <row r="719" spans="1:20" x14ac:dyDescent="0.3">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c r="S719" t="str">
        <f>INDEX(Q:Q,MATCH(Table1[[#This Row],[Item Purchased]],D:D))</f>
        <v>Venmo</v>
      </c>
      <c r="T719">
        <f>SUMIF(J:J,Table1[[#This Row],[Season]],F:F)</f>
        <v>58679</v>
      </c>
    </row>
    <row r="720" spans="1:20" x14ac:dyDescent="0.3">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c r="S720" t="str">
        <f>INDEX(Q:Q,MATCH(Table1[[#This Row],[Item Purchased]],D:D))</f>
        <v>Bank Transfer</v>
      </c>
      <c r="T720">
        <f>SUMIF(J:J,Table1[[#This Row],[Season]],F:F)</f>
        <v>55777</v>
      </c>
    </row>
    <row r="721" spans="1:20" x14ac:dyDescent="0.3">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c r="S721" t="str">
        <f>INDEX(Q:Q,MATCH(Table1[[#This Row],[Item Purchased]],D:D))</f>
        <v>PayPal</v>
      </c>
      <c r="T721">
        <f>SUMIF(J:J,Table1[[#This Row],[Season]],F:F)</f>
        <v>55777</v>
      </c>
    </row>
    <row r="722" spans="1:20" x14ac:dyDescent="0.3">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c r="S722" t="str">
        <f>INDEX(Q:Q,MATCH(Table1[[#This Row],[Item Purchased]],D:D))</f>
        <v>Cash</v>
      </c>
      <c r="T722">
        <f>SUMIF(J:J,Table1[[#This Row],[Season]],F:F)</f>
        <v>60018</v>
      </c>
    </row>
    <row r="723" spans="1:20" x14ac:dyDescent="0.3">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c r="S723" t="str">
        <f>INDEX(Q:Q,MATCH(Table1[[#This Row],[Item Purchased]],D:D))</f>
        <v>Venmo</v>
      </c>
      <c r="T723">
        <f>SUMIF(J:J,Table1[[#This Row],[Season]],F:F)</f>
        <v>55777</v>
      </c>
    </row>
    <row r="724" spans="1:20" x14ac:dyDescent="0.3">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c r="S724" t="str">
        <f>INDEX(Q:Q,MATCH(Table1[[#This Row],[Item Purchased]],D:D))</f>
        <v>Venmo</v>
      </c>
      <c r="T724">
        <f>SUMIF(J:J,Table1[[#This Row],[Season]],F:F)</f>
        <v>55777</v>
      </c>
    </row>
    <row r="725" spans="1:20" x14ac:dyDescent="0.3">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c r="S725" t="str">
        <f>INDEX(Q:Q,MATCH(Table1[[#This Row],[Item Purchased]],D:D))</f>
        <v>Cash</v>
      </c>
      <c r="T725">
        <f>SUMIF(J:J,Table1[[#This Row],[Season]],F:F)</f>
        <v>60018</v>
      </c>
    </row>
    <row r="726" spans="1:20" x14ac:dyDescent="0.3">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c r="S726" t="str">
        <f>INDEX(Q:Q,MATCH(Table1[[#This Row],[Item Purchased]],D:D))</f>
        <v>Venmo</v>
      </c>
      <c r="T726">
        <f>SUMIF(J:J,Table1[[#This Row],[Season]],F:F)</f>
        <v>60018</v>
      </c>
    </row>
    <row r="727" spans="1:20" x14ac:dyDescent="0.3">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c r="S727" t="str">
        <f>INDEX(Q:Q,MATCH(Table1[[#This Row],[Item Purchased]],D:D))</f>
        <v>Venmo</v>
      </c>
      <c r="T727">
        <f>SUMIF(J:J,Table1[[#This Row],[Season]],F:F)</f>
        <v>58607</v>
      </c>
    </row>
    <row r="728" spans="1:20" x14ac:dyDescent="0.3">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c r="S728" t="str">
        <f>INDEX(Q:Q,MATCH(Table1[[#This Row],[Item Purchased]],D:D))</f>
        <v>PayPal</v>
      </c>
      <c r="T728">
        <f>SUMIF(J:J,Table1[[#This Row],[Season]],F:F)</f>
        <v>55777</v>
      </c>
    </row>
    <row r="729" spans="1:20" x14ac:dyDescent="0.3">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c r="S729" t="str">
        <f>INDEX(Q:Q,MATCH(Table1[[#This Row],[Item Purchased]],D:D))</f>
        <v>Venmo</v>
      </c>
      <c r="T729">
        <f>SUMIF(J:J,Table1[[#This Row],[Season]],F:F)</f>
        <v>58607</v>
      </c>
    </row>
    <row r="730" spans="1:20" x14ac:dyDescent="0.3">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c r="S730" t="str">
        <f>INDEX(Q:Q,MATCH(Table1[[#This Row],[Item Purchased]],D:D))</f>
        <v>Cash</v>
      </c>
      <c r="T730">
        <f>SUMIF(J:J,Table1[[#This Row],[Season]],F:F)</f>
        <v>58607</v>
      </c>
    </row>
    <row r="731" spans="1:20" x14ac:dyDescent="0.3">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c r="S731" t="str">
        <f>INDEX(Q:Q,MATCH(Table1[[#This Row],[Item Purchased]],D:D))</f>
        <v>Venmo</v>
      </c>
      <c r="T731">
        <f>SUMIF(J:J,Table1[[#This Row],[Season]],F:F)</f>
        <v>55777</v>
      </c>
    </row>
    <row r="732" spans="1:20" x14ac:dyDescent="0.3">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c r="S732" t="str">
        <f>INDEX(Q:Q,MATCH(Table1[[#This Row],[Item Purchased]],D:D))</f>
        <v>Venmo</v>
      </c>
      <c r="T732">
        <f>SUMIF(J:J,Table1[[#This Row],[Season]],F:F)</f>
        <v>55777</v>
      </c>
    </row>
    <row r="733" spans="1:20" x14ac:dyDescent="0.3">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c r="S733" t="str">
        <f>INDEX(Q:Q,MATCH(Table1[[#This Row],[Item Purchased]],D:D))</f>
        <v>Debit Card</v>
      </c>
      <c r="T733">
        <f>SUMIF(J:J,Table1[[#This Row],[Season]],F:F)</f>
        <v>58679</v>
      </c>
    </row>
    <row r="734" spans="1:20" x14ac:dyDescent="0.3">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c r="S734" t="str">
        <f>INDEX(Q:Q,MATCH(Table1[[#This Row],[Item Purchased]],D:D))</f>
        <v>Bank Transfer</v>
      </c>
      <c r="T734">
        <f>SUMIF(J:J,Table1[[#This Row],[Season]],F:F)</f>
        <v>58679</v>
      </c>
    </row>
    <row r="735" spans="1:20" x14ac:dyDescent="0.3">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c r="S735" t="str">
        <f>INDEX(Q:Q,MATCH(Table1[[#This Row],[Item Purchased]],D:D))</f>
        <v>Debit Card</v>
      </c>
      <c r="T735">
        <f>SUMIF(J:J,Table1[[#This Row],[Season]],F:F)</f>
        <v>60018</v>
      </c>
    </row>
    <row r="736" spans="1:20" x14ac:dyDescent="0.3">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c r="S736" t="str">
        <f>INDEX(Q:Q,MATCH(Table1[[#This Row],[Item Purchased]],D:D))</f>
        <v>Bank Transfer</v>
      </c>
      <c r="T736">
        <f>SUMIF(J:J,Table1[[#This Row],[Season]],F:F)</f>
        <v>58607</v>
      </c>
    </row>
    <row r="737" spans="1:20" x14ac:dyDescent="0.3">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c r="S737" t="str">
        <f>INDEX(Q:Q,MATCH(Table1[[#This Row],[Item Purchased]],D:D))</f>
        <v>Venmo</v>
      </c>
      <c r="T737">
        <f>SUMIF(J:J,Table1[[#This Row],[Season]],F:F)</f>
        <v>60018</v>
      </c>
    </row>
    <row r="738" spans="1:20" x14ac:dyDescent="0.3">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c r="S738" t="str">
        <f>INDEX(Q:Q,MATCH(Table1[[#This Row],[Item Purchased]],D:D))</f>
        <v>Debit Card</v>
      </c>
      <c r="T738">
        <f>SUMIF(J:J,Table1[[#This Row],[Season]],F:F)</f>
        <v>58679</v>
      </c>
    </row>
    <row r="739" spans="1:20" x14ac:dyDescent="0.3">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c r="S739" t="str">
        <f>INDEX(Q:Q,MATCH(Table1[[#This Row],[Item Purchased]],D:D))</f>
        <v>Venmo</v>
      </c>
      <c r="T739">
        <f>SUMIF(J:J,Table1[[#This Row],[Season]],F:F)</f>
        <v>58679</v>
      </c>
    </row>
    <row r="740" spans="1:20" x14ac:dyDescent="0.3">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c r="S740" t="str">
        <f>INDEX(Q:Q,MATCH(Table1[[#This Row],[Item Purchased]],D:D))</f>
        <v>Venmo</v>
      </c>
      <c r="T740">
        <f>SUMIF(J:J,Table1[[#This Row],[Season]],F:F)</f>
        <v>58607</v>
      </c>
    </row>
    <row r="741" spans="1:20" x14ac:dyDescent="0.3">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c r="S741" t="str">
        <f>INDEX(Q:Q,MATCH(Table1[[#This Row],[Item Purchased]],D:D))</f>
        <v>PayPal</v>
      </c>
      <c r="T741">
        <f>SUMIF(J:J,Table1[[#This Row],[Season]],F:F)</f>
        <v>55777</v>
      </c>
    </row>
    <row r="742" spans="1:20" x14ac:dyDescent="0.3">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c r="S742" t="str">
        <f>INDEX(Q:Q,MATCH(Table1[[#This Row],[Item Purchased]],D:D))</f>
        <v>Cash</v>
      </c>
      <c r="T742">
        <f>SUMIF(J:J,Table1[[#This Row],[Season]],F:F)</f>
        <v>55777</v>
      </c>
    </row>
    <row r="743" spans="1:20" x14ac:dyDescent="0.3">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c r="S743" t="str">
        <f>INDEX(Q:Q,MATCH(Table1[[#This Row],[Item Purchased]],D:D))</f>
        <v>Venmo</v>
      </c>
      <c r="T743">
        <f>SUMIF(J:J,Table1[[#This Row],[Season]],F:F)</f>
        <v>55777</v>
      </c>
    </row>
    <row r="744" spans="1:20" x14ac:dyDescent="0.3">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c r="S744" t="str">
        <f>INDEX(Q:Q,MATCH(Table1[[#This Row],[Item Purchased]],D:D))</f>
        <v>Cash</v>
      </c>
      <c r="T744">
        <f>SUMIF(J:J,Table1[[#This Row],[Season]],F:F)</f>
        <v>55777</v>
      </c>
    </row>
    <row r="745" spans="1:20" x14ac:dyDescent="0.3">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c r="S745" t="str">
        <f>INDEX(Q:Q,MATCH(Table1[[#This Row],[Item Purchased]],D:D))</f>
        <v>Venmo</v>
      </c>
      <c r="T745">
        <f>SUMIF(J:J,Table1[[#This Row],[Season]],F:F)</f>
        <v>60018</v>
      </c>
    </row>
    <row r="746" spans="1:20" x14ac:dyDescent="0.3">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c r="S746" t="str">
        <f>INDEX(Q:Q,MATCH(Table1[[#This Row],[Item Purchased]],D:D))</f>
        <v>Venmo</v>
      </c>
      <c r="T746">
        <f>SUMIF(J:J,Table1[[#This Row],[Season]],F:F)</f>
        <v>58679</v>
      </c>
    </row>
    <row r="747" spans="1:20" x14ac:dyDescent="0.3">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c r="S747" t="str">
        <f>INDEX(Q:Q,MATCH(Table1[[#This Row],[Item Purchased]],D:D))</f>
        <v>Venmo</v>
      </c>
      <c r="T747">
        <f>SUMIF(J:J,Table1[[#This Row],[Season]],F:F)</f>
        <v>60018</v>
      </c>
    </row>
    <row r="748" spans="1:20" x14ac:dyDescent="0.3">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c r="S748" t="str">
        <f>INDEX(Q:Q,MATCH(Table1[[#This Row],[Item Purchased]],D:D))</f>
        <v>Bank Transfer</v>
      </c>
      <c r="T748">
        <f>SUMIF(J:J,Table1[[#This Row],[Season]],F:F)</f>
        <v>58607</v>
      </c>
    </row>
    <row r="749" spans="1:20" x14ac:dyDescent="0.3">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c r="S749" t="str">
        <f>INDEX(Q:Q,MATCH(Table1[[#This Row],[Item Purchased]],D:D))</f>
        <v>PayPal</v>
      </c>
      <c r="T749">
        <f>SUMIF(J:J,Table1[[#This Row],[Season]],F:F)</f>
        <v>58679</v>
      </c>
    </row>
    <row r="750" spans="1:20" x14ac:dyDescent="0.3">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c r="S750" t="str">
        <f>INDEX(Q:Q,MATCH(Table1[[#This Row],[Item Purchased]],D:D))</f>
        <v>Venmo</v>
      </c>
      <c r="T750">
        <f>SUMIF(J:J,Table1[[#This Row],[Season]],F:F)</f>
        <v>60018</v>
      </c>
    </row>
    <row r="751" spans="1:20" x14ac:dyDescent="0.3">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c r="S751" t="str">
        <f>INDEX(Q:Q,MATCH(Table1[[#This Row],[Item Purchased]],D:D))</f>
        <v>Bank Transfer</v>
      </c>
      <c r="T751">
        <f>SUMIF(J:J,Table1[[#This Row],[Season]],F:F)</f>
        <v>58607</v>
      </c>
    </row>
    <row r="752" spans="1:20" x14ac:dyDescent="0.3">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c r="S752" t="str">
        <f>INDEX(Q:Q,MATCH(Table1[[#This Row],[Item Purchased]],D:D))</f>
        <v>Venmo</v>
      </c>
      <c r="T752">
        <f>SUMIF(J:J,Table1[[#This Row],[Season]],F:F)</f>
        <v>60018</v>
      </c>
    </row>
    <row r="753" spans="1:20" x14ac:dyDescent="0.3">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c r="S753" t="str">
        <f>INDEX(Q:Q,MATCH(Table1[[#This Row],[Item Purchased]],D:D))</f>
        <v>Debit Card</v>
      </c>
      <c r="T753">
        <f>SUMIF(J:J,Table1[[#This Row],[Season]],F:F)</f>
        <v>60018</v>
      </c>
    </row>
    <row r="754" spans="1:20" x14ac:dyDescent="0.3">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c r="S754" t="str">
        <f>INDEX(Q:Q,MATCH(Table1[[#This Row],[Item Purchased]],D:D))</f>
        <v>Bank Transfer</v>
      </c>
      <c r="T754">
        <f>SUMIF(J:J,Table1[[#This Row],[Season]],F:F)</f>
        <v>60018</v>
      </c>
    </row>
    <row r="755" spans="1:20" x14ac:dyDescent="0.3">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c r="S755" t="str">
        <f>INDEX(Q:Q,MATCH(Table1[[#This Row],[Item Purchased]],D:D))</f>
        <v>Venmo</v>
      </c>
      <c r="T755">
        <f>SUMIF(J:J,Table1[[#This Row],[Season]],F:F)</f>
        <v>60018</v>
      </c>
    </row>
    <row r="756" spans="1:20" x14ac:dyDescent="0.3">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c r="S756" t="str">
        <f>INDEX(Q:Q,MATCH(Table1[[#This Row],[Item Purchased]],D:D))</f>
        <v>Debit Card</v>
      </c>
      <c r="T756">
        <f>SUMIF(J:J,Table1[[#This Row],[Season]],F:F)</f>
        <v>58679</v>
      </c>
    </row>
    <row r="757" spans="1:20" x14ac:dyDescent="0.3">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c r="S757" t="str">
        <f>INDEX(Q:Q,MATCH(Table1[[#This Row],[Item Purchased]],D:D))</f>
        <v>Debit Card</v>
      </c>
      <c r="T757">
        <f>SUMIF(J:J,Table1[[#This Row],[Season]],F:F)</f>
        <v>58679</v>
      </c>
    </row>
    <row r="758" spans="1:20" x14ac:dyDescent="0.3">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c r="S758" t="e">
        <f>INDEX(Q:Q,MATCH(Table1[[#This Row],[Item Purchased]],D:D))</f>
        <v>#N/A</v>
      </c>
      <c r="T758">
        <f>SUMIF(J:J,Table1[[#This Row],[Season]],F:F)</f>
        <v>55777</v>
      </c>
    </row>
    <row r="759" spans="1:20" x14ac:dyDescent="0.3">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c r="S759" t="str">
        <f>INDEX(Q:Q,MATCH(Table1[[#This Row],[Item Purchased]],D:D))</f>
        <v>Venmo</v>
      </c>
      <c r="T759">
        <f>SUMIF(J:J,Table1[[#This Row],[Season]],F:F)</f>
        <v>60018</v>
      </c>
    </row>
    <row r="760" spans="1:20" x14ac:dyDescent="0.3">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c r="S760" t="str">
        <f>INDEX(Q:Q,MATCH(Table1[[#This Row],[Item Purchased]],D:D))</f>
        <v>PayPal</v>
      </c>
      <c r="T760">
        <f>SUMIF(J:J,Table1[[#This Row],[Season]],F:F)</f>
        <v>55777</v>
      </c>
    </row>
    <row r="761" spans="1:20" x14ac:dyDescent="0.3">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c r="S761" t="str">
        <f>INDEX(Q:Q,MATCH(Table1[[#This Row],[Item Purchased]],D:D))</f>
        <v>Debit Card</v>
      </c>
      <c r="T761">
        <f>SUMIF(J:J,Table1[[#This Row],[Season]],F:F)</f>
        <v>58607</v>
      </c>
    </row>
    <row r="762" spans="1:20" x14ac:dyDescent="0.3">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c r="S762" t="str">
        <f>INDEX(Q:Q,MATCH(Table1[[#This Row],[Item Purchased]],D:D))</f>
        <v>Debit Card</v>
      </c>
      <c r="T762">
        <f>SUMIF(J:J,Table1[[#This Row],[Season]],F:F)</f>
        <v>60018</v>
      </c>
    </row>
    <row r="763" spans="1:20" x14ac:dyDescent="0.3">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c r="S763" t="str">
        <f>INDEX(Q:Q,MATCH(Table1[[#This Row],[Item Purchased]],D:D))</f>
        <v>Cash</v>
      </c>
      <c r="T763">
        <f>SUMIF(J:J,Table1[[#This Row],[Season]],F:F)</f>
        <v>60018</v>
      </c>
    </row>
    <row r="764" spans="1:20" x14ac:dyDescent="0.3">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c r="S764" t="e">
        <f>INDEX(Q:Q,MATCH(Table1[[#This Row],[Item Purchased]],D:D))</f>
        <v>#N/A</v>
      </c>
      <c r="T764">
        <f>SUMIF(J:J,Table1[[#This Row],[Season]],F:F)</f>
        <v>60018</v>
      </c>
    </row>
    <row r="765" spans="1:20" x14ac:dyDescent="0.3">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c r="S765" t="str">
        <f>INDEX(Q:Q,MATCH(Table1[[#This Row],[Item Purchased]],D:D))</f>
        <v>Venmo</v>
      </c>
      <c r="T765">
        <f>SUMIF(J:J,Table1[[#This Row],[Season]],F:F)</f>
        <v>58679</v>
      </c>
    </row>
    <row r="766" spans="1:20" x14ac:dyDescent="0.3">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c r="S766" t="str">
        <f>INDEX(Q:Q,MATCH(Table1[[#This Row],[Item Purchased]],D:D))</f>
        <v>Credit Card</v>
      </c>
      <c r="T766">
        <f>SUMIF(J:J,Table1[[#This Row],[Season]],F:F)</f>
        <v>60018</v>
      </c>
    </row>
    <row r="767" spans="1:20" x14ac:dyDescent="0.3">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c r="S767" t="str">
        <f>INDEX(Q:Q,MATCH(Table1[[#This Row],[Item Purchased]],D:D))</f>
        <v>Venmo</v>
      </c>
      <c r="T767">
        <f>SUMIF(J:J,Table1[[#This Row],[Season]],F:F)</f>
        <v>55777</v>
      </c>
    </row>
    <row r="768" spans="1:20" x14ac:dyDescent="0.3">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c r="S768" t="str">
        <f>INDEX(Q:Q,MATCH(Table1[[#This Row],[Item Purchased]],D:D))</f>
        <v>Debit Card</v>
      </c>
      <c r="T768">
        <f>SUMIF(J:J,Table1[[#This Row],[Season]],F:F)</f>
        <v>58607</v>
      </c>
    </row>
    <row r="769" spans="1:20" x14ac:dyDescent="0.3">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c r="S769" t="str">
        <f>INDEX(Q:Q,MATCH(Table1[[#This Row],[Item Purchased]],D:D))</f>
        <v>Debit Card</v>
      </c>
      <c r="T769">
        <f>SUMIF(J:J,Table1[[#This Row],[Season]],F:F)</f>
        <v>60018</v>
      </c>
    </row>
    <row r="770" spans="1:20" x14ac:dyDescent="0.3">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c r="S770" t="e">
        <f>INDEX(Q:Q,MATCH(Table1[[#This Row],[Item Purchased]],D:D))</f>
        <v>#N/A</v>
      </c>
      <c r="T770">
        <f>SUMIF(J:J,Table1[[#This Row],[Season]],F:F)</f>
        <v>58679</v>
      </c>
    </row>
    <row r="771" spans="1:20" x14ac:dyDescent="0.3">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c r="S771" t="str">
        <f>INDEX(Q:Q,MATCH(Table1[[#This Row],[Item Purchased]],D:D))</f>
        <v>Venmo</v>
      </c>
      <c r="T771">
        <f>SUMIF(J:J,Table1[[#This Row],[Season]],F:F)</f>
        <v>58679</v>
      </c>
    </row>
    <row r="772" spans="1:20" x14ac:dyDescent="0.3">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c r="S772" t="str">
        <f>INDEX(Q:Q,MATCH(Table1[[#This Row],[Item Purchased]],D:D))</f>
        <v>Venmo</v>
      </c>
      <c r="T772">
        <f>SUMIF(J:J,Table1[[#This Row],[Season]],F:F)</f>
        <v>58679</v>
      </c>
    </row>
    <row r="773" spans="1:20" x14ac:dyDescent="0.3">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c r="S773" t="str">
        <f>INDEX(Q:Q,MATCH(Table1[[#This Row],[Item Purchased]],D:D))</f>
        <v>Venmo</v>
      </c>
      <c r="T773">
        <f>SUMIF(J:J,Table1[[#This Row],[Season]],F:F)</f>
        <v>60018</v>
      </c>
    </row>
    <row r="774" spans="1:20" x14ac:dyDescent="0.3">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c r="S774" t="str">
        <f>INDEX(Q:Q,MATCH(Table1[[#This Row],[Item Purchased]],D:D))</f>
        <v>Cash</v>
      </c>
      <c r="T774">
        <f>SUMIF(J:J,Table1[[#This Row],[Season]],F:F)</f>
        <v>60018</v>
      </c>
    </row>
    <row r="775" spans="1:20" x14ac:dyDescent="0.3">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c r="S775" t="str">
        <f>INDEX(Q:Q,MATCH(Table1[[#This Row],[Item Purchased]],D:D))</f>
        <v>Venmo</v>
      </c>
      <c r="T775">
        <f>SUMIF(J:J,Table1[[#This Row],[Season]],F:F)</f>
        <v>58607</v>
      </c>
    </row>
    <row r="776" spans="1:20" x14ac:dyDescent="0.3">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c r="S776" t="str">
        <f>INDEX(Q:Q,MATCH(Table1[[#This Row],[Item Purchased]],D:D))</f>
        <v>Venmo</v>
      </c>
      <c r="T776">
        <f>SUMIF(J:J,Table1[[#This Row],[Season]],F:F)</f>
        <v>55777</v>
      </c>
    </row>
    <row r="777" spans="1:20" x14ac:dyDescent="0.3">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c r="S777" t="str">
        <f>INDEX(Q:Q,MATCH(Table1[[#This Row],[Item Purchased]],D:D))</f>
        <v>Cash</v>
      </c>
      <c r="T777">
        <f>SUMIF(J:J,Table1[[#This Row],[Season]],F:F)</f>
        <v>58607</v>
      </c>
    </row>
    <row r="778" spans="1:20" x14ac:dyDescent="0.3">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c r="S778" t="str">
        <f>INDEX(Q:Q,MATCH(Table1[[#This Row],[Item Purchased]],D:D))</f>
        <v>Bank Transfer</v>
      </c>
      <c r="T778">
        <f>SUMIF(J:J,Table1[[#This Row],[Season]],F:F)</f>
        <v>58679</v>
      </c>
    </row>
    <row r="779" spans="1:20" x14ac:dyDescent="0.3">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c r="S779" t="str">
        <f>INDEX(Q:Q,MATCH(Table1[[#This Row],[Item Purchased]],D:D))</f>
        <v>Venmo</v>
      </c>
      <c r="T779">
        <f>SUMIF(J:J,Table1[[#This Row],[Season]],F:F)</f>
        <v>58679</v>
      </c>
    </row>
    <row r="780" spans="1:20" x14ac:dyDescent="0.3">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c r="S780" t="str">
        <f>INDEX(Q:Q,MATCH(Table1[[#This Row],[Item Purchased]],D:D))</f>
        <v>Venmo</v>
      </c>
      <c r="T780">
        <f>SUMIF(J:J,Table1[[#This Row],[Season]],F:F)</f>
        <v>55777</v>
      </c>
    </row>
    <row r="781" spans="1:20" x14ac:dyDescent="0.3">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c r="S781" t="str">
        <f>INDEX(Q:Q,MATCH(Table1[[#This Row],[Item Purchased]],D:D))</f>
        <v>Debit Card</v>
      </c>
      <c r="T781">
        <f>SUMIF(J:J,Table1[[#This Row],[Season]],F:F)</f>
        <v>58679</v>
      </c>
    </row>
    <row r="782" spans="1:20" x14ac:dyDescent="0.3">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c r="S782" t="str">
        <f>INDEX(Q:Q,MATCH(Table1[[#This Row],[Item Purchased]],D:D))</f>
        <v>PayPal</v>
      </c>
      <c r="T782">
        <f>SUMIF(J:J,Table1[[#This Row],[Season]],F:F)</f>
        <v>58679</v>
      </c>
    </row>
    <row r="783" spans="1:20" x14ac:dyDescent="0.3">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c r="S783" t="str">
        <f>INDEX(Q:Q,MATCH(Table1[[#This Row],[Item Purchased]],D:D))</f>
        <v>Bank Transfer</v>
      </c>
      <c r="T783">
        <f>SUMIF(J:J,Table1[[#This Row],[Season]],F:F)</f>
        <v>58607</v>
      </c>
    </row>
    <row r="784" spans="1:20" x14ac:dyDescent="0.3">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c r="S784" t="str">
        <f>INDEX(Q:Q,MATCH(Table1[[#This Row],[Item Purchased]],D:D))</f>
        <v>Venmo</v>
      </c>
      <c r="T784">
        <f>SUMIF(J:J,Table1[[#This Row],[Season]],F:F)</f>
        <v>55777</v>
      </c>
    </row>
    <row r="785" spans="1:20" x14ac:dyDescent="0.3">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c r="S785" t="str">
        <f>INDEX(Q:Q,MATCH(Table1[[#This Row],[Item Purchased]],D:D))</f>
        <v>Venmo</v>
      </c>
      <c r="T785">
        <f>SUMIF(J:J,Table1[[#This Row],[Season]],F:F)</f>
        <v>58607</v>
      </c>
    </row>
    <row r="786" spans="1:20" x14ac:dyDescent="0.3">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c r="S786" t="str">
        <f>INDEX(Q:Q,MATCH(Table1[[#This Row],[Item Purchased]],D:D))</f>
        <v>Cash</v>
      </c>
      <c r="T786">
        <f>SUMIF(J:J,Table1[[#This Row],[Season]],F:F)</f>
        <v>58607</v>
      </c>
    </row>
    <row r="787" spans="1:20" x14ac:dyDescent="0.3">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c r="S787" t="str">
        <f>INDEX(Q:Q,MATCH(Table1[[#This Row],[Item Purchased]],D:D))</f>
        <v>PayPal</v>
      </c>
      <c r="T787">
        <f>SUMIF(J:J,Table1[[#This Row],[Season]],F:F)</f>
        <v>58679</v>
      </c>
    </row>
    <row r="788" spans="1:20" x14ac:dyDescent="0.3">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c r="S788" t="str">
        <f>INDEX(Q:Q,MATCH(Table1[[#This Row],[Item Purchased]],D:D))</f>
        <v>Venmo</v>
      </c>
      <c r="T788">
        <f>SUMIF(J:J,Table1[[#This Row],[Season]],F:F)</f>
        <v>58607</v>
      </c>
    </row>
    <row r="789" spans="1:20" x14ac:dyDescent="0.3">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c r="S789" t="str">
        <f>INDEX(Q:Q,MATCH(Table1[[#This Row],[Item Purchased]],D:D))</f>
        <v>Cash</v>
      </c>
      <c r="T789">
        <f>SUMIF(J:J,Table1[[#This Row],[Season]],F:F)</f>
        <v>58679</v>
      </c>
    </row>
    <row r="790" spans="1:20" x14ac:dyDescent="0.3">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c r="S790" t="str">
        <f>INDEX(Q:Q,MATCH(Table1[[#This Row],[Item Purchased]],D:D))</f>
        <v>Cash</v>
      </c>
      <c r="T790">
        <f>SUMIF(J:J,Table1[[#This Row],[Season]],F:F)</f>
        <v>55777</v>
      </c>
    </row>
    <row r="791" spans="1:20" x14ac:dyDescent="0.3">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c r="S791" t="str">
        <f>INDEX(Q:Q,MATCH(Table1[[#This Row],[Item Purchased]],D:D))</f>
        <v>Cash</v>
      </c>
      <c r="T791">
        <f>SUMIF(J:J,Table1[[#This Row],[Season]],F:F)</f>
        <v>60018</v>
      </c>
    </row>
    <row r="792" spans="1:20" x14ac:dyDescent="0.3">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c r="S792" t="str">
        <f>INDEX(Q:Q,MATCH(Table1[[#This Row],[Item Purchased]],D:D))</f>
        <v>Venmo</v>
      </c>
      <c r="T792">
        <f>SUMIF(J:J,Table1[[#This Row],[Season]],F:F)</f>
        <v>55777</v>
      </c>
    </row>
    <row r="793" spans="1:20" x14ac:dyDescent="0.3">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c r="S793" t="str">
        <f>INDEX(Q:Q,MATCH(Table1[[#This Row],[Item Purchased]],D:D))</f>
        <v>Bank Transfer</v>
      </c>
      <c r="T793">
        <f>SUMIF(J:J,Table1[[#This Row],[Season]],F:F)</f>
        <v>55777</v>
      </c>
    </row>
    <row r="794" spans="1:20" x14ac:dyDescent="0.3">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c r="S794" t="str">
        <f>INDEX(Q:Q,MATCH(Table1[[#This Row],[Item Purchased]],D:D))</f>
        <v>Venmo</v>
      </c>
      <c r="T794">
        <f>SUMIF(J:J,Table1[[#This Row],[Season]],F:F)</f>
        <v>58679</v>
      </c>
    </row>
    <row r="795" spans="1:20" x14ac:dyDescent="0.3">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c r="S795" t="str">
        <f>INDEX(Q:Q,MATCH(Table1[[#This Row],[Item Purchased]],D:D))</f>
        <v>Cash</v>
      </c>
      <c r="T795">
        <f>SUMIF(J:J,Table1[[#This Row],[Season]],F:F)</f>
        <v>55777</v>
      </c>
    </row>
    <row r="796" spans="1:20" x14ac:dyDescent="0.3">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c r="S796" t="e">
        <f>INDEX(Q:Q,MATCH(Table1[[#This Row],[Item Purchased]],D:D))</f>
        <v>#N/A</v>
      </c>
      <c r="T796">
        <f>SUMIF(J:J,Table1[[#This Row],[Season]],F:F)</f>
        <v>58607</v>
      </c>
    </row>
    <row r="797" spans="1:20" x14ac:dyDescent="0.3">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c r="S797" t="str">
        <f>INDEX(Q:Q,MATCH(Table1[[#This Row],[Item Purchased]],D:D))</f>
        <v>Bank Transfer</v>
      </c>
      <c r="T797">
        <f>SUMIF(J:J,Table1[[#This Row],[Season]],F:F)</f>
        <v>55777</v>
      </c>
    </row>
    <row r="798" spans="1:20" x14ac:dyDescent="0.3">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c r="S798" t="str">
        <f>INDEX(Q:Q,MATCH(Table1[[#This Row],[Item Purchased]],D:D))</f>
        <v>Venmo</v>
      </c>
      <c r="T798">
        <f>SUMIF(J:J,Table1[[#This Row],[Season]],F:F)</f>
        <v>60018</v>
      </c>
    </row>
    <row r="799" spans="1:20" x14ac:dyDescent="0.3">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c r="S799" t="str">
        <f>INDEX(Q:Q,MATCH(Table1[[#This Row],[Item Purchased]],D:D))</f>
        <v>Debit Card</v>
      </c>
      <c r="T799">
        <f>SUMIF(J:J,Table1[[#This Row],[Season]],F:F)</f>
        <v>60018</v>
      </c>
    </row>
    <row r="800" spans="1:20" x14ac:dyDescent="0.3">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c r="S800" t="str">
        <f>INDEX(Q:Q,MATCH(Table1[[#This Row],[Item Purchased]],D:D))</f>
        <v>Venmo</v>
      </c>
      <c r="T800">
        <f>SUMIF(J:J,Table1[[#This Row],[Season]],F:F)</f>
        <v>58679</v>
      </c>
    </row>
    <row r="801" spans="1:20" x14ac:dyDescent="0.3">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c r="S801" t="e">
        <f>INDEX(Q:Q,MATCH(Table1[[#This Row],[Item Purchased]],D:D))</f>
        <v>#N/A</v>
      </c>
      <c r="T801">
        <f>SUMIF(J:J,Table1[[#This Row],[Season]],F:F)</f>
        <v>55777</v>
      </c>
    </row>
    <row r="802" spans="1:20" x14ac:dyDescent="0.3">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c r="S802" t="str">
        <f>INDEX(Q:Q,MATCH(Table1[[#This Row],[Item Purchased]],D:D))</f>
        <v>Venmo</v>
      </c>
      <c r="T802">
        <f>SUMIF(J:J,Table1[[#This Row],[Season]],F:F)</f>
        <v>55777</v>
      </c>
    </row>
    <row r="803" spans="1:20" x14ac:dyDescent="0.3">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c r="S803" t="e">
        <f>INDEX(Q:Q,MATCH(Table1[[#This Row],[Item Purchased]],D:D))</f>
        <v>#N/A</v>
      </c>
      <c r="T803">
        <f>SUMIF(J:J,Table1[[#This Row],[Season]],F:F)</f>
        <v>60018</v>
      </c>
    </row>
    <row r="804" spans="1:20" x14ac:dyDescent="0.3">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c r="S804" t="str">
        <f>INDEX(Q:Q,MATCH(Table1[[#This Row],[Item Purchased]],D:D))</f>
        <v>Cash</v>
      </c>
      <c r="T804">
        <f>SUMIF(J:J,Table1[[#This Row],[Season]],F:F)</f>
        <v>58607</v>
      </c>
    </row>
    <row r="805" spans="1:20" x14ac:dyDescent="0.3">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c r="S805" t="str">
        <f>INDEX(Q:Q,MATCH(Table1[[#This Row],[Item Purchased]],D:D))</f>
        <v>PayPal</v>
      </c>
      <c r="T805">
        <f>SUMIF(J:J,Table1[[#This Row],[Season]],F:F)</f>
        <v>58607</v>
      </c>
    </row>
    <row r="806" spans="1:20" x14ac:dyDescent="0.3">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c r="S806" t="str">
        <f>INDEX(Q:Q,MATCH(Table1[[#This Row],[Item Purchased]],D:D))</f>
        <v>Venmo</v>
      </c>
      <c r="T806">
        <f>SUMIF(J:J,Table1[[#This Row],[Season]],F:F)</f>
        <v>55777</v>
      </c>
    </row>
    <row r="807" spans="1:20" x14ac:dyDescent="0.3">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c r="S807" t="str">
        <f>INDEX(Q:Q,MATCH(Table1[[#This Row],[Item Purchased]],D:D))</f>
        <v>Debit Card</v>
      </c>
      <c r="T807">
        <f>SUMIF(J:J,Table1[[#This Row],[Season]],F:F)</f>
        <v>55777</v>
      </c>
    </row>
    <row r="808" spans="1:20" x14ac:dyDescent="0.3">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c r="S808" t="str">
        <f>INDEX(Q:Q,MATCH(Table1[[#This Row],[Item Purchased]],D:D))</f>
        <v>Cash</v>
      </c>
      <c r="T808">
        <f>SUMIF(J:J,Table1[[#This Row],[Season]],F:F)</f>
        <v>55777</v>
      </c>
    </row>
    <row r="809" spans="1:20" x14ac:dyDescent="0.3">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c r="S809" t="str">
        <f>INDEX(Q:Q,MATCH(Table1[[#This Row],[Item Purchased]],D:D))</f>
        <v>Venmo</v>
      </c>
      <c r="T809">
        <f>SUMIF(J:J,Table1[[#This Row],[Season]],F:F)</f>
        <v>58607</v>
      </c>
    </row>
    <row r="810" spans="1:20" x14ac:dyDescent="0.3">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c r="S810" t="str">
        <f>INDEX(Q:Q,MATCH(Table1[[#This Row],[Item Purchased]],D:D))</f>
        <v>PayPal</v>
      </c>
      <c r="T810">
        <f>SUMIF(J:J,Table1[[#This Row],[Season]],F:F)</f>
        <v>60018</v>
      </c>
    </row>
    <row r="811" spans="1:20" x14ac:dyDescent="0.3">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c r="S811" t="str">
        <f>INDEX(Q:Q,MATCH(Table1[[#This Row],[Item Purchased]],D:D))</f>
        <v>Venmo</v>
      </c>
      <c r="T811">
        <f>SUMIF(J:J,Table1[[#This Row],[Season]],F:F)</f>
        <v>60018</v>
      </c>
    </row>
    <row r="812" spans="1:20" x14ac:dyDescent="0.3">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c r="S812" t="str">
        <f>INDEX(Q:Q,MATCH(Table1[[#This Row],[Item Purchased]],D:D))</f>
        <v>Bank Transfer</v>
      </c>
      <c r="T812">
        <f>SUMIF(J:J,Table1[[#This Row],[Season]],F:F)</f>
        <v>60018</v>
      </c>
    </row>
    <row r="813" spans="1:20" x14ac:dyDescent="0.3">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c r="S813" t="str">
        <f>INDEX(Q:Q,MATCH(Table1[[#This Row],[Item Purchased]],D:D))</f>
        <v>Venmo</v>
      </c>
      <c r="T813">
        <f>SUMIF(J:J,Table1[[#This Row],[Season]],F:F)</f>
        <v>58607</v>
      </c>
    </row>
    <row r="814" spans="1:20" x14ac:dyDescent="0.3">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c r="S814" t="str">
        <f>INDEX(Q:Q,MATCH(Table1[[#This Row],[Item Purchased]],D:D))</f>
        <v>Venmo</v>
      </c>
      <c r="T814">
        <f>SUMIF(J:J,Table1[[#This Row],[Season]],F:F)</f>
        <v>55777</v>
      </c>
    </row>
    <row r="815" spans="1:20" x14ac:dyDescent="0.3">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c r="S815" t="str">
        <f>INDEX(Q:Q,MATCH(Table1[[#This Row],[Item Purchased]],D:D))</f>
        <v>Cash</v>
      </c>
      <c r="T815">
        <f>SUMIF(J:J,Table1[[#This Row],[Season]],F:F)</f>
        <v>55777</v>
      </c>
    </row>
    <row r="816" spans="1:20" x14ac:dyDescent="0.3">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c r="S816" t="str">
        <f>INDEX(Q:Q,MATCH(Table1[[#This Row],[Item Purchased]],D:D))</f>
        <v>Bank Transfer</v>
      </c>
      <c r="T816">
        <f>SUMIF(J:J,Table1[[#This Row],[Season]],F:F)</f>
        <v>58607</v>
      </c>
    </row>
    <row r="817" spans="1:20" x14ac:dyDescent="0.3">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c r="S817" t="str">
        <f>INDEX(Q:Q,MATCH(Table1[[#This Row],[Item Purchased]],D:D))</f>
        <v>Venmo</v>
      </c>
      <c r="T817">
        <f>SUMIF(J:J,Table1[[#This Row],[Season]],F:F)</f>
        <v>58679</v>
      </c>
    </row>
    <row r="818" spans="1:20" x14ac:dyDescent="0.3">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c r="S818" t="str">
        <f>INDEX(Q:Q,MATCH(Table1[[#This Row],[Item Purchased]],D:D))</f>
        <v>Venmo</v>
      </c>
      <c r="T818">
        <f>SUMIF(J:J,Table1[[#This Row],[Season]],F:F)</f>
        <v>55777</v>
      </c>
    </row>
    <row r="819" spans="1:20" x14ac:dyDescent="0.3">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c r="S819" t="str">
        <f>INDEX(Q:Q,MATCH(Table1[[#This Row],[Item Purchased]],D:D))</f>
        <v>Cash</v>
      </c>
      <c r="T819">
        <f>SUMIF(J:J,Table1[[#This Row],[Season]],F:F)</f>
        <v>58679</v>
      </c>
    </row>
    <row r="820" spans="1:20" x14ac:dyDescent="0.3">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c r="S820" t="str">
        <f>INDEX(Q:Q,MATCH(Table1[[#This Row],[Item Purchased]],D:D))</f>
        <v>Bank Transfer</v>
      </c>
      <c r="T820">
        <f>SUMIF(J:J,Table1[[#This Row],[Season]],F:F)</f>
        <v>58607</v>
      </c>
    </row>
    <row r="821" spans="1:20" x14ac:dyDescent="0.3">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c r="S821" t="str">
        <f>INDEX(Q:Q,MATCH(Table1[[#This Row],[Item Purchased]],D:D))</f>
        <v>Venmo</v>
      </c>
      <c r="T821">
        <f>SUMIF(J:J,Table1[[#This Row],[Season]],F:F)</f>
        <v>58607</v>
      </c>
    </row>
    <row r="822" spans="1:20" x14ac:dyDescent="0.3">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c r="S822" t="str">
        <f>INDEX(Q:Q,MATCH(Table1[[#This Row],[Item Purchased]],D:D))</f>
        <v>Venmo</v>
      </c>
      <c r="T822">
        <f>SUMIF(J:J,Table1[[#This Row],[Season]],F:F)</f>
        <v>58679</v>
      </c>
    </row>
    <row r="823" spans="1:20" x14ac:dyDescent="0.3">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c r="S823" t="str">
        <f>INDEX(Q:Q,MATCH(Table1[[#This Row],[Item Purchased]],D:D))</f>
        <v>Venmo</v>
      </c>
      <c r="T823">
        <f>SUMIF(J:J,Table1[[#This Row],[Season]],F:F)</f>
        <v>58679</v>
      </c>
    </row>
    <row r="824" spans="1:20" x14ac:dyDescent="0.3">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c r="S824" t="str">
        <f>INDEX(Q:Q,MATCH(Table1[[#This Row],[Item Purchased]],D:D))</f>
        <v>Bank Transfer</v>
      </c>
      <c r="T824">
        <f>SUMIF(J:J,Table1[[#This Row],[Season]],F:F)</f>
        <v>58607</v>
      </c>
    </row>
    <row r="825" spans="1:20" x14ac:dyDescent="0.3">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c r="S825" t="str">
        <f>INDEX(Q:Q,MATCH(Table1[[#This Row],[Item Purchased]],D:D))</f>
        <v>Venmo</v>
      </c>
      <c r="T825">
        <f>SUMIF(J:J,Table1[[#This Row],[Season]],F:F)</f>
        <v>58607</v>
      </c>
    </row>
    <row r="826" spans="1:20" x14ac:dyDescent="0.3">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c r="S826" t="str">
        <f>INDEX(Q:Q,MATCH(Table1[[#This Row],[Item Purchased]],D:D))</f>
        <v>Venmo</v>
      </c>
      <c r="T826">
        <f>SUMIF(J:J,Table1[[#This Row],[Season]],F:F)</f>
        <v>58679</v>
      </c>
    </row>
    <row r="827" spans="1:20" x14ac:dyDescent="0.3">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c r="S827" t="e">
        <f>INDEX(Q:Q,MATCH(Table1[[#This Row],[Item Purchased]],D:D))</f>
        <v>#N/A</v>
      </c>
      <c r="T827">
        <f>SUMIF(J:J,Table1[[#This Row],[Season]],F:F)</f>
        <v>60018</v>
      </c>
    </row>
    <row r="828" spans="1:20" x14ac:dyDescent="0.3">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c r="S828" t="str">
        <f>INDEX(Q:Q,MATCH(Table1[[#This Row],[Item Purchased]],D:D))</f>
        <v>Debit Card</v>
      </c>
      <c r="T828">
        <f>SUMIF(J:J,Table1[[#This Row],[Season]],F:F)</f>
        <v>58607</v>
      </c>
    </row>
    <row r="829" spans="1:20" x14ac:dyDescent="0.3">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c r="S829" t="str">
        <f>INDEX(Q:Q,MATCH(Table1[[#This Row],[Item Purchased]],D:D))</f>
        <v>PayPal</v>
      </c>
      <c r="T829">
        <f>SUMIF(J:J,Table1[[#This Row],[Season]],F:F)</f>
        <v>60018</v>
      </c>
    </row>
    <row r="830" spans="1:20" x14ac:dyDescent="0.3">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c r="S830" t="str">
        <f>INDEX(Q:Q,MATCH(Table1[[#This Row],[Item Purchased]],D:D))</f>
        <v>Venmo</v>
      </c>
      <c r="T830">
        <f>SUMIF(J:J,Table1[[#This Row],[Season]],F:F)</f>
        <v>60018</v>
      </c>
    </row>
    <row r="831" spans="1:20" x14ac:dyDescent="0.3">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c r="S831" t="str">
        <f>INDEX(Q:Q,MATCH(Table1[[#This Row],[Item Purchased]],D:D))</f>
        <v>Venmo</v>
      </c>
      <c r="T831">
        <f>SUMIF(J:J,Table1[[#This Row],[Season]],F:F)</f>
        <v>58679</v>
      </c>
    </row>
    <row r="832" spans="1:20" x14ac:dyDescent="0.3">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c r="S832" t="str">
        <f>INDEX(Q:Q,MATCH(Table1[[#This Row],[Item Purchased]],D:D))</f>
        <v>PayPal</v>
      </c>
      <c r="T832">
        <f>SUMIF(J:J,Table1[[#This Row],[Season]],F:F)</f>
        <v>60018</v>
      </c>
    </row>
    <row r="833" spans="1:20" x14ac:dyDescent="0.3">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c r="S833" t="str">
        <f>INDEX(Q:Q,MATCH(Table1[[#This Row],[Item Purchased]],D:D))</f>
        <v>Debit Card</v>
      </c>
      <c r="T833">
        <f>SUMIF(J:J,Table1[[#This Row],[Season]],F:F)</f>
        <v>55777</v>
      </c>
    </row>
    <row r="834" spans="1:20" x14ac:dyDescent="0.3">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c r="S834" t="str">
        <f>INDEX(Q:Q,MATCH(Table1[[#This Row],[Item Purchased]],D:D))</f>
        <v>Debit Card</v>
      </c>
      <c r="T834">
        <f>SUMIF(J:J,Table1[[#This Row],[Season]],F:F)</f>
        <v>60018</v>
      </c>
    </row>
    <row r="835" spans="1:20" x14ac:dyDescent="0.3">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c r="S835" t="str">
        <f>INDEX(Q:Q,MATCH(Table1[[#This Row],[Item Purchased]],D:D))</f>
        <v>Cash</v>
      </c>
      <c r="T835">
        <f>SUMIF(J:J,Table1[[#This Row],[Season]],F:F)</f>
        <v>60018</v>
      </c>
    </row>
    <row r="836" spans="1:20" x14ac:dyDescent="0.3">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c r="S836" t="e">
        <f>INDEX(Q:Q,MATCH(Table1[[#This Row],[Item Purchased]],D:D))</f>
        <v>#N/A</v>
      </c>
      <c r="T836">
        <f>SUMIF(J:J,Table1[[#This Row],[Season]],F:F)</f>
        <v>55777</v>
      </c>
    </row>
    <row r="837" spans="1:20" x14ac:dyDescent="0.3">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c r="S837" t="str">
        <f>INDEX(Q:Q,MATCH(Table1[[#This Row],[Item Purchased]],D:D))</f>
        <v>Venmo</v>
      </c>
      <c r="T837">
        <f>SUMIF(J:J,Table1[[#This Row],[Season]],F:F)</f>
        <v>55777</v>
      </c>
    </row>
    <row r="838" spans="1:20" x14ac:dyDescent="0.3">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c r="S838" t="str">
        <f>INDEX(Q:Q,MATCH(Table1[[#This Row],[Item Purchased]],D:D))</f>
        <v>Debit Card</v>
      </c>
      <c r="T838">
        <f>SUMIF(J:J,Table1[[#This Row],[Season]],F:F)</f>
        <v>58607</v>
      </c>
    </row>
    <row r="839" spans="1:20" x14ac:dyDescent="0.3">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c r="S839" t="str">
        <f>INDEX(Q:Q,MATCH(Table1[[#This Row],[Item Purchased]],D:D))</f>
        <v>Venmo</v>
      </c>
      <c r="T839">
        <f>SUMIF(J:J,Table1[[#This Row],[Season]],F:F)</f>
        <v>58679</v>
      </c>
    </row>
    <row r="840" spans="1:20" x14ac:dyDescent="0.3">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c r="S840" t="str">
        <f>INDEX(Q:Q,MATCH(Table1[[#This Row],[Item Purchased]],D:D))</f>
        <v>Debit Card</v>
      </c>
      <c r="T840">
        <f>SUMIF(J:J,Table1[[#This Row],[Season]],F:F)</f>
        <v>58679</v>
      </c>
    </row>
    <row r="841" spans="1:20" x14ac:dyDescent="0.3">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c r="S841" t="str">
        <f>INDEX(Q:Q,MATCH(Table1[[#This Row],[Item Purchased]],D:D))</f>
        <v>Bank Transfer</v>
      </c>
      <c r="T841">
        <f>SUMIF(J:J,Table1[[#This Row],[Season]],F:F)</f>
        <v>58679</v>
      </c>
    </row>
    <row r="842" spans="1:20" x14ac:dyDescent="0.3">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c r="S842" t="str">
        <f>INDEX(Q:Q,MATCH(Table1[[#This Row],[Item Purchased]],D:D))</f>
        <v>Bank Transfer</v>
      </c>
      <c r="T842">
        <f>SUMIF(J:J,Table1[[#This Row],[Season]],F:F)</f>
        <v>55777</v>
      </c>
    </row>
    <row r="843" spans="1:20" x14ac:dyDescent="0.3">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c r="S843" t="str">
        <f>INDEX(Q:Q,MATCH(Table1[[#This Row],[Item Purchased]],D:D))</f>
        <v>Venmo</v>
      </c>
      <c r="T843">
        <f>SUMIF(J:J,Table1[[#This Row],[Season]],F:F)</f>
        <v>55777</v>
      </c>
    </row>
    <row r="844" spans="1:20" x14ac:dyDescent="0.3">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c r="S844" t="str">
        <f>INDEX(Q:Q,MATCH(Table1[[#This Row],[Item Purchased]],D:D))</f>
        <v>Bank Transfer</v>
      </c>
      <c r="T844">
        <f>SUMIF(J:J,Table1[[#This Row],[Season]],F:F)</f>
        <v>58679</v>
      </c>
    </row>
    <row r="845" spans="1:20" x14ac:dyDescent="0.3">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c r="S845" t="str">
        <f>INDEX(Q:Q,MATCH(Table1[[#This Row],[Item Purchased]],D:D))</f>
        <v>Venmo</v>
      </c>
      <c r="T845">
        <f>SUMIF(J:J,Table1[[#This Row],[Season]],F:F)</f>
        <v>55777</v>
      </c>
    </row>
    <row r="846" spans="1:20" x14ac:dyDescent="0.3">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c r="S846" t="str">
        <f>INDEX(Q:Q,MATCH(Table1[[#This Row],[Item Purchased]],D:D))</f>
        <v>Bank Transfer</v>
      </c>
      <c r="T846">
        <f>SUMIF(J:J,Table1[[#This Row],[Season]],F:F)</f>
        <v>58607</v>
      </c>
    </row>
    <row r="847" spans="1:20" x14ac:dyDescent="0.3">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c r="S847" t="e">
        <f>INDEX(Q:Q,MATCH(Table1[[#This Row],[Item Purchased]],D:D))</f>
        <v>#N/A</v>
      </c>
      <c r="T847">
        <f>SUMIF(J:J,Table1[[#This Row],[Season]],F:F)</f>
        <v>58607</v>
      </c>
    </row>
    <row r="848" spans="1:20" x14ac:dyDescent="0.3">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c r="S848" t="str">
        <f>INDEX(Q:Q,MATCH(Table1[[#This Row],[Item Purchased]],D:D))</f>
        <v>Venmo</v>
      </c>
      <c r="T848">
        <f>SUMIF(J:J,Table1[[#This Row],[Season]],F:F)</f>
        <v>58679</v>
      </c>
    </row>
    <row r="849" spans="1:20" x14ac:dyDescent="0.3">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c r="S849" t="str">
        <f>INDEX(Q:Q,MATCH(Table1[[#This Row],[Item Purchased]],D:D))</f>
        <v>Venmo</v>
      </c>
      <c r="T849">
        <f>SUMIF(J:J,Table1[[#This Row],[Season]],F:F)</f>
        <v>60018</v>
      </c>
    </row>
    <row r="850" spans="1:20" x14ac:dyDescent="0.3">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c r="S850" t="str">
        <f>INDEX(Q:Q,MATCH(Table1[[#This Row],[Item Purchased]],D:D))</f>
        <v>Bank Transfer</v>
      </c>
      <c r="T850">
        <f>SUMIF(J:J,Table1[[#This Row],[Season]],F:F)</f>
        <v>60018</v>
      </c>
    </row>
    <row r="851" spans="1:20" x14ac:dyDescent="0.3">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c r="S851" t="str">
        <f>INDEX(Q:Q,MATCH(Table1[[#This Row],[Item Purchased]],D:D))</f>
        <v>Cash</v>
      </c>
      <c r="T851">
        <f>SUMIF(J:J,Table1[[#This Row],[Season]],F:F)</f>
        <v>58679</v>
      </c>
    </row>
    <row r="852" spans="1:20" x14ac:dyDescent="0.3">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c r="S852" t="str">
        <f>INDEX(Q:Q,MATCH(Table1[[#This Row],[Item Purchased]],D:D))</f>
        <v>PayPal</v>
      </c>
      <c r="T852">
        <f>SUMIF(J:J,Table1[[#This Row],[Season]],F:F)</f>
        <v>58607</v>
      </c>
    </row>
    <row r="853" spans="1:20" x14ac:dyDescent="0.3">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c r="S853" t="str">
        <f>INDEX(Q:Q,MATCH(Table1[[#This Row],[Item Purchased]],D:D))</f>
        <v>Bank Transfer</v>
      </c>
      <c r="T853">
        <f>SUMIF(J:J,Table1[[#This Row],[Season]],F:F)</f>
        <v>55777</v>
      </c>
    </row>
    <row r="854" spans="1:20" x14ac:dyDescent="0.3">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c r="S854" t="str">
        <f>INDEX(Q:Q,MATCH(Table1[[#This Row],[Item Purchased]],D:D))</f>
        <v>Debit Card</v>
      </c>
      <c r="T854">
        <f>SUMIF(J:J,Table1[[#This Row],[Season]],F:F)</f>
        <v>58679</v>
      </c>
    </row>
    <row r="855" spans="1:20" x14ac:dyDescent="0.3">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c r="S855" t="str">
        <f>INDEX(Q:Q,MATCH(Table1[[#This Row],[Item Purchased]],D:D))</f>
        <v>Venmo</v>
      </c>
      <c r="T855">
        <f>SUMIF(J:J,Table1[[#This Row],[Season]],F:F)</f>
        <v>58607</v>
      </c>
    </row>
    <row r="856" spans="1:20" x14ac:dyDescent="0.3">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c r="S856" t="str">
        <f>INDEX(Q:Q,MATCH(Table1[[#This Row],[Item Purchased]],D:D))</f>
        <v>Cash</v>
      </c>
      <c r="T856">
        <f>SUMIF(J:J,Table1[[#This Row],[Season]],F:F)</f>
        <v>58679</v>
      </c>
    </row>
    <row r="857" spans="1:20" x14ac:dyDescent="0.3">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c r="S857" t="str">
        <f>INDEX(Q:Q,MATCH(Table1[[#This Row],[Item Purchased]],D:D))</f>
        <v>Venmo</v>
      </c>
      <c r="T857">
        <f>SUMIF(J:J,Table1[[#This Row],[Season]],F:F)</f>
        <v>58679</v>
      </c>
    </row>
    <row r="858" spans="1:20" x14ac:dyDescent="0.3">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c r="S858" t="str">
        <f>INDEX(Q:Q,MATCH(Table1[[#This Row],[Item Purchased]],D:D))</f>
        <v>Bank Transfer</v>
      </c>
      <c r="T858">
        <f>SUMIF(J:J,Table1[[#This Row],[Season]],F:F)</f>
        <v>55777</v>
      </c>
    </row>
    <row r="859" spans="1:20" x14ac:dyDescent="0.3">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c r="S859" t="str">
        <f>INDEX(Q:Q,MATCH(Table1[[#This Row],[Item Purchased]],D:D))</f>
        <v>PayPal</v>
      </c>
      <c r="T859">
        <f>SUMIF(J:J,Table1[[#This Row],[Season]],F:F)</f>
        <v>60018</v>
      </c>
    </row>
    <row r="860" spans="1:20" x14ac:dyDescent="0.3">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c r="S860" t="str">
        <f>INDEX(Q:Q,MATCH(Table1[[#This Row],[Item Purchased]],D:D))</f>
        <v>Debit Card</v>
      </c>
      <c r="T860">
        <f>SUMIF(J:J,Table1[[#This Row],[Season]],F:F)</f>
        <v>60018</v>
      </c>
    </row>
    <row r="861" spans="1:20" x14ac:dyDescent="0.3">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c r="S861" t="str">
        <f>INDEX(Q:Q,MATCH(Table1[[#This Row],[Item Purchased]],D:D))</f>
        <v>Venmo</v>
      </c>
      <c r="T861">
        <f>SUMIF(J:J,Table1[[#This Row],[Season]],F:F)</f>
        <v>58607</v>
      </c>
    </row>
    <row r="862" spans="1:20" x14ac:dyDescent="0.3">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c r="S862" t="str">
        <f>INDEX(Q:Q,MATCH(Table1[[#This Row],[Item Purchased]],D:D))</f>
        <v>PayPal</v>
      </c>
      <c r="T862">
        <f>SUMIF(J:J,Table1[[#This Row],[Season]],F:F)</f>
        <v>58679</v>
      </c>
    </row>
    <row r="863" spans="1:20" x14ac:dyDescent="0.3">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c r="S863" t="str">
        <f>INDEX(Q:Q,MATCH(Table1[[#This Row],[Item Purchased]],D:D))</f>
        <v>Credit Card</v>
      </c>
      <c r="T863">
        <f>SUMIF(J:J,Table1[[#This Row],[Season]],F:F)</f>
        <v>58679</v>
      </c>
    </row>
    <row r="864" spans="1:20" x14ac:dyDescent="0.3">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c r="S864" t="str">
        <f>INDEX(Q:Q,MATCH(Table1[[#This Row],[Item Purchased]],D:D))</f>
        <v>Debit Card</v>
      </c>
      <c r="T864">
        <f>SUMIF(J:J,Table1[[#This Row],[Season]],F:F)</f>
        <v>58607</v>
      </c>
    </row>
    <row r="865" spans="1:20" x14ac:dyDescent="0.3">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c r="S865" t="str">
        <f>INDEX(Q:Q,MATCH(Table1[[#This Row],[Item Purchased]],D:D))</f>
        <v>Venmo</v>
      </c>
      <c r="T865">
        <f>SUMIF(J:J,Table1[[#This Row],[Season]],F:F)</f>
        <v>55777</v>
      </c>
    </row>
    <row r="866" spans="1:20" x14ac:dyDescent="0.3">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c r="S866" t="str">
        <f>INDEX(Q:Q,MATCH(Table1[[#This Row],[Item Purchased]],D:D))</f>
        <v>Cash</v>
      </c>
      <c r="T866">
        <f>SUMIF(J:J,Table1[[#This Row],[Season]],F:F)</f>
        <v>58607</v>
      </c>
    </row>
    <row r="867" spans="1:20" x14ac:dyDescent="0.3">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c r="S867" t="str">
        <f>INDEX(Q:Q,MATCH(Table1[[#This Row],[Item Purchased]],D:D))</f>
        <v>Venmo</v>
      </c>
      <c r="T867">
        <f>SUMIF(J:J,Table1[[#This Row],[Season]],F:F)</f>
        <v>58607</v>
      </c>
    </row>
    <row r="868" spans="1:20" x14ac:dyDescent="0.3">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c r="S868" t="str">
        <f>INDEX(Q:Q,MATCH(Table1[[#This Row],[Item Purchased]],D:D))</f>
        <v>Venmo</v>
      </c>
      <c r="T868">
        <f>SUMIF(J:J,Table1[[#This Row],[Season]],F:F)</f>
        <v>55777</v>
      </c>
    </row>
    <row r="869" spans="1:20" x14ac:dyDescent="0.3">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c r="S869" t="str">
        <f>INDEX(Q:Q,MATCH(Table1[[#This Row],[Item Purchased]],D:D))</f>
        <v>Debit Card</v>
      </c>
      <c r="T869">
        <f>SUMIF(J:J,Table1[[#This Row],[Season]],F:F)</f>
        <v>58679</v>
      </c>
    </row>
    <row r="870" spans="1:20" x14ac:dyDescent="0.3">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c r="S870" t="str">
        <f>INDEX(Q:Q,MATCH(Table1[[#This Row],[Item Purchased]],D:D))</f>
        <v>Debit Card</v>
      </c>
      <c r="T870">
        <f>SUMIF(J:J,Table1[[#This Row],[Season]],F:F)</f>
        <v>55777</v>
      </c>
    </row>
    <row r="871" spans="1:20" x14ac:dyDescent="0.3">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c r="S871" t="str">
        <f>INDEX(Q:Q,MATCH(Table1[[#This Row],[Item Purchased]],D:D))</f>
        <v>Venmo</v>
      </c>
      <c r="T871">
        <f>SUMIF(J:J,Table1[[#This Row],[Season]],F:F)</f>
        <v>58679</v>
      </c>
    </row>
    <row r="872" spans="1:20" x14ac:dyDescent="0.3">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c r="S872" t="str">
        <f>INDEX(Q:Q,MATCH(Table1[[#This Row],[Item Purchased]],D:D))</f>
        <v>Venmo</v>
      </c>
      <c r="T872">
        <f>SUMIF(J:J,Table1[[#This Row],[Season]],F:F)</f>
        <v>60018</v>
      </c>
    </row>
    <row r="873" spans="1:20" x14ac:dyDescent="0.3">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c r="S873" t="str">
        <f>INDEX(Q:Q,MATCH(Table1[[#This Row],[Item Purchased]],D:D))</f>
        <v>Cash</v>
      </c>
      <c r="T873">
        <f>SUMIF(J:J,Table1[[#This Row],[Season]],F:F)</f>
        <v>58679</v>
      </c>
    </row>
    <row r="874" spans="1:20" x14ac:dyDescent="0.3">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c r="S874" t="str">
        <f>INDEX(Q:Q,MATCH(Table1[[#This Row],[Item Purchased]],D:D))</f>
        <v>Cash</v>
      </c>
      <c r="T874">
        <f>SUMIF(J:J,Table1[[#This Row],[Season]],F:F)</f>
        <v>58679</v>
      </c>
    </row>
    <row r="875" spans="1:20" x14ac:dyDescent="0.3">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c r="S875" t="str">
        <f>INDEX(Q:Q,MATCH(Table1[[#This Row],[Item Purchased]],D:D))</f>
        <v>Venmo</v>
      </c>
      <c r="T875">
        <f>SUMIF(J:J,Table1[[#This Row],[Season]],F:F)</f>
        <v>55777</v>
      </c>
    </row>
    <row r="876" spans="1:20" x14ac:dyDescent="0.3">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c r="S876" t="str">
        <f>INDEX(Q:Q,MATCH(Table1[[#This Row],[Item Purchased]],D:D))</f>
        <v>Debit Card</v>
      </c>
      <c r="T876">
        <f>SUMIF(J:J,Table1[[#This Row],[Season]],F:F)</f>
        <v>60018</v>
      </c>
    </row>
    <row r="877" spans="1:20" x14ac:dyDescent="0.3">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c r="S877" t="str">
        <f>INDEX(Q:Q,MATCH(Table1[[#This Row],[Item Purchased]],D:D))</f>
        <v>Bank Transfer</v>
      </c>
      <c r="T877">
        <f>SUMIF(J:J,Table1[[#This Row],[Season]],F:F)</f>
        <v>55777</v>
      </c>
    </row>
    <row r="878" spans="1:20" x14ac:dyDescent="0.3">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c r="S878" t="e">
        <f>INDEX(Q:Q,MATCH(Table1[[#This Row],[Item Purchased]],D:D))</f>
        <v>#N/A</v>
      </c>
      <c r="T878">
        <f>SUMIF(J:J,Table1[[#This Row],[Season]],F:F)</f>
        <v>55777</v>
      </c>
    </row>
    <row r="879" spans="1:20" x14ac:dyDescent="0.3">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c r="S879" t="str">
        <f>INDEX(Q:Q,MATCH(Table1[[#This Row],[Item Purchased]],D:D))</f>
        <v>Cash</v>
      </c>
      <c r="T879">
        <f>SUMIF(J:J,Table1[[#This Row],[Season]],F:F)</f>
        <v>58607</v>
      </c>
    </row>
    <row r="880" spans="1:20" x14ac:dyDescent="0.3">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c r="S880" t="str">
        <f>INDEX(Q:Q,MATCH(Table1[[#This Row],[Item Purchased]],D:D))</f>
        <v>Venmo</v>
      </c>
      <c r="T880">
        <f>SUMIF(J:J,Table1[[#This Row],[Season]],F:F)</f>
        <v>55777</v>
      </c>
    </row>
    <row r="881" spans="1:20" x14ac:dyDescent="0.3">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c r="S881" t="str">
        <f>INDEX(Q:Q,MATCH(Table1[[#This Row],[Item Purchased]],D:D))</f>
        <v>Credit Card</v>
      </c>
      <c r="T881">
        <f>SUMIF(J:J,Table1[[#This Row],[Season]],F:F)</f>
        <v>58679</v>
      </c>
    </row>
    <row r="882" spans="1:20" x14ac:dyDescent="0.3">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c r="S882" t="e">
        <f>INDEX(Q:Q,MATCH(Table1[[#This Row],[Item Purchased]],D:D))</f>
        <v>#N/A</v>
      </c>
      <c r="T882">
        <f>SUMIF(J:J,Table1[[#This Row],[Season]],F:F)</f>
        <v>58679</v>
      </c>
    </row>
    <row r="883" spans="1:20" x14ac:dyDescent="0.3">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c r="S883" t="str">
        <f>INDEX(Q:Q,MATCH(Table1[[#This Row],[Item Purchased]],D:D))</f>
        <v>Bank Transfer</v>
      </c>
      <c r="T883">
        <f>SUMIF(J:J,Table1[[#This Row],[Season]],F:F)</f>
        <v>55777</v>
      </c>
    </row>
    <row r="884" spans="1:20" x14ac:dyDescent="0.3">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c r="S884" t="str">
        <f>INDEX(Q:Q,MATCH(Table1[[#This Row],[Item Purchased]],D:D))</f>
        <v>Venmo</v>
      </c>
      <c r="T884">
        <f>SUMIF(J:J,Table1[[#This Row],[Season]],F:F)</f>
        <v>60018</v>
      </c>
    </row>
    <row r="885" spans="1:20" x14ac:dyDescent="0.3">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c r="S885" t="str">
        <f>INDEX(Q:Q,MATCH(Table1[[#This Row],[Item Purchased]],D:D))</f>
        <v>Venmo</v>
      </c>
      <c r="T885">
        <f>SUMIF(J:J,Table1[[#This Row],[Season]],F:F)</f>
        <v>60018</v>
      </c>
    </row>
    <row r="886" spans="1:20" x14ac:dyDescent="0.3">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c r="S886" t="str">
        <f>INDEX(Q:Q,MATCH(Table1[[#This Row],[Item Purchased]],D:D))</f>
        <v>Credit Card</v>
      </c>
      <c r="T886">
        <f>SUMIF(J:J,Table1[[#This Row],[Season]],F:F)</f>
        <v>58607</v>
      </c>
    </row>
    <row r="887" spans="1:20" x14ac:dyDescent="0.3">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c r="S887" t="str">
        <f>INDEX(Q:Q,MATCH(Table1[[#This Row],[Item Purchased]],D:D))</f>
        <v>Debit Card</v>
      </c>
      <c r="T887">
        <f>SUMIF(J:J,Table1[[#This Row],[Season]],F:F)</f>
        <v>60018</v>
      </c>
    </row>
    <row r="888" spans="1:20" x14ac:dyDescent="0.3">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c r="S888" t="str">
        <f>INDEX(Q:Q,MATCH(Table1[[#This Row],[Item Purchased]],D:D))</f>
        <v>PayPal</v>
      </c>
      <c r="T888">
        <f>SUMIF(J:J,Table1[[#This Row],[Season]],F:F)</f>
        <v>55777</v>
      </c>
    </row>
    <row r="889" spans="1:20" x14ac:dyDescent="0.3">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c r="S889" t="str">
        <f>INDEX(Q:Q,MATCH(Table1[[#This Row],[Item Purchased]],D:D))</f>
        <v>Cash</v>
      </c>
      <c r="T889">
        <f>SUMIF(J:J,Table1[[#This Row],[Season]],F:F)</f>
        <v>58607</v>
      </c>
    </row>
    <row r="890" spans="1:20" x14ac:dyDescent="0.3">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c r="S890" t="str">
        <f>INDEX(Q:Q,MATCH(Table1[[#This Row],[Item Purchased]],D:D))</f>
        <v>Bank Transfer</v>
      </c>
      <c r="T890">
        <f>SUMIF(J:J,Table1[[#This Row],[Season]],F:F)</f>
        <v>58679</v>
      </c>
    </row>
    <row r="891" spans="1:20" x14ac:dyDescent="0.3">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c r="S891" t="e">
        <f>INDEX(Q:Q,MATCH(Table1[[#This Row],[Item Purchased]],D:D))</f>
        <v>#N/A</v>
      </c>
      <c r="T891">
        <f>SUMIF(J:J,Table1[[#This Row],[Season]],F:F)</f>
        <v>60018</v>
      </c>
    </row>
    <row r="892" spans="1:20" x14ac:dyDescent="0.3">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c r="S892" t="str">
        <f>INDEX(Q:Q,MATCH(Table1[[#This Row],[Item Purchased]],D:D))</f>
        <v>Debit Card</v>
      </c>
      <c r="T892">
        <f>SUMIF(J:J,Table1[[#This Row],[Season]],F:F)</f>
        <v>58679</v>
      </c>
    </row>
    <row r="893" spans="1:20" x14ac:dyDescent="0.3">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c r="S893" t="str">
        <f>INDEX(Q:Q,MATCH(Table1[[#This Row],[Item Purchased]],D:D))</f>
        <v>Credit Card</v>
      </c>
      <c r="T893">
        <f>SUMIF(J:J,Table1[[#This Row],[Season]],F:F)</f>
        <v>55777</v>
      </c>
    </row>
    <row r="894" spans="1:20" x14ac:dyDescent="0.3">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c r="S894" t="str">
        <f>INDEX(Q:Q,MATCH(Table1[[#This Row],[Item Purchased]],D:D))</f>
        <v>PayPal</v>
      </c>
      <c r="T894">
        <f>SUMIF(J:J,Table1[[#This Row],[Season]],F:F)</f>
        <v>55777</v>
      </c>
    </row>
    <row r="895" spans="1:20" x14ac:dyDescent="0.3">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c r="S895" t="e">
        <f>INDEX(Q:Q,MATCH(Table1[[#This Row],[Item Purchased]],D:D))</f>
        <v>#N/A</v>
      </c>
      <c r="T895">
        <f>SUMIF(J:J,Table1[[#This Row],[Season]],F:F)</f>
        <v>58679</v>
      </c>
    </row>
    <row r="896" spans="1:20" x14ac:dyDescent="0.3">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c r="S896" t="str">
        <f>INDEX(Q:Q,MATCH(Table1[[#This Row],[Item Purchased]],D:D))</f>
        <v>Venmo</v>
      </c>
      <c r="T896">
        <f>SUMIF(J:J,Table1[[#This Row],[Season]],F:F)</f>
        <v>58679</v>
      </c>
    </row>
    <row r="897" spans="1:20" x14ac:dyDescent="0.3">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c r="S897" t="str">
        <f>INDEX(Q:Q,MATCH(Table1[[#This Row],[Item Purchased]],D:D))</f>
        <v>Venmo</v>
      </c>
      <c r="T897">
        <f>SUMIF(J:J,Table1[[#This Row],[Season]],F:F)</f>
        <v>58679</v>
      </c>
    </row>
    <row r="898" spans="1:20" x14ac:dyDescent="0.3">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c r="S898" t="str">
        <f>INDEX(Q:Q,MATCH(Table1[[#This Row],[Item Purchased]],D:D))</f>
        <v>Cash</v>
      </c>
      <c r="T898">
        <f>SUMIF(J:J,Table1[[#This Row],[Season]],F:F)</f>
        <v>58679</v>
      </c>
    </row>
    <row r="899" spans="1:20" x14ac:dyDescent="0.3">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c r="S899" t="str">
        <f>INDEX(Q:Q,MATCH(Table1[[#This Row],[Item Purchased]],D:D))</f>
        <v>Bank Transfer</v>
      </c>
      <c r="T899">
        <f>SUMIF(J:J,Table1[[#This Row],[Season]],F:F)</f>
        <v>58679</v>
      </c>
    </row>
    <row r="900" spans="1:20" x14ac:dyDescent="0.3">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c r="S900" t="e">
        <f>INDEX(Q:Q,MATCH(Table1[[#This Row],[Item Purchased]],D:D))</f>
        <v>#N/A</v>
      </c>
      <c r="T900">
        <f>SUMIF(J:J,Table1[[#This Row],[Season]],F:F)</f>
        <v>58679</v>
      </c>
    </row>
    <row r="901" spans="1:20" x14ac:dyDescent="0.3">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c r="S901" t="str">
        <f>INDEX(Q:Q,MATCH(Table1[[#This Row],[Item Purchased]],D:D))</f>
        <v>Venmo</v>
      </c>
      <c r="T901">
        <f>SUMIF(J:J,Table1[[#This Row],[Season]],F:F)</f>
        <v>55777</v>
      </c>
    </row>
    <row r="902" spans="1:20" x14ac:dyDescent="0.3">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c r="S902" t="str">
        <f>INDEX(Q:Q,MATCH(Table1[[#This Row],[Item Purchased]],D:D))</f>
        <v>Venmo</v>
      </c>
      <c r="T902">
        <f>SUMIF(J:J,Table1[[#This Row],[Season]],F:F)</f>
        <v>60018</v>
      </c>
    </row>
    <row r="903" spans="1:20" x14ac:dyDescent="0.3">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c r="S903" t="str">
        <f>INDEX(Q:Q,MATCH(Table1[[#This Row],[Item Purchased]],D:D))</f>
        <v>Bank Transfer</v>
      </c>
      <c r="T903">
        <f>SUMIF(J:J,Table1[[#This Row],[Season]],F:F)</f>
        <v>55777</v>
      </c>
    </row>
    <row r="904" spans="1:20" x14ac:dyDescent="0.3">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c r="S904" t="str">
        <f>INDEX(Q:Q,MATCH(Table1[[#This Row],[Item Purchased]],D:D))</f>
        <v>Venmo</v>
      </c>
      <c r="T904">
        <f>SUMIF(J:J,Table1[[#This Row],[Season]],F:F)</f>
        <v>55777</v>
      </c>
    </row>
    <row r="905" spans="1:20" x14ac:dyDescent="0.3">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c r="S905" t="str">
        <f>INDEX(Q:Q,MATCH(Table1[[#This Row],[Item Purchased]],D:D))</f>
        <v>Debit Card</v>
      </c>
      <c r="T905">
        <f>SUMIF(J:J,Table1[[#This Row],[Season]],F:F)</f>
        <v>58607</v>
      </c>
    </row>
    <row r="906" spans="1:20" x14ac:dyDescent="0.3">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c r="S906" t="str">
        <f>INDEX(Q:Q,MATCH(Table1[[#This Row],[Item Purchased]],D:D))</f>
        <v>Venmo</v>
      </c>
      <c r="T906">
        <f>SUMIF(J:J,Table1[[#This Row],[Season]],F:F)</f>
        <v>58679</v>
      </c>
    </row>
    <row r="907" spans="1:20" x14ac:dyDescent="0.3">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c r="S907" t="str">
        <f>INDEX(Q:Q,MATCH(Table1[[#This Row],[Item Purchased]],D:D))</f>
        <v>Debit Card</v>
      </c>
      <c r="T907">
        <f>SUMIF(J:J,Table1[[#This Row],[Season]],F:F)</f>
        <v>58679</v>
      </c>
    </row>
    <row r="908" spans="1:20" x14ac:dyDescent="0.3">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c r="S908" t="str">
        <f>INDEX(Q:Q,MATCH(Table1[[#This Row],[Item Purchased]],D:D))</f>
        <v>Cash</v>
      </c>
      <c r="T908">
        <f>SUMIF(J:J,Table1[[#This Row],[Season]],F:F)</f>
        <v>58679</v>
      </c>
    </row>
    <row r="909" spans="1:20" x14ac:dyDescent="0.3">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c r="S909" t="str">
        <f>INDEX(Q:Q,MATCH(Table1[[#This Row],[Item Purchased]],D:D))</f>
        <v>Venmo</v>
      </c>
      <c r="T909">
        <f>SUMIF(J:J,Table1[[#This Row],[Season]],F:F)</f>
        <v>58607</v>
      </c>
    </row>
    <row r="910" spans="1:20" x14ac:dyDescent="0.3">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c r="S910" t="str">
        <f>INDEX(Q:Q,MATCH(Table1[[#This Row],[Item Purchased]],D:D))</f>
        <v>Venmo</v>
      </c>
      <c r="T910">
        <f>SUMIF(J:J,Table1[[#This Row],[Season]],F:F)</f>
        <v>58607</v>
      </c>
    </row>
    <row r="911" spans="1:20" x14ac:dyDescent="0.3">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c r="S911" t="e">
        <f>INDEX(Q:Q,MATCH(Table1[[#This Row],[Item Purchased]],D:D))</f>
        <v>#N/A</v>
      </c>
      <c r="T911">
        <f>SUMIF(J:J,Table1[[#This Row],[Season]],F:F)</f>
        <v>60018</v>
      </c>
    </row>
    <row r="912" spans="1:20" x14ac:dyDescent="0.3">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c r="S912" t="str">
        <f>INDEX(Q:Q,MATCH(Table1[[#This Row],[Item Purchased]],D:D))</f>
        <v>Venmo</v>
      </c>
      <c r="T912">
        <f>SUMIF(J:J,Table1[[#This Row],[Season]],F:F)</f>
        <v>58679</v>
      </c>
    </row>
    <row r="913" spans="1:20" x14ac:dyDescent="0.3">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c r="S913" t="str">
        <f>INDEX(Q:Q,MATCH(Table1[[#This Row],[Item Purchased]],D:D))</f>
        <v>Cash</v>
      </c>
      <c r="T913">
        <f>SUMIF(J:J,Table1[[#This Row],[Season]],F:F)</f>
        <v>58607</v>
      </c>
    </row>
    <row r="914" spans="1:20" x14ac:dyDescent="0.3">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c r="S914" t="str">
        <f>INDEX(Q:Q,MATCH(Table1[[#This Row],[Item Purchased]],D:D))</f>
        <v>Venmo</v>
      </c>
      <c r="T914">
        <f>SUMIF(J:J,Table1[[#This Row],[Season]],F:F)</f>
        <v>58607</v>
      </c>
    </row>
    <row r="915" spans="1:20" x14ac:dyDescent="0.3">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c r="S915" t="str">
        <f>INDEX(Q:Q,MATCH(Table1[[#This Row],[Item Purchased]],D:D))</f>
        <v>Venmo</v>
      </c>
      <c r="T915">
        <f>SUMIF(J:J,Table1[[#This Row],[Season]],F:F)</f>
        <v>60018</v>
      </c>
    </row>
    <row r="916" spans="1:20" x14ac:dyDescent="0.3">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c r="S916" t="str">
        <f>INDEX(Q:Q,MATCH(Table1[[#This Row],[Item Purchased]],D:D))</f>
        <v>Debit Card</v>
      </c>
      <c r="T916">
        <f>SUMIF(J:J,Table1[[#This Row],[Season]],F:F)</f>
        <v>55777</v>
      </c>
    </row>
    <row r="917" spans="1:20" x14ac:dyDescent="0.3">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c r="S917" t="str">
        <f>INDEX(Q:Q,MATCH(Table1[[#This Row],[Item Purchased]],D:D))</f>
        <v>Debit Card</v>
      </c>
      <c r="T917">
        <f>SUMIF(J:J,Table1[[#This Row],[Season]],F:F)</f>
        <v>58607</v>
      </c>
    </row>
    <row r="918" spans="1:20" x14ac:dyDescent="0.3">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c r="S918" t="str">
        <f>INDEX(Q:Q,MATCH(Table1[[#This Row],[Item Purchased]],D:D))</f>
        <v>Cash</v>
      </c>
      <c r="T918">
        <f>SUMIF(J:J,Table1[[#This Row],[Season]],F:F)</f>
        <v>58679</v>
      </c>
    </row>
    <row r="919" spans="1:20" x14ac:dyDescent="0.3">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c r="S919" t="str">
        <f>INDEX(Q:Q,MATCH(Table1[[#This Row],[Item Purchased]],D:D))</f>
        <v>Venmo</v>
      </c>
      <c r="T919">
        <f>SUMIF(J:J,Table1[[#This Row],[Season]],F:F)</f>
        <v>58679</v>
      </c>
    </row>
    <row r="920" spans="1:20" x14ac:dyDescent="0.3">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c r="S920" t="str">
        <f>INDEX(Q:Q,MATCH(Table1[[#This Row],[Item Purchased]],D:D))</f>
        <v>PayPal</v>
      </c>
      <c r="T920">
        <f>SUMIF(J:J,Table1[[#This Row],[Season]],F:F)</f>
        <v>58679</v>
      </c>
    </row>
    <row r="921" spans="1:20" x14ac:dyDescent="0.3">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c r="S921" t="str">
        <f>INDEX(Q:Q,MATCH(Table1[[#This Row],[Item Purchased]],D:D))</f>
        <v>Bank Transfer</v>
      </c>
      <c r="T921">
        <f>SUMIF(J:J,Table1[[#This Row],[Season]],F:F)</f>
        <v>58607</v>
      </c>
    </row>
    <row r="922" spans="1:20" x14ac:dyDescent="0.3">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c r="S922" t="e">
        <f>INDEX(Q:Q,MATCH(Table1[[#This Row],[Item Purchased]],D:D))</f>
        <v>#N/A</v>
      </c>
      <c r="T922">
        <f>SUMIF(J:J,Table1[[#This Row],[Season]],F:F)</f>
        <v>55777</v>
      </c>
    </row>
    <row r="923" spans="1:20" x14ac:dyDescent="0.3">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c r="S923" t="str">
        <f>INDEX(Q:Q,MATCH(Table1[[#This Row],[Item Purchased]],D:D))</f>
        <v>Debit Card</v>
      </c>
      <c r="T923">
        <f>SUMIF(J:J,Table1[[#This Row],[Season]],F:F)</f>
        <v>55777</v>
      </c>
    </row>
    <row r="924" spans="1:20" x14ac:dyDescent="0.3">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c r="S924" t="str">
        <f>INDEX(Q:Q,MATCH(Table1[[#This Row],[Item Purchased]],D:D))</f>
        <v>Venmo</v>
      </c>
      <c r="T924">
        <f>SUMIF(J:J,Table1[[#This Row],[Season]],F:F)</f>
        <v>60018</v>
      </c>
    </row>
    <row r="925" spans="1:20" x14ac:dyDescent="0.3">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c r="S925" t="str">
        <f>INDEX(Q:Q,MATCH(Table1[[#This Row],[Item Purchased]],D:D))</f>
        <v>Bank Transfer</v>
      </c>
      <c r="T925">
        <f>SUMIF(J:J,Table1[[#This Row],[Season]],F:F)</f>
        <v>58679</v>
      </c>
    </row>
    <row r="926" spans="1:20" x14ac:dyDescent="0.3">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c r="S926" t="str">
        <f>INDEX(Q:Q,MATCH(Table1[[#This Row],[Item Purchased]],D:D))</f>
        <v>Venmo</v>
      </c>
      <c r="T926">
        <f>SUMIF(J:J,Table1[[#This Row],[Season]],F:F)</f>
        <v>58607</v>
      </c>
    </row>
    <row r="927" spans="1:20" x14ac:dyDescent="0.3">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c r="S927" t="str">
        <f>INDEX(Q:Q,MATCH(Table1[[#This Row],[Item Purchased]],D:D))</f>
        <v>Cash</v>
      </c>
      <c r="T927">
        <f>SUMIF(J:J,Table1[[#This Row],[Season]],F:F)</f>
        <v>58607</v>
      </c>
    </row>
    <row r="928" spans="1:20" x14ac:dyDescent="0.3">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c r="S928" t="str">
        <f>INDEX(Q:Q,MATCH(Table1[[#This Row],[Item Purchased]],D:D))</f>
        <v>Cash</v>
      </c>
      <c r="T928">
        <f>SUMIF(J:J,Table1[[#This Row],[Season]],F:F)</f>
        <v>58679</v>
      </c>
    </row>
    <row r="929" spans="1:20" x14ac:dyDescent="0.3">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c r="S929" t="str">
        <f>INDEX(Q:Q,MATCH(Table1[[#This Row],[Item Purchased]],D:D))</f>
        <v>Venmo</v>
      </c>
      <c r="T929">
        <f>SUMIF(J:J,Table1[[#This Row],[Season]],F:F)</f>
        <v>55777</v>
      </c>
    </row>
    <row r="930" spans="1:20" x14ac:dyDescent="0.3">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c r="S930" t="str">
        <f>INDEX(Q:Q,MATCH(Table1[[#This Row],[Item Purchased]],D:D))</f>
        <v>Debit Card</v>
      </c>
      <c r="T930">
        <f>SUMIF(J:J,Table1[[#This Row],[Season]],F:F)</f>
        <v>58607</v>
      </c>
    </row>
    <row r="931" spans="1:20" x14ac:dyDescent="0.3">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c r="S931" t="str">
        <f>INDEX(Q:Q,MATCH(Table1[[#This Row],[Item Purchased]],D:D))</f>
        <v>Venmo</v>
      </c>
      <c r="T931">
        <f>SUMIF(J:J,Table1[[#This Row],[Season]],F:F)</f>
        <v>60018</v>
      </c>
    </row>
    <row r="932" spans="1:20" x14ac:dyDescent="0.3">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c r="S932" t="str">
        <f>INDEX(Q:Q,MATCH(Table1[[#This Row],[Item Purchased]],D:D))</f>
        <v>Venmo</v>
      </c>
      <c r="T932">
        <f>SUMIF(J:J,Table1[[#This Row],[Season]],F:F)</f>
        <v>60018</v>
      </c>
    </row>
    <row r="933" spans="1:20" x14ac:dyDescent="0.3">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c r="S933" t="str">
        <f>INDEX(Q:Q,MATCH(Table1[[#This Row],[Item Purchased]],D:D))</f>
        <v>Debit Card</v>
      </c>
      <c r="T933">
        <f>SUMIF(J:J,Table1[[#This Row],[Season]],F:F)</f>
        <v>58607</v>
      </c>
    </row>
    <row r="934" spans="1:20" x14ac:dyDescent="0.3">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c r="S934" t="str">
        <f>INDEX(Q:Q,MATCH(Table1[[#This Row],[Item Purchased]],D:D))</f>
        <v>Credit Card</v>
      </c>
      <c r="T934">
        <f>SUMIF(J:J,Table1[[#This Row],[Season]],F:F)</f>
        <v>58607</v>
      </c>
    </row>
    <row r="935" spans="1:20" x14ac:dyDescent="0.3">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c r="S935" t="str">
        <f>INDEX(Q:Q,MATCH(Table1[[#This Row],[Item Purchased]],D:D))</f>
        <v>Venmo</v>
      </c>
      <c r="T935">
        <f>SUMIF(J:J,Table1[[#This Row],[Season]],F:F)</f>
        <v>58679</v>
      </c>
    </row>
    <row r="936" spans="1:20" x14ac:dyDescent="0.3">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c r="S936" t="str">
        <f>INDEX(Q:Q,MATCH(Table1[[#This Row],[Item Purchased]],D:D))</f>
        <v>Cash</v>
      </c>
      <c r="T936">
        <f>SUMIF(J:J,Table1[[#This Row],[Season]],F:F)</f>
        <v>58679</v>
      </c>
    </row>
    <row r="937" spans="1:20" x14ac:dyDescent="0.3">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c r="S937" t="str">
        <f>INDEX(Q:Q,MATCH(Table1[[#This Row],[Item Purchased]],D:D))</f>
        <v>Venmo</v>
      </c>
      <c r="T937">
        <f>SUMIF(J:J,Table1[[#This Row],[Season]],F:F)</f>
        <v>60018</v>
      </c>
    </row>
    <row r="938" spans="1:20" x14ac:dyDescent="0.3">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c r="S938" t="str">
        <f>INDEX(Q:Q,MATCH(Table1[[#This Row],[Item Purchased]],D:D))</f>
        <v>PayPal</v>
      </c>
      <c r="T938">
        <f>SUMIF(J:J,Table1[[#This Row],[Season]],F:F)</f>
        <v>55777</v>
      </c>
    </row>
    <row r="939" spans="1:20" x14ac:dyDescent="0.3">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c r="S939" t="str">
        <f>INDEX(Q:Q,MATCH(Table1[[#This Row],[Item Purchased]],D:D))</f>
        <v>PayPal</v>
      </c>
      <c r="T939">
        <f>SUMIF(J:J,Table1[[#This Row],[Season]],F:F)</f>
        <v>55777</v>
      </c>
    </row>
    <row r="940" spans="1:20" x14ac:dyDescent="0.3">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c r="S940" t="str">
        <f>INDEX(Q:Q,MATCH(Table1[[#This Row],[Item Purchased]],D:D))</f>
        <v>Venmo</v>
      </c>
      <c r="T940">
        <f>SUMIF(J:J,Table1[[#This Row],[Season]],F:F)</f>
        <v>60018</v>
      </c>
    </row>
    <row r="941" spans="1:20" x14ac:dyDescent="0.3">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c r="S941" t="str">
        <f>INDEX(Q:Q,MATCH(Table1[[#This Row],[Item Purchased]],D:D))</f>
        <v>Venmo</v>
      </c>
      <c r="T941">
        <f>SUMIF(J:J,Table1[[#This Row],[Season]],F:F)</f>
        <v>58607</v>
      </c>
    </row>
    <row r="942" spans="1:20" x14ac:dyDescent="0.3">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c r="S942" t="e">
        <f>INDEX(Q:Q,MATCH(Table1[[#This Row],[Item Purchased]],D:D))</f>
        <v>#N/A</v>
      </c>
      <c r="T942">
        <f>SUMIF(J:J,Table1[[#This Row],[Season]],F:F)</f>
        <v>58679</v>
      </c>
    </row>
    <row r="943" spans="1:20" x14ac:dyDescent="0.3">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c r="S943" t="str">
        <f>INDEX(Q:Q,MATCH(Table1[[#This Row],[Item Purchased]],D:D))</f>
        <v>Cash</v>
      </c>
      <c r="T943">
        <f>SUMIF(J:J,Table1[[#This Row],[Season]],F:F)</f>
        <v>58607</v>
      </c>
    </row>
    <row r="944" spans="1:20" x14ac:dyDescent="0.3">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c r="S944" t="str">
        <f>INDEX(Q:Q,MATCH(Table1[[#This Row],[Item Purchased]],D:D))</f>
        <v>Debit Card</v>
      </c>
      <c r="T944">
        <f>SUMIF(J:J,Table1[[#This Row],[Season]],F:F)</f>
        <v>58607</v>
      </c>
    </row>
    <row r="945" spans="1:20" x14ac:dyDescent="0.3">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c r="S945" t="str">
        <f>INDEX(Q:Q,MATCH(Table1[[#This Row],[Item Purchased]],D:D))</f>
        <v>Venmo</v>
      </c>
      <c r="T945">
        <f>SUMIF(J:J,Table1[[#This Row],[Season]],F:F)</f>
        <v>58607</v>
      </c>
    </row>
    <row r="946" spans="1:20" x14ac:dyDescent="0.3">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c r="S946" t="e">
        <f>INDEX(Q:Q,MATCH(Table1[[#This Row],[Item Purchased]],D:D))</f>
        <v>#N/A</v>
      </c>
      <c r="T946">
        <f>SUMIF(J:J,Table1[[#This Row],[Season]],F:F)</f>
        <v>58679</v>
      </c>
    </row>
    <row r="947" spans="1:20" x14ac:dyDescent="0.3">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c r="S947" t="str">
        <f>INDEX(Q:Q,MATCH(Table1[[#This Row],[Item Purchased]],D:D))</f>
        <v>Venmo</v>
      </c>
      <c r="T947">
        <f>SUMIF(J:J,Table1[[#This Row],[Season]],F:F)</f>
        <v>55777</v>
      </c>
    </row>
    <row r="948" spans="1:20" x14ac:dyDescent="0.3">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c r="S948" t="str">
        <f>INDEX(Q:Q,MATCH(Table1[[#This Row],[Item Purchased]],D:D))</f>
        <v>Debit Card</v>
      </c>
      <c r="T948">
        <f>SUMIF(J:J,Table1[[#This Row],[Season]],F:F)</f>
        <v>58679</v>
      </c>
    </row>
    <row r="949" spans="1:20" x14ac:dyDescent="0.3">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c r="S949" t="str">
        <f>INDEX(Q:Q,MATCH(Table1[[#This Row],[Item Purchased]],D:D))</f>
        <v>Venmo</v>
      </c>
      <c r="T949">
        <f>SUMIF(J:J,Table1[[#This Row],[Season]],F:F)</f>
        <v>58607</v>
      </c>
    </row>
    <row r="950" spans="1:20" x14ac:dyDescent="0.3">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c r="S950" t="str">
        <f>INDEX(Q:Q,MATCH(Table1[[#This Row],[Item Purchased]],D:D))</f>
        <v>Venmo</v>
      </c>
      <c r="T950">
        <f>SUMIF(J:J,Table1[[#This Row],[Season]],F:F)</f>
        <v>55777</v>
      </c>
    </row>
    <row r="951" spans="1:20" x14ac:dyDescent="0.3">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c r="S951" t="str">
        <f>INDEX(Q:Q,MATCH(Table1[[#This Row],[Item Purchased]],D:D))</f>
        <v>Cash</v>
      </c>
      <c r="T951">
        <f>SUMIF(J:J,Table1[[#This Row],[Season]],F:F)</f>
        <v>55777</v>
      </c>
    </row>
    <row r="952" spans="1:20" x14ac:dyDescent="0.3">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c r="S952" t="e">
        <f>INDEX(Q:Q,MATCH(Table1[[#This Row],[Item Purchased]],D:D))</f>
        <v>#N/A</v>
      </c>
      <c r="T952">
        <f>SUMIF(J:J,Table1[[#This Row],[Season]],F:F)</f>
        <v>58607</v>
      </c>
    </row>
    <row r="953" spans="1:20" x14ac:dyDescent="0.3">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c r="S953" t="str">
        <f>INDEX(Q:Q,MATCH(Table1[[#This Row],[Item Purchased]],D:D))</f>
        <v>Debit Card</v>
      </c>
      <c r="T953">
        <f>SUMIF(J:J,Table1[[#This Row],[Season]],F:F)</f>
        <v>55777</v>
      </c>
    </row>
    <row r="954" spans="1:20" x14ac:dyDescent="0.3">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c r="S954" t="str">
        <f>INDEX(Q:Q,MATCH(Table1[[#This Row],[Item Purchased]],D:D))</f>
        <v>Venmo</v>
      </c>
      <c r="T954">
        <f>SUMIF(J:J,Table1[[#This Row],[Season]],F:F)</f>
        <v>60018</v>
      </c>
    </row>
    <row r="955" spans="1:20" x14ac:dyDescent="0.3">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c r="S955" t="str">
        <f>INDEX(Q:Q,MATCH(Table1[[#This Row],[Item Purchased]],D:D))</f>
        <v>Venmo</v>
      </c>
      <c r="T955">
        <f>SUMIF(J:J,Table1[[#This Row],[Season]],F:F)</f>
        <v>58679</v>
      </c>
    </row>
    <row r="956" spans="1:20" x14ac:dyDescent="0.3">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c r="S956" t="str">
        <f>INDEX(Q:Q,MATCH(Table1[[#This Row],[Item Purchased]],D:D))</f>
        <v>Venmo</v>
      </c>
      <c r="T956">
        <f>SUMIF(J:J,Table1[[#This Row],[Season]],F:F)</f>
        <v>60018</v>
      </c>
    </row>
    <row r="957" spans="1:20" x14ac:dyDescent="0.3">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c r="S957" t="str">
        <f>INDEX(Q:Q,MATCH(Table1[[#This Row],[Item Purchased]],D:D))</f>
        <v>Debit Card</v>
      </c>
      <c r="T957">
        <f>SUMIF(J:J,Table1[[#This Row],[Season]],F:F)</f>
        <v>55777</v>
      </c>
    </row>
    <row r="958" spans="1:20" x14ac:dyDescent="0.3">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c r="S958" t="str">
        <f>INDEX(Q:Q,MATCH(Table1[[#This Row],[Item Purchased]],D:D))</f>
        <v>Bank Transfer</v>
      </c>
      <c r="T958">
        <f>SUMIF(J:J,Table1[[#This Row],[Season]],F:F)</f>
        <v>58679</v>
      </c>
    </row>
    <row r="959" spans="1:20" x14ac:dyDescent="0.3">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c r="S959" t="str">
        <f>INDEX(Q:Q,MATCH(Table1[[#This Row],[Item Purchased]],D:D))</f>
        <v>Bank Transfer</v>
      </c>
      <c r="T959">
        <f>SUMIF(J:J,Table1[[#This Row],[Season]],F:F)</f>
        <v>58679</v>
      </c>
    </row>
    <row r="960" spans="1:20" x14ac:dyDescent="0.3">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c r="S960" t="str">
        <f>INDEX(Q:Q,MATCH(Table1[[#This Row],[Item Purchased]],D:D))</f>
        <v>Venmo</v>
      </c>
      <c r="T960">
        <f>SUMIF(J:J,Table1[[#This Row],[Season]],F:F)</f>
        <v>58607</v>
      </c>
    </row>
    <row r="961" spans="1:20" x14ac:dyDescent="0.3">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c r="S961" t="str">
        <f>INDEX(Q:Q,MATCH(Table1[[#This Row],[Item Purchased]],D:D))</f>
        <v>Credit Card</v>
      </c>
      <c r="T961">
        <f>SUMIF(J:J,Table1[[#This Row],[Season]],F:F)</f>
        <v>58679</v>
      </c>
    </row>
    <row r="962" spans="1:20" x14ac:dyDescent="0.3">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c r="S962" t="str">
        <f>INDEX(Q:Q,MATCH(Table1[[#This Row],[Item Purchased]],D:D))</f>
        <v>Cash</v>
      </c>
      <c r="T962">
        <f>SUMIF(J:J,Table1[[#This Row],[Season]],F:F)</f>
        <v>58679</v>
      </c>
    </row>
    <row r="963" spans="1:20" x14ac:dyDescent="0.3">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c r="S963" t="str">
        <f>INDEX(Q:Q,MATCH(Table1[[#This Row],[Item Purchased]],D:D))</f>
        <v>Venmo</v>
      </c>
      <c r="T963">
        <f>SUMIF(J:J,Table1[[#This Row],[Season]],F:F)</f>
        <v>60018</v>
      </c>
    </row>
    <row r="964" spans="1:20" x14ac:dyDescent="0.3">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c r="S964" t="str">
        <f>INDEX(Q:Q,MATCH(Table1[[#This Row],[Item Purchased]],D:D))</f>
        <v>Venmo</v>
      </c>
      <c r="T964">
        <f>SUMIF(J:J,Table1[[#This Row],[Season]],F:F)</f>
        <v>58679</v>
      </c>
    </row>
    <row r="965" spans="1:20" x14ac:dyDescent="0.3">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c r="S965" t="str">
        <f>INDEX(Q:Q,MATCH(Table1[[#This Row],[Item Purchased]],D:D))</f>
        <v>Venmo</v>
      </c>
      <c r="T965">
        <f>SUMIF(J:J,Table1[[#This Row],[Season]],F:F)</f>
        <v>58679</v>
      </c>
    </row>
    <row r="966" spans="1:20" x14ac:dyDescent="0.3">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c r="S966" t="str">
        <f>INDEX(Q:Q,MATCH(Table1[[#This Row],[Item Purchased]],D:D))</f>
        <v>Bank Transfer</v>
      </c>
      <c r="T966">
        <f>SUMIF(J:J,Table1[[#This Row],[Season]],F:F)</f>
        <v>58679</v>
      </c>
    </row>
    <row r="967" spans="1:20" x14ac:dyDescent="0.3">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c r="S967" t="str">
        <f>INDEX(Q:Q,MATCH(Table1[[#This Row],[Item Purchased]],D:D))</f>
        <v>Venmo</v>
      </c>
      <c r="T967">
        <f>SUMIF(J:J,Table1[[#This Row],[Season]],F:F)</f>
        <v>58679</v>
      </c>
    </row>
    <row r="968" spans="1:20" x14ac:dyDescent="0.3">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c r="S968" t="str">
        <f>INDEX(Q:Q,MATCH(Table1[[#This Row],[Item Purchased]],D:D))</f>
        <v>Debit Card</v>
      </c>
      <c r="T968">
        <f>SUMIF(J:J,Table1[[#This Row],[Season]],F:F)</f>
        <v>58679</v>
      </c>
    </row>
    <row r="969" spans="1:20" x14ac:dyDescent="0.3">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c r="S969" t="str">
        <f>INDEX(Q:Q,MATCH(Table1[[#This Row],[Item Purchased]],D:D))</f>
        <v>Venmo</v>
      </c>
      <c r="T969">
        <f>SUMIF(J:J,Table1[[#This Row],[Season]],F:F)</f>
        <v>55777</v>
      </c>
    </row>
    <row r="970" spans="1:20" x14ac:dyDescent="0.3">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c r="S970" t="str">
        <f>INDEX(Q:Q,MATCH(Table1[[#This Row],[Item Purchased]],D:D))</f>
        <v>PayPal</v>
      </c>
      <c r="T970">
        <f>SUMIF(J:J,Table1[[#This Row],[Season]],F:F)</f>
        <v>55777</v>
      </c>
    </row>
    <row r="971" spans="1:20" x14ac:dyDescent="0.3">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c r="S971" t="str">
        <f>INDEX(Q:Q,MATCH(Table1[[#This Row],[Item Purchased]],D:D))</f>
        <v>Debit Card</v>
      </c>
      <c r="T971">
        <f>SUMIF(J:J,Table1[[#This Row],[Season]],F:F)</f>
        <v>60018</v>
      </c>
    </row>
    <row r="972" spans="1:20" x14ac:dyDescent="0.3">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c r="S972" t="str">
        <f>INDEX(Q:Q,MATCH(Table1[[#This Row],[Item Purchased]],D:D))</f>
        <v>Cash</v>
      </c>
      <c r="T972">
        <f>SUMIF(J:J,Table1[[#This Row],[Season]],F:F)</f>
        <v>58607</v>
      </c>
    </row>
    <row r="973" spans="1:20" x14ac:dyDescent="0.3">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c r="S973" t="str">
        <f>INDEX(Q:Q,MATCH(Table1[[#This Row],[Item Purchased]],D:D))</f>
        <v>Venmo</v>
      </c>
      <c r="T973">
        <f>SUMIF(J:J,Table1[[#This Row],[Season]],F:F)</f>
        <v>55777</v>
      </c>
    </row>
    <row r="974" spans="1:20" x14ac:dyDescent="0.3">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c r="S974" t="str">
        <f>INDEX(Q:Q,MATCH(Table1[[#This Row],[Item Purchased]],D:D))</f>
        <v>Venmo</v>
      </c>
      <c r="T974">
        <f>SUMIF(J:J,Table1[[#This Row],[Season]],F:F)</f>
        <v>58607</v>
      </c>
    </row>
    <row r="975" spans="1:20" x14ac:dyDescent="0.3">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c r="S975" t="str">
        <f>INDEX(Q:Q,MATCH(Table1[[#This Row],[Item Purchased]],D:D))</f>
        <v>Debit Card</v>
      </c>
      <c r="T975">
        <f>SUMIF(J:J,Table1[[#This Row],[Season]],F:F)</f>
        <v>60018</v>
      </c>
    </row>
    <row r="976" spans="1:20" x14ac:dyDescent="0.3">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c r="S976" t="str">
        <f>INDEX(Q:Q,MATCH(Table1[[#This Row],[Item Purchased]],D:D))</f>
        <v>Credit Card</v>
      </c>
      <c r="T976">
        <f>SUMIF(J:J,Table1[[#This Row],[Season]],F:F)</f>
        <v>58679</v>
      </c>
    </row>
    <row r="977" spans="1:20" x14ac:dyDescent="0.3">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c r="S977" t="str">
        <f>INDEX(Q:Q,MATCH(Table1[[#This Row],[Item Purchased]],D:D))</f>
        <v>Venmo</v>
      </c>
      <c r="T977">
        <f>SUMIF(J:J,Table1[[#This Row],[Season]],F:F)</f>
        <v>55777</v>
      </c>
    </row>
    <row r="978" spans="1:20" x14ac:dyDescent="0.3">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c r="S978" t="str">
        <f>INDEX(Q:Q,MATCH(Table1[[#This Row],[Item Purchased]],D:D))</f>
        <v>Venmo</v>
      </c>
      <c r="T978">
        <f>SUMIF(J:J,Table1[[#This Row],[Season]],F:F)</f>
        <v>60018</v>
      </c>
    </row>
    <row r="979" spans="1:20" x14ac:dyDescent="0.3">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c r="S979" t="e">
        <f>INDEX(Q:Q,MATCH(Table1[[#This Row],[Item Purchased]],D:D))</f>
        <v>#N/A</v>
      </c>
      <c r="T979">
        <f>SUMIF(J:J,Table1[[#This Row],[Season]],F:F)</f>
        <v>58679</v>
      </c>
    </row>
    <row r="980" spans="1:20" x14ac:dyDescent="0.3">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c r="S980" t="str">
        <f>INDEX(Q:Q,MATCH(Table1[[#This Row],[Item Purchased]],D:D))</f>
        <v>Debit Card</v>
      </c>
      <c r="T980">
        <f>SUMIF(J:J,Table1[[#This Row],[Season]],F:F)</f>
        <v>55777</v>
      </c>
    </row>
    <row r="981" spans="1:20" x14ac:dyDescent="0.3">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c r="S981" t="str">
        <f>INDEX(Q:Q,MATCH(Table1[[#This Row],[Item Purchased]],D:D))</f>
        <v>Venmo</v>
      </c>
      <c r="T981">
        <f>SUMIF(J:J,Table1[[#This Row],[Season]],F:F)</f>
        <v>60018</v>
      </c>
    </row>
    <row r="982" spans="1:20" x14ac:dyDescent="0.3">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c r="S982" t="str">
        <f>INDEX(Q:Q,MATCH(Table1[[#This Row],[Item Purchased]],D:D))</f>
        <v>Venmo</v>
      </c>
      <c r="T982">
        <f>SUMIF(J:J,Table1[[#This Row],[Season]],F:F)</f>
        <v>58679</v>
      </c>
    </row>
    <row r="983" spans="1:20" x14ac:dyDescent="0.3">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c r="S983" t="e">
        <f>INDEX(Q:Q,MATCH(Table1[[#This Row],[Item Purchased]],D:D))</f>
        <v>#N/A</v>
      </c>
      <c r="T983">
        <f>SUMIF(J:J,Table1[[#This Row],[Season]],F:F)</f>
        <v>58679</v>
      </c>
    </row>
    <row r="984" spans="1:20" x14ac:dyDescent="0.3">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c r="S984" t="str">
        <f>INDEX(Q:Q,MATCH(Table1[[#This Row],[Item Purchased]],D:D))</f>
        <v>Debit Card</v>
      </c>
      <c r="T984">
        <f>SUMIF(J:J,Table1[[#This Row],[Season]],F:F)</f>
        <v>55777</v>
      </c>
    </row>
    <row r="985" spans="1:20" x14ac:dyDescent="0.3">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c r="S985" t="str">
        <f>INDEX(Q:Q,MATCH(Table1[[#This Row],[Item Purchased]],D:D))</f>
        <v>Venmo</v>
      </c>
      <c r="T985">
        <f>SUMIF(J:J,Table1[[#This Row],[Season]],F:F)</f>
        <v>58607</v>
      </c>
    </row>
    <row r="986" spans="1:20" x14ac:dyDescent="0.3">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c r="S986" t="str">
        <f>INDEX(Q:Q,MATCH(Table1[[#This Row],[Item Purchased]],D:D))</f>
        <v>PayPal</v>
      </c>
      <c r="T986">
        <f>SUMIF(J:J,Table1[[#This Row],[Season]],F:F)</f>
        <v>55777</v>
      </c>
    </row>
    <row r="987" spans="1:20" x14ac:dyDescent="0.3">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c r="S987" t="str">
        <f>INDEX(Q:Q,MATCH(Table1[[#This Row],[Item Purchased]],D:D))</f>
        <v>Cash</v>
      </c>
      <c r="T987">
        <f>SUMIF(J:J,Table1[[#This Row],[Season]],F:F)</f>
        <v>60018</v>
      </c>
    </row>
    <row r="988" spans="1:20" x14ac:dyDescent="0.3">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c r="S988" t="str">
        <f>INDEX(Q:Q,MATCH(Table1[[#This Row],[Item Purchased]],D:D))</f>
        <v>Bank Transfer</v>
      </c>
      <c r="T988">
        <f>SUMIF(J:J,Table1[[#This Row],[Season]],F:F)</f>
        <v>58679</v>
      </c>
    </row>
    <row r="989" spans="1:20" x14ac:dyDescent="0.3">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c r="S989" t="str">
        <f>INDEX(Q:Q,MATCH(Table1[[#This Row],[Item Purchased]],D:D))</f>
        <v>Cash</v>
      </c>
      <c r="T989">
        <f>SUMIF(J:J,Table1[[#This Row],[Season]],F:F)</f>
        <v>55777</v>
      </c>
    </row>
    <row r="990" spans="1:20" x14ac:dyDescent="0.3">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c r="S990" t="str">
        <f>INDEX(Q:Q,MATCH(Table1[[#This Row],[Item Purchased]],D:D))</f>
        <v>Cash</v>
      </c>
      <c r="T990">
        <f>SUMIF(J:J,Table1[[#This Row],[Season]],F:F)</f>
        <v>58607</v>
      </c>
    </row>
    <row r="991" spans="1:20" x14ac:dyDescent="0.3">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c r="S991" t="str">
        <f>INDEX(Q:Q,MATCH(Table1[[#This Row],[Item Purchased]],D:D))</f>
        <v>PayPal</v>
      </c>
      <c r="T991">
        <f>SUMIF(J:J,Table1[[#This Row],[Season]],F:F)</f>
        <v>58679</v>
      </c>
    </row>
    <row r="992" spans="1:20" x14ac:dyDescent="0.3">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c r="S992" t="str">
        <f>INDEX(Q:Q,MATCH(Table1[[#This Row],[Item Purchased]],D:D))</f>
        <v>Venmo</v>
      </c>
      <c r="T992">
        <f>SUMIF(J:J,Table1[[#This Row],[Season]],F:F)</f>
        <v>58679</v>
      </c>
    </row>
    <row r="993" spans="1:20" x14ac:dyDescent="0.3">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c r="S993" t="str">
        <f>INDEX(Q:Q,MATCH(Table1[[#This Row],[Item Purchased]],D:D))</f>
        <v>PayPal</v>
      </c>
      <c r="T993">
        <f>SUMIF(J:J,Table1[[#This Row],[Season]],F:F)</f>
        <v>58679</v>
      </c>
    </row>
    <row r="994" spans="1:20" x14ac:dyDescent="0.3">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c r="S994" t="str">
        <f>INDEX(Q:Q,MATCH(Table1[[#This Row],[Item Purchased]],D:D))</f>
        <v>Debit Card</v>
      </c>
      <c r="T994">
        <f>SUMIF(J:J,Table1[[#This Row],[Season]],F:F)</f>
        <v>58607</v>
      </c>
    </row>
    <row r="995" spans="1:20" x14ac:dyDescent="0.3">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c r="S995" t="str">
        <f>INDEX(Q:Q,MATCH(Table1[[#This Row],[Item Purchased]],D:D))</f>
        <v>Bank Transfer</v>
      </c>
      <c r="T995">
        <f>SUMIF(J:J,Table1[[#This Row],[Season]],F:F)</f>
        <v>58607</v>
      </c>
    </row>
    <row r="996" spans="1:20" x14ac:dyDescent="0.3">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c r="S996" t="str">
        <f>INDEX(Q:Q,MATCH(Table1[[#This Row],[Item Purchased]],D:D))</f>
        <v>PayPal</v>
      </c>
      <c r="T996">
        <f>SUMIF(J:J,Table1[[#This Row],[Season]],F:F)</f>
        <v>60018</v>
      </c>
    </row>
    <row r="997" spans="1:20" x14ac:dyDescent="0.3">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c r="S997" t="str">
        <f>INDEX(Q:Q,MATCH(Table1[[#This Row],[Item Purchased]],D:D))</f>
        <v>Cash</v>
      </c>
      <c r="T997">
        <f>SUMIF(J:J,Table1[[#This Row],[Season]],F:F)</f>
        <v>58679</v>
      </c>
    </row>
    <row r="998" spans="1:20" x14ac:dyDescent="0.3">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c r="S998" t="str">
        <f>INDEX(Q:Q,MATCH(Table1[[#This Row],[Item Purchased]],D:D))</f>
        <v>Bank Transfer</v>
      </c>
      <c r="T998">
        <f>SUMIF(J:J,Table1[[#This Row],[Season]],F:F)</f>
        <v>55777</v>
      </c>
    </row>
    <row r="999" spans="1:20" x14ac:dyDescent="0.3">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c r="S999" t="str">
        <f>INDEX(Q:Q,MATCH(Table1[[#This Row],[Item Purchased]],D:D))</f>
        <v>Cash</v>
      </c>
      <c r="T999">
        <f>SUMIF(J:J,Table1[[#This Row],[Season]],F:F)</f>
        <v>58679</v>
      </c>
    </row>
    <row r="1000" spans="1:20" x14ac:dyDescent="0.3">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c r="S1000" t="str">
        <f>INDEX(Q:Q,MATCH(Table1[[#This Row],[Item Purchased]],D:D))</f>
        <v>PayPal</v>
      </c>
      <c r="T1000">
        <f>SUMIF(J:J,Table1[[#This Row],[Season]],F:F)</f>
        <v>58679</v>
      </c>
    </row>
    <row r="1001" spans="1:20" x14ac:dyDescent="0.3">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c r="S1001" t="str">
        <f>INDEX(Q:Q,MATCH(Table1[[#This Row],[Item Purchased]],D:D))</f>
        <v>Venmo</v>
      </c>
      <c r="T1001">
        <f>SUMIF(J:J,Table1[[#This Row],[Season]],F:F)</f>
        <v>58679</v>
      </c>
    </row>
    <row r="1002" spans="1:20" x14ac:dyDescent="0.3">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c r="S1002" t="str">
        <f>INDEX(Q:Q,MATCH(Table1[[#This Row],[Item Purchased]],D:D))</f>
        <v>Venmo</v>
      </c>
      <c r="T1002">
        <f>SUMIF(J:J,Table1[[#This Row],[Season]],F:F)</f>
        <v>58607</v>
      </c>
    </row>
    <row r="1003" spans="1:20" x14ac:dyDescent="0.3">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c r="S1003" t="str">
        <f>INDEX(Q:Q,MATCH(Table1[[#This Row],[Item Purchased]],D:D))</f>
        <v>Debit Card</v>
      </c>
      <c r="T1003">
        <f>SUMIF(J:J,Table1[[#This Row],[Season]],F:F)</f>
        <v>60018</v>
      </c>
    </row>
    <row r="1004" spans="1:20" x14ac:dyDescent="0.3">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c r="S1004" t="str">
        <f>INDEX(Q:Q,MATCH(Table1[[#This Row],[Item Purchased]],D:D))</f>
        <v>PayPal</v>
      </c>
      <c r="T1004">
        <f>SUMIF(J:J,Table1[[#This Row],[Season]],F:F)</f>
        <v>58679</v>
      </c>
    </row>
    <row r="1005" spans="1:20" x14ac:dyDescent="0.3">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c r="S1005" t="str">
        <f>INDEX(Q:Q,MATCH(Table1[[#This Row],[Item Purchased]],D:D))</f>
        <v>Venmo</v>
      </c>
      <c r="T1005">
        <f>SUMIF(J:J,Table1[[#This Row],[Season]],F:F)</f>
        <v>60018</v>
      </c>
    </row>
    <row r="1006" spans="1:20" x14ac:dyDescent="0.3">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c r="S1006" t="e">
        <f>INDEX(Q:Q,MATCH(Table1[[#This Row],[Item Purchased]],D:D))</f>
        <v>#N/A</v>
      </c>
      <c r="T1006">
        <f>SUMIF(J:J,Table1[[#This Row],[Season]],F:F)</f>
        <v>55777</v>
      </c>
    </row>
    <row r="1007" spans="1:20" x14ac:dyDescent="0.3">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c r="S1007" t="e">
        <f>INDEX(Q:Q,MATCH(Table1[[#This Row],[Item Purchased]],D:D))</f>
        <v>#N/A</v>
      </c>
      <c r="T1007">
        <f>SUMIF(J:J,Table1[[#This Row],[Season]],F:F)</f>
        <v>58607</v>
      </c>
    </row>
    <row r="1008" spans="1:20" x14ac:dyDescent="0.3">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c r="S1008" t="str">
        <f>INDEX(Q:Q,MATCH(Table1[[#This Row],[Item Purchased]],D:D))</f>
        <v>Cash</v>
      </c>
      <c r="T1008">
        <f>SUMIF(J:J,Table1[[#This Row],[Season]],F:F)</f>
        <v>55777</v>
      </c>
    </row>
    <row r="1009" spans="1:20" x14ac:dyDescent="0.3">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c r="S1009" t="str">
        <f>INDEX(Q:Q,MATCH(Table1[[#This Row],[Item Purchased]],D:D))</f>
        <v>Debit Card</v>
      </c>
      <c r="T1009">
        <f>SUMIF(J:J,Table1[[#This Row],[Season]],F:F)</f>
        <v>58679</v>
      </c>
    </row>
    <row r="1010" spans="1:20" x14ac:dyDescent="0.3">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c r="S1010" t="str">
        <f>INDEX(Q:Q,MATCH(Table1[[#This Row],[Item Purchased]],D:D))</f>
        <v>Bank Transfer</v>
      </c>
      <c r="T1010">
        <f>SUMIF(J:J,Table1[[#This Row],[Season]],F:F)</f>
        <v>58679</v>
      </c>
    </row>
    <row r="1011" spans="1:20" x14ac:dyDescent="0.3">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c r="S1011" t="str">
        <f>INDEX(Q:Q,MATCH(Table1[[#This Row],[Item Purchased]],D:D))</f>
        <v>Venmo</v>
      </c>
      <c r="T1011">
        <f>SUMIF(J:J,Table1[[#This Row],[Season]],F:F)</f>
        <v>55777</v>
      </c>
    </row>
    <row r="1012" spans="1:20" x14ac:dyDescent="0.3">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c r="S1012" t="str">
        <f>INDEX(Q:Q,MATCH(Table1[[#This Row],[Item Purchased]],D:D))</f>
        <v>Cash</v>
      </c>
      <c r="T1012">
        <f>SUMIF(J:J,Table1[[#This Row],[Season]],F:F)</f>
        <v>58679</v>
      </c>
    </row>
    <row r="1013" spans="1:20" x14ac:dyDescent="0.3">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c r="S1013" t="e">
        <f>INDEX(Q:Q,MATCH(Table1[[#This Row],[Item Purchased]],D:D))</f>
        <v>#N/A</v>
      </c>
      <c r="T1013">
        <f>SUMIF(J:J,Table1[[#This Row],[Season]],F:F)</f>
        <v>58679</v>
      </c>
    </row>
    <row r="1014" spans="1:20" x14ac:dyDescent="0.3">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c r="S1014" t="str">
        <f>INDEX(Q:Q,MATCH(Table1[[#This Row],[Item Purchased]],D:D))</f>
        <v>Bank Transfer</v>
      </c>
      <c r="T1014">
        <f>SUMIF(J:J,Table1[[#This Row],[Season]],F:F)</f>
        <v>55777</v>
      </c>
    </row>
    <row r="1015" spans="1:20" x14ac:dyDescent="0.3">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c r="S1015" t="e">
        <f>INDEX(Q:Q,MATCH(Table1[[#This Row],[Item Purchased]],D:D))</f>
        <v>#N/A</v>
      </c>
      <c r="T1015">
        <f>SUMIF(J:J,Table1[[#This Row],[Season]],F:F)</f>
        <v>55777</v>
      </c>
    </row>
    <row r="1016" spans="1:20" x14ac:dyDescent="0.3">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c r="S1016" t="str">
        <f>INDEX(Q:Q,MATCH(Table1[[#This Row],[Item Purchased]],D:D))</f>
        <v>PayPal</v>
      </c>
      <c r="T1016">
        <f>SUMIF(J:J,Table1[[#This Row],[Season]],F:F)</f>
        <v>55777</v>
      </c>
    </row>
    <row r="1017" spans="1:20" x14ac:dyDescent="0.3">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c r="S1017" t="str">
        <f>INDEX(Q:Q,MATCH(Table1[[#This Row],[Item Purchased]],D:D))</f>
        <v>Debit Card</v>
      </c>
      <c r="T1017">
        <f>SUMIF(J:J,Table1[[#This Row],[Season]],F:F)</f>
        <v>55777</v>
      </c>
    </row>
    <row r="1018" spans="1:20" x14ac:dyDescent="0.3">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c r="S1018" t="e">
        <f>INDEX(Q:Q,MATCH(Table1[[#This Row],[Item Purchased]],D:D))</f>
        <v>#N/A</v>
      </c>
      <c r="T1018">
        <f>SUMIF(J:J,Table1[[#This Row],[Season]],F:F)</f>
        <v>55777</v>
      </c>
    </row>
    <row r="1019" spans="1:20" x14ac:dyDescent="0.3">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c r="S1019" t="str">
        <f>INDEX(Q:Q,MATCH(Table1[[#This Row],[Item Purchased]],D:D))</f>
        <v>Debit Card</v>
      </c>
      <c r="T1019">
        <f>SUMIF(J:J,Table1[[#This Row],[Season]],F:F)</f>
        <v>60018</v>
      </c>
    </row>
    <row r="1020" spans="1:20" x14ac:dyDescent="0.3">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c r="S1020" t="str">
        <f>INDEX(Q:Q,MATCH(Table1[[#This Row],[Item Purchased]],D:D))</f>
        <v>Debit Card</v>
      </c>
      <c r="T1020">
        <f>SUMIF(J:J,Table1[[#This Row],[Season]],F:F)</f>
        <v>58679</v>
      </c>
    </row>
    <row r="1021" spans="1:20" x14ac:dyDescent="0.3">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c r="S1021" t="str">
        <f>INDEX(Q:Q,MATCH(Table1[[#This Row],[Item Purchased]],D:D))</f>
        <v>Bank Transfer</v>
      </c>
      <c r="T1021">
        <f>SUMIF(J:J,Table1[[#This Row],[Season]],F:F)</f>
        <v>58607</v>
      </c>
    </row>
    <row r="1022" spans="1:20" x14ac:dyDescent="0.3">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c r="S1022" t="str">
        <f>INDEX(Q:Q,MATCH(Table1[[#This Row],[Item Purchased]],D:D))</f>
        <v>Bank Transfer</v>
      </c>
      <c r="T1022">
        <f>SUMIF(J:J,Table1[[#This Row],[Season]],F:F)</f>
        <v>60018</v>
      </c>
    </row>
    <row r="1023" spans="1:20" x14ac:dyDescent="0.3">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c r="S1023" t="str">
        <f>INDEX(Q:Q,MATCH(Table1[[#This Row],[Item Purchased]],D:D))</f>
        <v>Debit Card</v>
      </c>
      <c r="T1023">
        <f>SUMIF(J:J,Table1[[#This Row],[Season]],F:F)</f>
        <v>58607</v>
      </c>
    </row>
    <row r="1024" spans="1:20" x14ac:dyDescent="0.3">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c r="S1024" t="str">
        <f>INDEX(Q:Q,MATCH(Table1[[#This Row],[Item Purchased]],D:D))</f>
        <v>Cash</v>
      </c>
      <c r="T1024">
        <f>SUMIF(J:J,Table1[[#This Row],[Season]],F:F)</f>
        <v>58607</v>
      </c>
    </row>
    <row r="1025" spans="1:20" x14ac:dyDescent="0.3">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c r="S1025" t="str">
        <f>INDEX(Q:Q,MATCH(Table1[[#This Row],[Item Purchased]],D:D))</f>
        <v>Venmo</v>
      </c>
      <c r="T1025">
        <f>SUMIF(J:J,Table1[[#This Row],[Season]],F:F)</f>
        <v>58607</v>
      </c>
    </row>
    <row r="1026" spans="1:20" x14ac:dyDescent="0.3">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c r="S1026" t="str">
        <f>INDEX(Q:Q,MATCH(Table1[[#This Row],[Item Purchased]],D:D))</f>
        <v>Venmo</v>
      </c>
      <c r="T1026">
        <f>SUMIF(J:J,Table1[[#This Row],[Season]],F:F)</f>
        <v>55777</v>
      </c>
    </row>
    <row r="1027" spans="1:20" x14ac:dyDescent="0.3">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c r="S1027" t="str">
        <f>INDEX(Q:Q,MATCH(Table1[[#This Row],[Item Purchased]],D:D))</f>
        <v>Bank Transfer</v>
      </c>
      <c r="T1027">
        <f>SUMIF(J:J,Table1[[#This Row],[Season]],F:F)</f>
        <v>58607</v>
      </c>
    </row>
    <row r="1028" spans="1:20" x14ac:dyDescent="0.3">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c r="S1028" t="str">
        <f>INDEX(Q:Q,MATCH(Table1[[#This Row],[Item Purchased]],D:D))</f>
        <v>Cash</v>
      </c>
      <c r="T1028">
        <f>SUMIF(J:J,Table1[[#This Row],[Season]],F:F)</f>
        <v>58607</v>
      </c>
    </row>
    <row r="1029" spans="1:20" x14ac:dyDescent="0.3">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c r="S1029" t="str">
        <f>INDEX(Q:Q,MATCH(Table1[[#This Row],[Item Purchased]],D:D))</f>
        <v>Cash</v>
      </c>
      <c r="T1029">
        <f>SUMIF(J:J,Table1[[#This Row],[Season]],F:F)</f>
        <v>55777</v>
      </c>
    </row>
    <row r="1030" spans="1:20" x14ac:dyDescent="0.3">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c r="S1030" t="str">
        <f>INDEX(Q:Q,MATCH(Table1[[#This Row],[Item Purchased]],D:D))</f>
        <v>Venmo</v>
      </c>
      <c r="T1030">
        <f>SUMIF(J:J,Table1[[#This Row],[Season]],F:F)</f>
        <v>55777</v>
      </c>
    </row>
    <row r="1031" spans="1:20" x14ac:dyDescent="0.3">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c r="S1031" t="str">
        <f>INDEX(Q:Q,MATCH(Table1[[#This Row],[Item Purchased]],D:D))</f>
        <v>Debit Card</v>
      </c>
      <c r="T1031">
        <f>SUMIF(J:J,Table1[[#This Row],[Season]],F:F)</f>
        <v>58679</v>
      </c>
    </row>
    <row r="1032" spans="1:20" x14ac:dyDescent="0.3">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c r="S1032" t="str">
        <f>INDEX(Q:Q,MATCH(Table1[[#This Row],[Item Purchased]],D:D))</f>
        <v>Debit Card</v>
      </c>
      <c r="T1032">
        <f>SUMIF(J:J,Table1[[#This Row],[Season]],F:F)</f>
        <v>58607</v>
      </c>
    </row>
    <row r="1033" spans="1:20" x14ac:dyDescent="0.3">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c r="S1033" t="str">
        <f>INDEX(Q:Q,MATCH(Table1[[#This Row],[Item Purchased]],D:D))</f>
        <v>Bank Transfer</v>
      </c>
      <c r="T1033">
        <f>SUMIF(J:J,Table1[[#This Row],[Season]],F:F)</f>
        <v>58679</v>
      </c>
    </row>
    <row r="1034" spans="1:20" x14ac:dyDescent="0.3">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c r="S1034" t="str">
        <f>INDEX(Q:Q,MATCH(Table1[[#This Row],[Item Purchased]],D:D))</f>
        <v>Venmo</v>
      </c>
      <c r="T1034">
        <f>SUMIF(J:J,Table1[[#This Row],[Season]],F:F)</f>
        <v>60018</v>
      </c>
    </row>
    <row r="1035" spans="1:20" x14ac:dyDescent="0.3">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c r="S1035" t="str">
        <f>INDEX(Q:Q,MATCH(Table1[[#This Row],[Item Purchased]],D:D))</f>
        <v>Cash</v>
      </c>
      <c r="T1035">
        <f>SUMIF(J:J,Table1[[#This Row],[Season]],F:F)</f>
        <v>58679</v>
      </c>
    </row>
    <row r="1036" spans="1:20" x14ac:dyDescent="0.3">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c r="S1036" t="str">
        <f>INDEX(Q:Q,MATCH(Table1[[#This Row],[Item Purchased]],D:D))</f>
        <v>Venmo</v>
      </c>
      <c r="T1036">
        <f>SUMIF(J:J,Table1[[#This Row],[Season]],F:F)</f>
        <v>60018</v>
      </c>
    </row>
    <row r="1037" spans="1:20" x14ac:dyDescent="0.3">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c r="S1037" t="str">
        <f>INDEX(Q:Q,MATCH(Table1[[#This Row],[Item Purchased]],D:D))</f>
        <v>Venmo</v>
      </c>
      <c r="T1037">
        <f>SUMIF(J:J,Table1[[#This Row],[Season]],F:F)</f>
        <v>60018</v>
      </c>
    </row>
    <row r="1038" spans="1:20" x14ac:dyDescent="0.3">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c r="S1038" t="str">
        <f>INDEX(Q:Q,MATCH(Table1[[#This Row],[Item Purchased]],D:D))</f>
        <v>Cash</v>
      </c>
      <c r="T1038">
        <f>SUMIF(J:J,Table1[[#This Row],[Season]],F:F)</f>
        <v>60018</v>
      </c>
    </row>
    <row r="1039" spans="1:20" x14ac:dyDescent="0.3">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c r="S1039" t="str">
        <f>INDEX(Q:Q,MATCH(Table1[[#This Row],[Item Purchased]],D:D))</f>
        <v>Cash</v>
      </c>
      <c r="T1039">
        <f>SUMIF(J:J,Table1[[#This Row],[Season]],F:F)</f>
        <v>58679</v>
      </c>
    </row>
    <row r="1040" spans="1:20" x14ac:dyDescent="0.3">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c r="S1040" t="str">
        <f>INDEX(Q:Q,MATCH(Table1[[#This Row],[Item Purchased]],D:D))</f>
        <v>Cash</v>
      </c>
      <c r="T1040">
        <f>SUMIF(J:J,Table1[[#This Row],[Season]],F:F)</f>
        <v>60018</v>
      </c>
    </row>
    <row r="1041" spans="1:20" x14ac:dyDescent="0.3">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c r="S1041" t="e">
        <f>INDEX(Q:Q,MATCH(Table1[[#This Row],[Item Purchased]],D:D))</f>
        <v>#N/A</v>
      </c>
      <c r="T1041">
        <f>SUMIF(J:J,Table1[[#This Row],[Season]],F:F)</f>
        <v>60018</v>
      </c>
    </row>
    <row r="1042" spans="1:20" x14ac:dyDescent="0.3">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c r="S1042" t="str">
        <f>INDEX(Q:Q,MATCH(Table1[[#This Row],[Item Purchased]],D:D))</f>
        <v>Cash</v>
      </c>
      <c r="T1042">
        <f>SUMIF(J:J,Table1[[#This Row],[Season]],F:F)</f>
        <v>60018</v>
      </c>
    </row>
    <row r="1043" spans="1:20" x14ac:dyDescent="0.3">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c r="S1043" t="str">
        <f>INDEX(Q:Q,MATCH(Table1[[#This Row],[Item Purchased]],D:D))</f>
        <v>Bank Transfer</v>
      </c>
      <c r="T1043">
        <f>SUMIF(J:J,Table1[[#This Row],[Season]],F:F)</f>
        <v>55777</v>
      </c>
    </row>
    <row r="1044" spans="1:20" x14ac:dyDescent="0.3">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c r="S1044" t="e">
        <f>INDEX(Q:Q,MATCH(Table1[[#This Row],[Item Purchased]],D:D))</f>
        <v>#N/A</v>
      </c>
      <c r="T1044">
        <f>SUMIF(J:J,Table1[[#This Row],[Season]],F:F)</f>
        <v>58679</v>
      </c>
    </row>
    <row r="1045" spans="1:20" x14ac:dyDescent="0.3">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c r="S1045" t="str">
        <f>INDEX(Q:Q,MATCH(Table1[[#This Row],[Item Purchased]],D:D))</f>
        <v>Cash</v>
      </c>
      <c r="T1045">
        <f>SUMIF(J:J,Table1[[#This Row],[Season]],F:F)</f>
        <v>58679</v>
      </c>
    </row>
    <row r="1046" spans="1:20" x14ac:dyDescent="0.3">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c r="S1046" t="str">
        <f>INDEX(Q:Q,MATCH(Table1[[#This Row],[Item Purchased]],D:D))</f>
        <v>Cash</v>
      </c>
      <c r="T1046">
        <f>SUMIF(J:J,Table1[[#This Row],[Season]],F:F)</f>
        <v>55777</v>
      </c>
    </row>
    <row r="1047" spans="1:20" x14ac:dyDescent="0.3">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c r="S1047" t="str">
        <f>INDEX(Q:Q,MATCH(Table1[[#This Row],[Item Purchased]],D:D))</f>
        <v>Venmo</v>
      </c>
      <c r="T1047">
        <f>SUMIF(J:J,Table1[[#This Row],[Season]],F:F)</f>
        <v>60018</v>
      </c>
    </row>
    <row r="1048" spans="1:20" x14ac:dyDescent="0.3">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c r="S1048" t="str">
        <f>INDEX(Q:Q,MATCH(Table1[[#This Row],[Item Purchased]],D:D))</f>
        <v>Venmo</v>
      </c>
      <c r="T1048">
        <f>SUMIF(J:J,Table1[[#This Row],[Season]],F:F)</f>
        <v>58607</v>
      </c>
    </row>
    <row r="1049" spans="1:20" x14ac:dyDescent="0.3">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c r="S1049" t="str">
        <f>INDEX(Q:Q,MATCH(Table1[[#This Row],[Item Purchased]],D:D))</f>
        <v>Venmo</v>
      </c>
      <c r="T1049">
        <f>SUMIF(J:J,Table1[[#This Row],[Season]],F:F)</f>
        <v>60018</v>
      </c>
    </row>
    <row r="1050" spans="1:20" x14ac:dyDescent="0.3">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c r="S1050" t="str">
        <f>INDEX(Q:Q,MATCH(Table1[[#This Row],[Item Purchased]],D:D))</f>
        <v>Venmo</v>
      </c>
      <c r="T1050">
        <f>SUMIF(J:J,Table1[[#This Row],[Season]],F:F)</f>
        <v>60018</v>
      </c>
    </row>
    <row r="1051" spans="1:20" x14ac:dyDescent="0.3">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c r="S1051" t="str">
        <f>INDEX(Q:Q,MATCH(Table1[[#This Row],[Item Purchased]],D:D))</f>
        <v>Venmo</v>
      </c>
      <c r="T1051">
        <f>SUMIF(J:J,Table1[[#This Row],[Season]],F:F)</f>
        <v>60018</v>
      </c>
    </row>
    <row r="1052" spans="1:20" x14ac:dyDescent="0.3">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c r="S1052" t="str">
        <f>INDEX(Q:Q,MATCH(Table1[[#This Row],[Item Purchased]],D:D))</f>
        <v>Venmo</v>
      </c>
      <c r="T1052">
        <f>SUMIF(J:J,Table1[[#This Row],[Season]],F:F)</f>
        <v>58607</v>
      </c>
    </row>
    <row r="1053" spans="1:20" x14ac:dyDescent="0.3">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c r="S1053" t="str">
        <f>INDEX(Q:Q,MATCH(Table1[[#This Row],[Item Purchased]],D:D))</f>
        <v>Venmo</v>
      </c>
      <c r="T1053">
        <f>SUMIF(J:J,Table1[[#This Row],[Season]],F:F)</f>
        <v>60018</v>
      </c>
    </row>
    <row r="1054" spans="1:20" x14ac:dyDescent="0.3">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c r="S1054" t="str">
        <f>INDEX(Q:Q,MATCH(Table1[[#This Row],[Item Purchased]],D:D))</f>
        <v>PayPal</v>
      </c>
      <c r="T1054">
        <f>SUMIF(J:J,Table1[[#This Row],[Season]],F:F)</f>
        <v>60018</v>
      </c>
    </row>
    <row r="1055" spans="1:20" x14ac:dyDescent="0.3">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c r="S1055" t="str">
        <f>INDEX(Q:Q,MATCH(Table1[[#This Row],[Item Purchased]],D:D))</f>
        <v>Venmo</v>
      </c>
      <c r="T1055">
        <f>SUMIF(J:J,Table1[[#This Row],[Season]],F:F)</f>
        <v>58679</v>
      </c>
    </row>
    <row r="1056" spans="1:20" x14ac:dyDescent="0.3">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c r="S1056" t="str">
        <f>INDEX(Q:Q,MATCH(Table1[[#This Row],[Item Purchased]],D:D))</f>
        <v>PayPal</v>
      </c>
      <c r="T1056">
        <f>SUMIF(J:J,Table1[[#This Row],[Season]],F:F)</f>
        <v>58607</v>
      </c>
    </row>
    <row r="1057" spans="1:20" x14ac:dyDescent="0.3">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c r="S1057" t="str">
        <f>INDEX(Q:Q,MATCH(Table1[[#This Row],[Item Purchased]],D:D))</f>
        <v>Debit Card</v>
      </c>
      <c r="T1057">
        <f>SUMIF(J:J,Table1[[#This Row],[Season]],F:F)</f>
        <v>58679</v>
      </c>
    </row>
    <row r="1058" spans="1:20" x14ac:dyDescent="0.3">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c r="S1058" t="str">
        <f>INDEX(Q:Q,MATCH(Table1[[#This Row],[Item Purchased]],D:D))</f>
        <v>Venmo</v>
      </c>
      <c r="T1058">
        <f>SUMIF(J:J,Table1[[#This Row],[Season]],F:F)</f>
        <v>58607</v>
      </c>
    </row>
    <row r="1059" spans="1:20" x14ac:dyDescent="0.3">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c r="S1059" t="str">
        <f>INDEX(Q:Q,MATCH(Table1[[#This Row],[Item Purchased]],D:D))</f>
        <v>Debit Card</v>
      </c>
      <c r="T1059">
        <f>SUMIF(J:J,Table1[[#This Row],[Season]],F:F)</f>
        <v>58679</v>
      </c>
    </row>
    <row r="1060" spans="1:20" x14ac:dyDescent="0.3">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c r="S1060" t="str">
        <f>INDEX(Q:Q,MATCH(Table1[[#This Row],[Item Purchased]],D:D))</f>
        <v>Bank Transfer</v>
      </c>
      <c r="T1060">
        <f>SUMIF(J:J,Table1[[#This Row],[Season]],F:F)</f>
        <v>55777</v>
      </c>
    </row>
    <row r="1061" spans="1:20" x14ac:dyDescent="0.3">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c r="S1061" t="str">
        <f>INDEX(Q:Q,MATCH(Table1[[#This Row],[Item Purchased]],D:D))</f>
        <v>Debit Card</v>
      </c>
      <c r="T1061">
        <f>SUMIF(J:J,Table1[[#This Row],[Season]],F:F)</f>
        <v>58607</v>
      </c>
    </row>
    <row r="1062" spans="1:20" x14ac:dyDescent="0.3">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c r="S1062" t="str">
        <f>INDEX(Q:Q,MATCH(Table1[[#This Row],[Item Purchased]],D:D))</f>
        <v>Venmo</v>
      </c>
      <c r="T1062">
        <f>SUMIF(J:J,Table1[[#This Row],[Season]],F:F)</f>
        <v>55777</v>
      </c>
    </row>
    <row r="1063" spans="1:20" x14ac:dyDescent="0.3">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c r="S1063" t="str">
        <f>INDEX(Q:Q,MATCH(Table1[[#This Row],[Item Purchased]],D:D))</f>
        <v>Debit Card</v>
      </c>
      <c r="T1063">
        <f>SUMIF(J:J,Table1[[#This Row],[Season]],F:F)</f>
        <v>55777</v>
      </c>
    </row>
    <row r="1064" spans="1:20" x14ac:dyDescent="0.3">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c r="S1064" t="str">
        <f>INDEX(Q:Q,MATCH(Table1[[#This Row],[Item Purchased]],D:D))</f>
        <v>Venmo</v>
      </c>
      <c r="T1064">
        <f>SUMIF(J:J,Table1[[#This Row],[Season]],F:F)</f>
        <v>60018</v>
      </c>
    </row>
    <row r="1065" spans="1:20" x14ac:dyDescent="0.3">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c r="S1065" t="str">
        <f>INDEX(Q:Q,MATCH(Table1[[#This Row],[Item Purchased]],D:D))</f>
        <v>Venmo</v>
      </c>
      <c r="T1065">
        <f>SUMIF(J:J,Table1[[#This Row],[Season]],F:F)</f>
        <v>55777</v>
      </c>
    </row>
    <row r="1066" spans="1:20" x14ac:dyDescent="0.3">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c r="S1066" t="str">
        <f>INDEX(Q:Q,MATCH(Table1[[#This Row],[Item Purchased]],D:D))</f>
        <v>Venmo</v>
      </c>
      <c r="T1066">
        <f>SUMIF(J:J,Table1[[#This Row],[Season]],F:F)</f>
        <v>58679</v>
      </c>
    </row>
    <row r="1067" spans="1:20" x14ac:dyDescent="0.3">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c r="S1067" t="str">
        <f>INDEX(Q:Q,MATCH(Table1[[#This Row],[Item Purchased]],D:D))</f>
        <v>Venmo</v>
      </c>
      <c r="T1067">
        <f>SUMIF(J:J,Table1[[#This Row],[Season]],F:F)</f>
        <v>58679</v>
      </c>
    </row>
    <row r="1068" spans="1:20" x14ac:dyDescent="0.3">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c r="S1068" t="str">
        <f>INDEX(Q:Q,MATCH(Table1[[#This Row],[Item Purchased]],D:D))</f>
        <v>Debit Card</v>
      </c>
      <c r="T1068">
        <f>SUMIF(J:J,Table1[[#This Row],[Season]],F:F)</f>
        <v>58607</v>
      </c>
    </row>
    <row r="1069" spans="1:20" x14ac:dyDescent="0.3">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c r="S1069" t="str">
        <f>INDEX(Q:Q,MATCH(Table1[[#This Row],[Item Purchased]],D:D))</f>
        <v>Debit Card</v>
      </c>
      <c r="T1069">
        <f>SUMIF(J:J,Table1[[#This Row],[Season]],F:F)</f>
        <v>55777</v>
      </c>
    </row>
    <row r="1070" spans="1:20" x14ac:dyDescent="0.3">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c r="S1070" t="str">
        <f>INDEX(Q:Q,MATCH(Table1[[#This Row],[Item Purchased]],D:D))</f>
        <v>Bank Transfer</v>
      </c>
      <c r="T1070">
        <f>SUMIF(J:J,Table1[[#This Row],[Season]],F:F)</f>
        <v>60018</v>
      </c>
    </row>
    <row r="1071" spans="1:20" x14ac:dyDescent="0.3">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c r="S1071" t="str">
        <f>INDEX(Q:Q,MATCH(Table1[[#This Row],[Item Purchased]],D:D))</f>
        <v>Credit Card</v>
      </c>
      <c r="T1071">
        <f>SUMIF(J:J,Table1[[#This Row],[Season]],F:F)</f>
        <v>60018</v>
      </c>
    </row>
    <row r="1072" spans="1:20" x14ac:dyDescent="0.3">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c r="S1072" t="str">
        <f>INDEX(Q:Q,MATCH(Table1[[#This Row],[Item Purchased]],D:D))</f>
        <v>Cash</v>
      </c>
      <c r="T1072">
        <f>SUMIF(J:J,Table1[[#This Row],[Season]],F:F)</f>
        <v>55777</v>
      </c>
    </row>
    <row r="1073" spans="1:20" x14ac:dyDescent="0.3">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c r="S1073" t="str">
        <f>INDEX(Q:Q,MATCH(Table1[[#This Row],[Item Purchased]],D:D))</f>
        <v>Venmo</v>
      </c>
      <c r="T1073">
        <f>SUMIF(J:J,Table1[[#This Row],[Season]],F:F)</f>
        <v>55777</v>
      </c>
    </row>
    <row r="1074" spans="1:20" x14ac:dyDescent="0.3">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c r="S1074" t="str">
        <f>INDEX(Q:Q,MATCH(Table1[[#This Row],[Item Purchased]],D:D))</f>
        <v>PayPal</v>
      </c>
      <c r="T1074">
        <f>SUMIF(J:J,Table1[[#This Row],[Season]],F:F)</f>
        <v>60018</v>
      </c>
    </row>
    <row r="1075" spans="1:20" x14ac:dyDescent="0.3">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c r="S1075" t="str">
        <f>INDEX(Q:Q,MATCH(Table1[[#This Row],[Item Purchased]],D:D))</f>
        <v>Bank Transfer</v>
      </c>
      <c r="T1075">
        <f>SUMIF(J:J,Table1[[#This Row],[Season]],F:F)</f>
        <v>58679</v>
      </c>
    </row>
    <row r="1076" spans="1:20" x14ac:dyDescent="0.3">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c r="S1076" t="str">
        <f>INDEX(Q:Q,MATCH(Table1[[#This Row],[Item Purchased]],D:D))</f>
        <v>Cash</v>
      </c>
      <c r="T1076">
        <f>SUMIF(J:J,Table1[[#This Row],[Season]],F:F)</f>
        <v>60018</v>
      </c>
    </row>
    <row r="1077" spans="1:20" x14ac:dyDescent="0.3">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c r="S1077" t="str">
        <f>INDEX(Q:Q,MATCH(Table1[[#This Row],[Item Purchased]],D:D))</f>
        <v>Venmo</v>
      </c>
      <c r="T1077">
        <f>SUMIF(J:J,Table1[[#This Row],[Season]],F:F)</f>
        <v>55777</v>
      </c>
    </row>
    <row r="1078" spans="1:20" x14ac:dyDescent="0.3">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c r="S1078" t="str">
        <f>INDEX(Q:Q,MATCH(Table1[[#This Row],[Item Purchased]],D:D))</f>
        <v>Debit Card</v>
      </c>
      <c r="T1078">
        <f>SUMIF(J:J,Table1[[#This Row],[Season]],F:F)</f>
        <v>58679</v>
      </c>
    </row>
    <row r="1079" spans="1:20" x14ac:dyDescent="0.3">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c r="S1079" t="str">
        <f>INDEX(Q:Q,MATCH(Table1[[#This Row],[Item Purchased]],D:D))</f>
        <v>Debit Card</v>
      </c>
      <c r="T1079">
        <f>SUMIF(J:J,Table1[[#This Row],[Season]],F:F)</f>
        <v>58607</v>
      </c>
    </row>
    <row r="1080" spans="1:20" x14ac:dyDescent="0.3">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c r="S1080" t="str">
        <f>INDEX(Q:Q,MATCH(Table1[[#This Row],[Item Purchased]],D:D))</f>
        <v>Venmo</v>
      </c>
      <c r="T1080">
        <f>SUMIF(J:J,Table1[[#This Row],[Season]],F:F)</f>
        <v>60018</v>
      </c>
    </row>
    <row r="1081" spans="1:20" x14ac:dyDescent="0.3">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c r="S1081" t="str">
        <f>INDEX(Q:Q,MATCH(Table1[[#This Row],[Item Purchased]],D:D))</f>
        <v>Debit Card</v>
      </c>
      <c r="T1081">
        <f>SUMIF(J:J,Table1[[#This Row],[Season]],F:F)</f>
        <v>55777</v>
      </c>
    </row>
    <row r="1082" spans="1:20" x14ac:dyDescent="0.3">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c r="S1082" t="str">
        <f>INDEX(Q:Q,MATCH(Table1[[#This Row],[Item Purchased]],D:D))</f>
        <v>Bank Transfer</v>
      </c>
      <c r="T1082">
        <f>SUMIF(J:J,Table1[[#This Row],[Season]],F:F)</f>
        <v>60018</v>
      </c>
    </row>
    <row r="1083" spans="1:20" x14ac:dyDescent="0.3">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c r="S1083" t="e">
        <f>INDEX(Q:Q,MATCH(Table1[[#This Row],[Item Purchased]],D:D))</f>
        <v>#N/A</v>
      </c>
      <c r="T1083">
        <f>SUMIF(J:J,Table1[[#This Row],[Season]],F:F)</f>
        <v>58679</v>
      </c>
    </row>
    <row r="1084" spans="1:20" x14ac:dyDescent="0.3">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c r="S1084" t="str">
        <f>INDEX(Q:Q,MATCH(Table1[[#This Row],[Item Purchased]],D:D))</f>
        <v>Venmo</v>
      </c>
      <c r="T1084">
        <f>SUMIF(J:J,Table1[[#This Row],[Season]],F:F)</f>
        <v>58607</v>
      </c>
    </row>
    <row r="1085" spans="1:20" x14ac:dyDescent="0.3">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c r="S1085" t="e">
        <f>INDEX(Q:Q,MATCH(Table1[[#This Row],[Item Purchased]],D:D))</f>
        <v>#N/A</v>
      </c>
      <c r="T1085">
        <f>SUMIF(J:J,Table1[[#This Row],[Season]],F:F)</f>
        <v>55777</v>
      </c>
    </row>
    <row r="1086" spans="1:20" x14ac:dyDescent="0.3">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c r="S1086" t="str">
        <f>INDEX(Q:Q,MATCH(Table1[[#This Row],[Item Purchased]],D:D))</f>
        <v>Venmo</v>
      </c>
      <c r="T1086">
        <f>SUMIF(J:J,Table1[[#This Row],[Season]],F:F)</f>
        <v>60018</v>
      </c>
    </row>
    <row r="1087" spans="1:20" x14ac:dyDescent="0.3">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c r="S1087" t="str">
        <f>INDEX(Q:Q,MATCH(Table1[[#This Row],[Item Purchased]],D:D))</f>
        <v>Cash</v>
      </c>
      <c r="T1087">
        <f>SUMIF(J:J,Table1[[#This Row],[Season]],F:F)</f>
        <v>58607</v>
      </c>
    </row>
    <row r="1088" spans="1:20" x14ac:dyDescent="0.3">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c r="S1088" t="str">
        <f>INDEX(Q:Q,MATCH(Table1[[#This Row],[Item Purchased]],D:D))</f>
        <v>Venmo</v>
      </c>
      <c r="T1088">
        <f>SUMIF(J:J,Table1[[#This Row],[Season]],F:F)</f>
        <v>58607</v>
      </c>
    </row>
    <row r="1089" spans="1:20" x14ac:dyDescent="0.3">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c r="S1089" t="str">
        <f>INDEX(Q:Q,MATCH(Table1[[#This Row],[Item Purchased]],D:D))</f>
        <v>Cash</v>
      </c>
      <c r="T1089">
        <f>SUMIF(J:J,Table1[[#This Row],[Season]],F:F)</f>
        <v>58607</v>
      </c>
    </row>
    <row r="1090" spans="1:20" x14ac:dyDescent="0.3">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c r="S1090" t="str">
        <f>INDEX(Q:Q,MATCH(Table1[[#This Row],[Item Purchased]],D:D))</f>
        <v>Cash</v>
      </c>
      <c r="T1090">
        <f>SUMIF(J:J,Table1[[#This Row],[Season]],F:F)</f>
        <v>58607</v>
      </c>
    </row>
    <row r="1091" spans="1:20" x14ac:dyDescent="0.3">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c r="S1091" t="e">
        <f>INDEX(Q:Q,MATCH(Table1[[#This Row],[Item Purchased]],D:D))</f>
        <v>#N/A</v>
      </c>
      <c r="T1091">
        <f>SUMIF(J:J,Table1[[#This Row],[Season]],F:F)</f>
        <v>58679</v>
      </c>
    </row>
    <row r="1092" spans="1:20" x14ac:dyDescent="0.3">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c r="S1092" t="str">
        <f>INDEX(Q:Q,MATCH(Table1[[#This Row],[Item Purchased]],D:D))</f>
        <v>Bank Transfer</v>
      </c>
      <c r="T1092">
        <f>SUMIF(J:J,Table1[[#This Row],[Season]],F:F)</f>
        <v>58679</v>
      </c>
    </row>
    <row r="1093" spans="1:20" x14ac:dyDescent="0.3">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c r="S1093" t="str">
        <f>INDEX(Q:Q,MATCH(Table1[[#This Row],[Item Purchased]],D:D))</f>
        <v>Venmo</v>
      </c>
      <c r="T1093">
        <f>SUMIF(J:J,Table1[[#This Row],[Season]],F:F)</f>
        <v>58679</v>
      </c>
    </row>
    <row r="1094" spans="1:20" x14ac:dyDescent="0.3">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c r="S1094" t="str">
        <f>INDEX(Q:Q,MATCH(Table1[[#This Row],[Item Purchased]],D:D))</f>
        <v>Cash</v>
      </c>
      <c r="T1094">
        <f>SUMIF(J:J,Table1[[#This Row],[Season]],F:F)</f>
        <v>58679</v>
      </c>
    </row>
    <row r="1095" spans="1:20" x14ac:dyDescent="0.3">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c r="S1095" t="str">
        <f>INDEX(Q:Q,MATCH(Table1[[#This Row],[Item Purchased]],D:D))</f>
        <v>Venmo</v>
      </c>
      <c r="T1095">
        <f>SUMIF(J:J,Table1[[#This Row],[Season]],F:F)</f>
        <v>58607</v>
      </c>
    </row>
    <row r="1096" spans="1:20" x14ac:dyDescent="0.3">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c r="S1096" t="str">
        <f>INDEX(Q:Q,MATCH(Table1[[#This Row],[Item Purchased]],D:D))</f>
        <v>Cash</v>
      </c>
      <c r="T1096">
        <f>SUMIF(J:J,Table1[[#This Row],[Season]],F:F)</f>
        <v>58607</v>
      </c>
    </row>
    <row r="1097" spans="1:20" x14ac:dyDescent="0.3">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c r="S1097" t="str">
        <f>INDEX(Q:Q,MATCH(Table1[[#This Row],[Item Purchased]],D:D))</f>
        <v>Debit Card</v>
      </c>
      <c r="T1097">
        <f>SUMIF(J:J,Table1[[#This Row],[Season]],F:F)</f>
        <v>55777</v>
      </c>
    </row>
    <row r="1098" spans="1:20" x14ac:dyDescent="0.3">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c r="S1098" t="str">
        <f>INDEX(Q:Q,MATCH(Table1[[#This Row],[Item Purchased]],D:D))</f>
        <v>Debit Card</v>
      </c>
      <c r="T1098">
        <f>SUMIF(J:J,Table1[[#This Row],[Season]],F:F)</f>
        <v>60018</v>
      </c>
    </row>
    <row r="1099" spans="1:20" x14ac:dyDescent="0.3">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c r="S1099" t="str">
        <f>INDEX(Q:Q,MATCH(Table1[[#This Row],[Item Purchased]],D:D))</f>
        <v>Venmo</v>
      </c>
      <c r="T1099">
        <f>SUMIF(J:J,Table1[[#This Row],[Season]],F:F)</f>
        <v>55777</v>
      </c>
    </row>
    <row r="1100" spans="1:20" x14ac:dyDescent="0.3">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c r="S1100" t="str">
        <f>INDEX(Q:Q,MATCH(Table1[[#This Row],[Item Purchased]],D:D))</f>
        <v>Cash</v>
      </c>
      <c r="T1100">
        <f>SUMIF(J:J,Table1[[#This Row],[Season]],F:F)</f>
        <v>58679</v>
      </c>
    </row>
    <row r="1101" spans="1:20" x14ac:dyDescent="0.3">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c r="S1101" t="str">
        <f>INDEX(Q:Q,MATCH(Table1[[#This Row],[Item Purchased]],D:D))</f>
        <v>Venmo</v>
      </c>
      <c r="T1101">
        <f>SUMIF(J:J,Table1[[#This Row],[Season]],F:F)</f>
        <v>60018</v>
      </c>
    </row>
    <row r="1102" spans="1:20" x14ac:dyDescent="0.3">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c r="S1102" t="str">
        <f>INDEX(Q:Q,MATCH(Table1[[#This Row],[Item Purchased]],D:D))</f>
        <v>Cash</v>
      </c>
      <c r="T1102">
        <f>SUMIF(J:J,Table1[[#This Row],[Season]],F:F)</f>
        <v>58679</v>
      </c>
    </row>
    <row r="1103" spans="1:20" x14ac:dyDescent="0.3">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c r="S1103" t="str">
        <f>INDEX(Q:Q,MATCH(Table1[[#This Row],[Item Purchased]],D:D))</f>
        <v>Debit Card</v>
      </c>
      <c r="T1103">
        <f>SUMIF(J:J,Table1[[#This Row],[Season]],F:F)</f>
        <v>60018</v>
      </c>
    </row>
    <row r="1104" spans="1:20" x14ac:dyDescent="0.3">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c r="S1104" t="str">
        <f>INDEX(Q:Q,MATCH(Table1[[#This Row],[Item Purchased]],D:D))</f>
        <v>Venmo</v>
      </c>
      <c r="T1104">
        <f>SUMIF(J:J,Table1[[#This Row],[Season]],F:F)</f>
        <v>60018</v>
      </c>
    </row>
    <row r="1105" spans="1:20" x14ac:dyDescent="0.3">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c r="S1105" t="str">
        <f>INDEX(Q:Q,MATCH(Table1[[#This Row],[Item Purchased]],D:D))</f>
        <v>Venmo</v>
      </c>
      <c r="T1105">
        <f>SUMIF(J:J,Table1[[#This Row],[Season]],F:F)</f>
        <v>58679</v>
      </c>
    </row>
    <row r="1106" spans="1:20" x14ac:dyDescent="0.3">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c r="S1106" t="str">
        <f>INDEX(Q:Q,MATCH(Table1[[#This Row],[Item Purchased]],D:D))</f>
        <v>Venmo</v>
      </c>
      <c r="T1106">
        <f>SUMIF(J:J,Table1[[#This Row],[Season]],F:F)</f>
        <v>60018</v>
      </c>
    </row>
    <row r="1107" spans="1:20" x14ac:dyDescent="0.3">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c r="S1107" t="str">
        <f>INDEX(Q:Q,MATCH(Table1[[#This Row],[Item Purchased]],D:D))</f>
        <v>Venmo</v>
      </c>
      <c r="T1107">
        <f>SUMIF(J:J,Table1[[#This Row],[Season]],F:F)</f>
        <v>58679</v>
      </c>
    </row>
    <row r="1108" spans="1:20" x14ac:dyDescent="0.3">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c r="S1108" t="str">
        <f>INDEX(Q:Q,MATCH(Table1[[#This Row],[Item Purchased]],D:D))</f>
        <v>Credit Card</v>
      </c>
      <c r="T1108">
        <f>SUMIF(J:J,Table1[[#This Row],[Season]],F:F)</f>
        <v>58607</v>
      </c>
    </row>
    <row r="1109" spans="1:20" x14ac:dyDescent="0.3">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c r="S1109" t="str">
        <f>INDEX(Q:Q,MATCH(Table1[[#This Row],[Item Purchased]],D:D))</f>
        <v>Venmo</v>
      </c>
      <c r="T1109">
        <f>SUMIF(J:J,Table1[[#This Row],[Season]],F:F)</f>
        <v>60018</v>
      </c>
    </row>
    <row r="1110" spans="1:20" x14ac:dyDescent="0.3">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c r="S1110" t="str">
        <f>INDEX(Q:Q,MATCH(Table1[[#This Row],[Item Purchased]],D:D))</f>
        <v>PayPal</v>
      </c>
      <c r="T1110">
        <f>SUMIF(J:J,Table1[[#This Row],[Season]],F:F)</f>
        <v>60018</v>
      </c>
    </row>
    <row r="1111" spans="1:20" x14ac:dyDescent="0.3">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c r="S1111" t="str">
        <f>INDEX(Q:Q,MATCH(Table1[[#This Row],[Item Purchased]],D:D))</f>
        <v>Venmo</v>
      </c>
      <c r="T1111">
        <f>SUMIF(J:J,Table1[[#This Row],[Season]],F:F)</f>
        <v>58607</v>
      </c>
    </row>
    <row r="1112" spans="1:20" x14ac:dyDescent="0.3">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c r="S1112" t="str">
        <f>INDEX(Q:Q,MATCH(Table1[[#This Row],[Item Purchased]],D:D))</f>
        <v>Venmo</v>
      </c>
      <c r="T1112">
        <f>SUMIF(J:J,Table1[[#This Row],[Season]],F:F)</f>
        <v>60018</v>
      </c>
    </row>
    <row r="1113" spans="1:20" x14ac:dyDescent="0.3">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c r="S1113" t="str">
        <f>INDEX(Q:Q,MATCH(Table1[[#This Row],[Item Purchased]],D:D))</f>
        <v>PayPal</v>
      </c>
      <c r="T1113">
        <f>SUMIF(J:J,Table1[[#This Row],[Season]],F:F)</f>
        <v>55777</v>
      </c>
    </row>
    <row r="1114" spans="1:20" x14ac:dyDescent="0.3">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c r="S1114" t="str">
        <f>INDEX(Q:Q,MATCH(Table1[[#This Row],[Item Purchased]],D:D))</f>
        <v>Venmo</v>
      </c>
      <c r="T1114">
        <f>SUMIF(J:J,Table1[[#This Row],[Season]],F:F)</f>
        <v>58679</v>
      </c>
    </row>
    <row r="1115" spans="1:20" x14ac:dyDescent="0.3">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c r="S1115" t="str">
        <f>INDEX(Q:Q,MATCH(Table1[[#This Row],[Item Purchased]],D:D))</f>
        <v>Venmo</v>
      </c>
      <c r="T1115">
        <f>SUMIF(J:J,Table1[[#This Row],[Season]],F:F)</f>
        <v>55777</v>
      </c>
    </row>
    <row r="1116" spans="1:20" x14ac:dyDescent="0.3">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c r="S1116" t="str">
        <f>INDEX(Q:Q,MATCH(Table1[[#This Row],[Item Purchased]],D:D))</f>
        <v>Credit Card</v>
      </c>
      <c r="T1116">
        <f>SUMIF(J:J,Table1[[#This Row],[Season]],F:F)</f>
        <v>60018</v>
      </c>
    </row>
    <row r="1117" spans="1:20" x14ac:dyDescent="0.3">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c r="S1117" t="str">
        <f>INDEX(Q:Q,MATCH(Table1[[#This Row],[Item Purchased]],D:D))</f>
        <v>Venmo</v>
      </c>
      <c r="T1117">
        <f>SUMIF(J:J,Table1[[#This Row],[Season]],F:F)</f>
        <v>60018</v>
      </c>
    </row>
    <row r="1118" spans="1:20" x14ac:dyDescent="0.3">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c r="S1118" t="e">
        <f>INDEX(Q:Q,MATCH(Table1[[#This Row],[Item Purchased]],D:D))</f>
        <v>#N/A</v>
      </c>
      <c r="T1118">
        <f>SUMIF(J:J,Table1[[#This Row],[Season]],F:F)</f>
        <v>58607</v>
      </c>
    </row>
    <row r="1119" spans="1:20" x14ac:dyDescent="0.3">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c r="S1119" t="str">
        <f>INDEX(Q:Q,MATCH(Table1[[#This Row],[Item Purchased]],D:D))</f>
        <v>Venmo</v>
      </c>
      <c r="T1119">
        <f>SUMIF(J:J,Table1[[#This Row],[Season]],F:F)</f>
        <v>58679</v>
      </c>
    </row>
    <row r="1120" spans="1:20" x14ac:dyDescent="0.3">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c r="S1120" t="e">
        <f>INDEX(Q:Q,MATCH(Table1[[#This Row],[Item Purchased]],D:D))</f>
        <v>#N/A</v>
      </c>
      <c r="T1120">
        <f>SUMIF(J:J,Table1[[#This Row],[Season]],F:F)</f>
        <v>55777</v>
      </c>
    </row>
    <row r="1121" spans="1:20" x14ac:dyDescent="0.3">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c r="S1121" t="str">
        <f>INDEX(Q:Q,MATCH(Table1[[#This Row],[Item Purchased]],D:D))</f>
        <v>Cash</v>
      </c>
      <c r="T1121">
        <f>SUMIF(J:J,Table1[[#This Row],[Season]],F:F)</f>
        <v>58679</v>
      </c>
    </row>
    <row r="1122" spans="1:20" x14ac:dyDescent="0.3">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c r="S1122" t="str">
        <f>INDEX(Q:Q,MATCH(Table1[[#This Row],[Item Purchased]],D:D))</f>
        <v>Venmo</v>
      </c>
      <c r="T1122">
        <f>SUMIF(J:J,Table1[[#This Row],[Season]],F:F)</f>
        <v>58607</v>
      </c>
    </row>
    <row r="1123" spans="1:20" x14ac:dyDescent="0.3">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c r="S1123" t="str">
        <f>INDEX(Q:Q,MATCH(Table1[[#This Row],[Item Purchased]],D:D))</f>
        <v>Venmo</v>
      </c>
      <c r="T1123">
        <f>SUMIF(J:J,Table1[[#This Row],[Season]],F:F)</f>
        <v>60018</v>
      </c>
    </row>
    <row r="1124" spans="1:20" x14ac:dyDescent="0.3">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c r="S1124" t="str">
        <f>INDEX(Q:Q,MATCH(Table1[[#This Row],[Item Purchased]],D:D))</f>
        <v>Cash</v>
      </c>
      <c r="T1124">
        <f>SUMIF(J:J,Table1[[#This Row],[Season]],F:F)</f>
        <v>58679</v>
      </c>
    </row>
    <row r="1125" spans="1:20" x14ac:dyDescent="0.3">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c r="S1125" t="str">
        <f>INDEX(Q:Q,MATCH(Table1[[#This Row],[Item Purchased]],D:D))</f>
        <v>Venmo</v>
      </c>
      <c r="T1125">
        <f>SUMIF(J:J,Table1[[#This Row],[Season]],F:F)</f>
        <v>60018</v>
      </c>
    </row>
    <row r="1126" spans="1:20" x14ac:dyDescent="0.3">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c r="S1126" t="str">
        <f>INDEX(Q:Q,MATCH(Table1[[#This Row],[Item Purchased]],D:D))</f>
        <v>Venmo</v>
      </c>
      <c r="T1126">
        <f>SUMIF(J:J,Table1[[#This Row],[Season]],F:F)</f>
        <v>58679</v>
      </c>
    </row>
    <row r="1127" spans="1:20" x14ac:dyDescent="0.3">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c r="S1127" t="str">
        <f>INDEX(Q:Q,MATCH(Table1[[#This Row],[Item Purchased]],D:D))</f>
        <v>Bank Transfer</v>
      </c>
      <c r="T1127">
        <f>SUMIF(J:J,Table1[[#This Row],[Season]],F:F)</f>
        <v>55777</v>
      </c>
    </row>
    <row r="1128" spans="1:20" x14ac:dyDescent="0.3">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c r="S1128" t="str">
        <f>INDEX(Q:Q,MATCH(Table1[[#This Row],[Item Purchased]],D:D))</f>
        <v>Bank Transfer</v>
      </c>
      <c r="T1128">
        <f>SUMIF(J:J,Table1[[#This Row],[Season]],F:F)</f>
        <v>58607</v>
      </c>
    </row>
    <row r="1129" spans="1:20" x14ac:dyDescent="0.3">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c r="S1129" t="str">
        <f>INDEX(Q:Q,MATCH(Table1[[#This Row],[Item Purchased]],D:D))</f>
        <v>Bank Transfer</v>
      </c>
      <c r="T1129">
        <f>SUMIF(J:J,Table1[[#This Row],[Season]],F:F)</f>
        <v>58679</v>
      </c>
    </row>
    <row r="1130" spans="1:20" x14ac:dyDescent="0.3">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c r="S1130" t="str">
        <f>INDEX(Q:Q,MATCH(Table1[[#This Row],[Item Purchased]],D:D))</f>
        <v>Debit Card</v>
      </c>
      <c r="T1130">
        <f>SUMIF(J:J,Table1[[#This Row],[Season]],F:F)</f>
        <v>58607</v>
      </c>
    </row>
    <row r="1131" spans="1:20" x14ac:dyDescent="0.3">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c r="S1131" t="str">
        <f>INDEX(Q:Q,MATCH(Table1[[#This Row],[Item Purchased]],D:D))</f>
        <v>Venmo</v>
      </c>
      <c r="T1131">
        <f>SUMIF(J:J,Table1[[#This Row],[Season]],F:F)</f>
        <v>58607</v>
      </c>
    </row>
    <row r="1132" spans="1:20" x14ac:dyDescent="0.3">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c r="S1132" t="str">
        <f>INDEX(Q:Q,MATCH(Table1[[#This Row],[Item Purchased]],D:D))</f>
        <v>Cash</v>
      </c>
      <c r="T1132">
        <f>SUMIF(J:J,Table1[[#This Row],[Season]],F:F)</f>
        <v>55777</v>
      </c>
    </row>
    <row r="1133" spans="1:20" x14ac:dyDescent="0.3">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c r="S1133" t="str">
        <f>INDEX(Q:Q,MATCH(Table1[[#This Row],[Item Purchased]],D:D))</f>
        <v>Bank Transfer</v>
      </c>
      <c r="T1133">
        <f>SUMIF(J:J,Table1[[#This Row],[Season]],F:F)</f>
        <v>58679</v>
      </c>
    </row>
    <row r="1134" spans="1:20" x14ac:dyDescent="0.3">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c r="S1134" t="str">
        <f>INDEX(Q:Q,MATCH(Table1[[#This Row],[Item Purchased]],D:D))</f>
        <v>Venmo</v>
      </c>
      <c r="T1134">
        <f>SUMIF(J:J,Table1[[#This Row],[Season]],F:F)</f>
        <v>58679</v>
      </c>
    </row>
    <row r="1135" spans="1:20" x14ac:dyDescent="0.3">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c r="S1135" t="str">
        <f>INDEX(Q:Q,MATCH(Table1[[#This Row],[Item Purchased]],D:D))</f>
        <v>PayPal</v>
      </c>
      <c r="T1135">
        <f>SUMIF(J:J,Table1[[#This Row],[Season]],F:F)</f>
        <v>58607</v>
      </c>
    </row>
    <row r="1136" spans="1:20" x14ac:dyDescent="0.3">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c r="S1136" t="str">
        <f>INDEX(Q:Q,MATCH(Table1[[#This Row],[Item Purchased]],D:D))</f>
        <v>Venmo</v>
      </c>
      <c r="T1136">
        <f>SUMIF(J:J,Table1[[#This Row],[Season]],F:F)</f>
        <v>55777</v>
      </c>
    </row>
    <row r="1137" spans="1:20" x14ac:dyDescent="0.3">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c r="S1137" t="str">
        <f>INDEX(Q:Q,MATCH(Table1[[#This Row],[Item Purchased]],D:D))</f>
        <v>Credit Card</v>
      </c>
      <c r="T1137">
        <f>SUMIF(J:J,Table1[[#This Row],[Season]],F:F)</f>
        <v>58607</v>
      </c>
    </row>
    <row r="1138" spans="1:20" x14ac:dyDescent="0.3">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c r="S1138" t="str">
        <f>INDEX(Q:Q,MATCH(Table1[[#This Row],[Item Purchased]],D:D))</f>
        <v>Cash</v>
      </c>
      <c r="T1138">
        <f>SUMIF(J:J,Table1[[#This Row],[Season]],F:F)</f>
        <v>55777</v>
      </c>
    </row>
    <row r="1139" spans="1:20" x14ac:dyDescent="0.3">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c r="S1139" t="str">
        <f>INDEX(Q:Q,MATCH(Table1[[#This Row],[Item Purchased]],D:D))</f>
        <v>Bank Transfer</v>
      </c>
      <c r="T1139">
        <f>SUMIF(J:J,Table1[[#This Row],[Season]],F:F)</f>
        <v>58607</v>
      </c>
    </row>
    <row r="1140" spans="1:20" x14ac:dyDescent="0.3">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c r="S1140" t="str">
        <f>INDEX(Q:Q,MATCH(Table1[[#This Row],[Item Purchased]],D:D))</f>
        <v>Cash</v>
      </c>
      <c r="T1140">
        <f>SUMIF(J:J,Table1[[#This Row],[Season]],F:F)</f>
        <v>55777</v>
      </c>
    </row>
    <row r="1141" spans="1:20" x14ac:dyDescent="0.3">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c r="S1141" t="str">
        <f>INDEX(Q:Q,MATCH(Table1[[#This Row],[Item Purchased]],D:D))</f>
        <v>Debit Card</v>
      </c>
      <c r="T1141">
        <f>SUMIF(J:J,Table1[[#This Row],[Season]],F:F)</f>
        <v>58679</v>
      </c>
    </row>
    <row r="1142" spans="1:20" x14ac:dyDescent="0.3">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c r="S1142" t="str">
        <f>INDEX(Q:Q,MATCH(Table1[[#This Row],[Item Purchased]],D:D))</f>
        <v>Cash</v>
      </c>
      <c r="T1142">
        <f>SUMIF(J:J,Table1[[#This Row],[Season]],F:F)</f>
        <v>58607</v>
      </c>
    </row>
    <row r="1143" spans="1:20" x14ac:dyDescent="0.3">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c r="S1143" t="str">
        <f>INDEX(Q:Q,MATCH(Table1[[#This Row],[Item Purchased]],D:D))</f>
        <v>Debit Card</v>
      </c>
      <c r="T1143">
        <f>SUMIF(J:J,Table1[[#This Row],[Season]],F:F)</f>
        <v>58607</v>
      </c>
    </row>
    <row r="1144" spans="1:20" x14ac:dyDescent="0.3">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c r="S1144" t="str">
        <f>INDEX(Q:Q,MATCH(Table1[[#This Row],[Item Purchased]],D:D))</f>
        <v>Venmo</v>
      </c>
      <c r="T1144">
        <f>SUMIF(J:J,Table1[[#This Row],[Season]],F:F)</f>
        <v>58679</v>
      </c>
    </row>
    <row r="1145" spans="1:20" x14ac:dyDescent="0.3">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c r="S1145" t="str">
        <f>INDEX(Q:Q,MATCH(Table1[[#This Row],[Item Purchased]],D:D))</f>
        <v>Venmo</v>
      </c>
      <c r="T1145">
        <f>SUMIF(J:J,Table1[[#This Row],[Season]],F:F)</f>
        <v>58607</v>
      </c>
    </row>
    <row r="1146" spans="1:20" x14ac:dyDescent="0.3">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c r="S1146" t="str">
        <f>INDEX(Q:Q,MATCH(Table1[[#This Row],[Item Purchased]],D:D))</f>
        <v>Cash</v>
      </c>
      <c r="T1146">
        <f>SUMIF(J:J,Table1[[#This Row],[Season]],F:F)</f>
        <v>60018</v>
      </c>
    </row>
    <row r="1147" spans="1:20" x14ac:dyDescent="0.3">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c r="S1147" t="str">
        <f>INDEX(Q:Q,MATCH(Table1[[#This Row],[Item Purchased]],D:D))</f>
        <v>Venmo</v>
      </c>
      <c r="T1147">
        <f>SUMIF(J:J,Table1[[#This Row],[Season]],F:F)</f>
        <v>55777</v>
      </c>
    </row>
    <row r="1148" spans="1:20" x14ac:dyDescent="0.3">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c r="S1148" t="str">
        <f>INDEX(Q:Q,MATCH(Table1[[#This Row],[Item Purchased]],D:D))</f>
        <v>Venmo</v>
      </c>
      <c r="T1148">
        <f>SUMIF(J:J,Table1[[#This Row],[Season]],F:F)</f>
        <v>55777</v>
      </c>
    </row>
    <row r="1149" spans="1:20" x14ac:dyDescent="0.3">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c r="S1149" t="str">
        <f>INDEX(Q:Q,MATCH(Table1[[#This Row],[Item Purchased]],D:D))</f>
        <v>Venmo</v>
      </c>
      <c r="T1149">
        <f>SUMIF(J:J,Table1[[#This Row],[Season]],F:F)</f>
        <v>58607</v>
      </c>
    </row>
    <row r="1150" spans="1:20" x14ac:dyDescent="0.3">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c r="S1150" t="str">
        <f>INDEX(Q:Q,MATCH(Table1[[#This Row],[Item Purchased]],D:D))</f>
        <v>Cash</v>
      </c>
      <c r="T1150">
        <f>SUMIF(J:J,Table1[[#This Row],[Season]],F:F)</f>
        <v>58679</v>
      </c>
    </row>
    <row r="1151" spans="1:20" x14ac:dyDescent="0.3">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c r="S1151" t="str">
        <f>INDEX(Q:Q,MATCH(Table1[[#This Row],[Item Purchased]],D:D))</f>
        <v>Cash</v>
      </c>
      <c r="T1151">
        <f>SUMIF(J:J,Table1[[#This Row],[Season]],F:F)</f>
        <v>58679</v>
      </c>
    </row>
    <row r="1152" spans="1:20" x14ac:dyDescent="0.3">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c r="S1152" t="str">
        <f>INDEX(Q:Q,MATCH(Table1[[#This Row],[Item Purchased]],D:D))</f>
        <v>Cash</v>
      </c>
      <c r="T1152">
        <f>SUMIF(J:J,Table1[[#This Row],[Season]],F:F)</f>
        <v>58607</v>
      </c>
    </row>
    <row r="1153" spans="1:20" x14ac:dyDescent="0.3">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c r="S1153" t="str">
        <f>INDEX(Q:Q,MATCH(Table1[[#This Row],[Item Purchased]],D:D))</f>
        <v>Venmo</v>
      </c>
      <c r="T1153">
        <f>SUMIF(J:J,Table1[[#This Row],[Season]],F:F)</f>
        <v>58679</v>
      </c>
    </row>
    <row r="1154" spans="1:20" x14ac:dyDescent="0.3">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c r="S1154" t="str">
        <f>INDEX(Q:Q,MATCH(Table1[[#This Row],[Item Purchased]],D:D))</f>
        <v>Cash</v>
      </c>
      <c r="T1154">
        <f>SUMIF(J:J,Table1[[#This Row],[Season]],F:F)</f>
        <v>60018</v>
      </c>
    </row>
    <row r="1155" spans="1:20" x14ac:dyDescent="0.3">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c r="S1155" t="str">
        <f>INDEX(Q:Q,MATCH(Table1[[#This Row],[Item Purchased]],D:D))</f>
        <v>Bank Transfer</v>
      </c>
      <c r="T1155">
        <f>SUMIF(J:J,Table1[[#This Row],[Season]],F:F)</f>
        <v>55777</v>
      </c>
    </row>
    <row r="1156" spans="1:20" x14ac:dyDescent="0.3">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c r="S1156" t="str">
        <f>INDEX(Q:Q,MATCH(Table1[[#This Row],[Item Purchased]],D:D))</f>
        <v>Debit Card</v>
      </c>
      <c r="T1156">
        <f>SUMIF(J:J,Table1[[#This Row],[Season]],F:F)</f>
        <v>58679</v>
      </c>
    </row>
    <row r="1157" spans="1:20" x14ac:dyDescent="0.3">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c r="S1157" t="str">
        <f>INDEX(Q:Q,MATCH(Table1[[#This Row],[Item Purchased]],D:D))</f>
        <v>Venmo</v>
      </c>
      <c r="T1157">
        <f>SUMIF(J:J,Table1[[#This Row],[Season]],F:F)</f>
        <v>60018</v>
      </c>
    </row>
    <row r="1158" spans="1:20" x14ac:dyDescent="0.3">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c r="S1158" t="str">
        <f>INDEX(Q:Q,MATCH(Table1[[#This Row],[Item Purchased]],D:D))</f>
        <v>PayPal</v>
      </c>
      <c r="T1158">
        <f>SUMIF(J:J,Table1[[#This Row],[Season]],F:F)</f>
        <v>55777</v>
      </c>
    </row>
    <row r="1159" spans="1:20" x14ac:dyDescent="0.3">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c r="S1159" t="e">
        <f>INDEX(Q:Q,MATCH(Table1[[#This Row],[Item Purchased]],D:D))</f>
        <v>#N/A</v>
      </c>
      <c r="T1159">
        <f>SUMIF(J:J,Table1[[#This Row],[Season]],F:F)</f>
        <v>60018</v>
      </c>
    </row>
    <row r="1160" spans="1:20" x14ac:dyDescent="0.3">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c r="S1160" t="e">
        <f>INDEX(Q:Q,MATCH(Table1[[#This Row],[Item Purchased]],D:D))</f>
        <v>#N/A</v>
      </c>
      <c r="T1160">
        <f>SUMIF(J:J,Table1[[#This Row],[Season]],F:F)</f>
        <v>55777</v>
      </c>
    </row>
    <row r="1161" spans="1:20" x14ac:dyDescent="0.3">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c r="S1161" t="str">
        <f>INDEX(Q:Q,MATCH(Table1[[#This Row],[Item Purchased]],D:D))</f>
        <v>Cash</v>
      </c>
      <c r="T1161">
        <f>SUMIF(J:J,Table1[[#This Row],[Season]],F:F)</f>
        <v>60018</v>
      </c>
    </row>
    <row r="1162" spans="1:20" x14ac:dyDescent="0.3">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c r="S1162" t="str">
        <f>INDEX(Q:Q,MATCH(Table1[[#This Row],[Item Purchased]],D:D))</f>
        <v>Bank Transfer</v>
      </c>
      <c r="T1162">
        <f>SUMIF(J:J,Table1[[#This Row],[Season]],F:F)</f>
        <v>55777</v>
      </c>
    </row>
    <row r="1163" spans="1:20" x14ac:dyDescent="0.3">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c r="S1163" t="str">
        <f>INDEX(Q:Q,MATCH(Table1[[#This Row],[Item Purchased]],D:D))</f>
        <v>PayPal</v>
      </c>
      <c r="T1163">
        <f>SUMIF(J:J,Table1[[#This Row],[Season]],F:F)</f>
        <v>60018</v>
      </c>
    </row>
    <row r="1164" spans="1:20" x14ac:dyDescent="0.3">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c r="S1164" t="str">
        <f>INDEX(Q:Q,MATCH(Table1[[#This Row],[Item Purchased]],D:D))</f>
        <v>Bank Transfer</v>
      </c>
      <c r="T1164">
        <f>SUMIF(J:J,Table1[[#This Row],[Season]],F:F)</f>
        <v>58607</v>
      </c>
    </row>
    <row r="1165" spans="1:20" x14ac:dyDescent="0.3">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c r="S1165" t="str">
        <f>INDEX(Q:Q,MATCH(Table1[[#This Row],[Item Purchased]],D:D))</f>
        <v>Cash</v>
      </c>
      <c r="T1165">
        <f>SUMIF(J:J,Table1[[#This Row],[Season]],F:F)</f>
        <v>55777</v>
      </c>
    </row>
    <row r="1166" spans="1:20" x14ac:dyDescent="0.3">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c r="S1166" t="str">
        <f>INDEX(Q:Q,MATCH(Table1[[#This Row],[Item Purchased]],D:D))</f>
        <v>Debit Card</v>
      </c>
      <c r="T1166">
        <f>SUMIF(J:J,Table1[[#This Row],[Season]],F:F)</f>
        <v>58607</v>
      </c>
    </row>
    <row r="1167" spans="1:20" x14ac:dyDescent="0.3">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c r="S1167" t="str">
        <f>INDEX(Q:Q,MATCH(Table1[[#This Row],[Item Purchased]],D:D))</f>
        <v>Venmo</v>
      </c>
      <c r="T1167">
        <f>SUMIF(J:J,Table1[[#This Row],[Season]],F:F)</f>
        <v>58607</v>
      </c>
    </row>
    <row r="1168" spans="1:20" x14ac:dyDescent="0.3">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c r="S1168" t="str">
        <f>INDEX(Q:Q,MATCH(Table1[[#This Row],[Item Purchased]],D:D))</f>
        <v>Debit Card</v>
      </c>
      <c r="T1168">
        <f>SUMIF(J:J,Table1[[#This Row],[Season]],F:F)</f>
        <v>58607</v>
      </c>
    </row>
    <row r="1169" spans="1:20" x14ac:dyDescent="0.3">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c r="S1169" t="str">
        <f>INDEX(Q:Q,MATCH(Table1[[#This Row],[Item Purchased]],D:D))</f>
        <v>Venmo</v>
      </c>
      <c r="T1169">
        <f>SUMIF(J:J,Table1[[#This Row],[Season]],F:F)</f>
        <v>55777</v>
      </c>
    </row>
    <row r="1170" spans="1:20" x14ac:dyDescent="0.3">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c r="S1170" t="str">
        <f>INDEX(Q:Q,MATCH(Table1[[#This Row],[Item Purchased]],D:D))</f>
        <v>Bank Transfer</v>
      </c>
      <c r="T1170">
        <f>SUMIF(J:J,Table1[[#This Row],[Season]],F:F)</f>
        <v>55777</v>
      </c>
    </row>
    <row r="1171" spans="1:20" x14ac:dyDescent="0.3">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c r="S1171" t="e">
        <f>INDEX(Q:Q,MATCH(Table1[[#This Row],[Item Purchased]],D:D))</f>
        <v>#N/A</v>
      </c>
      <c r="T1171">
        <f>SUMIF(J:J,Table1[[#This Row],[Season]],F:F)</f>
        <v>60018</v>
      </c>
    </row>
    <row r="1172" spans="1:20" x14ac:dyDescent="0.3">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c r="S1172" t="str">
        <f>INDEX(Q:Q,MATCH(Table1[[#This Row],[Item Purchased]],D:D))</f>
        <v>Credit Card</v>
      </c>
      <c r="T1172">
        <f>SUMIF(J:J,Table1[[#This Row],[Season]],F:F)</f>
        <v>58679</v>
      </c>
    </row>
    <row r="1173" spans="1:20" x14ac:dyDescent="0.3">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c r="S1173" t="str">
        <f>INDEX(Q:Q,MATCH(Table1[[#This Row],[Item Purchased]],D:D))</f>
        <v>Venmo</v>
      </c>
      <c r="T1173">
        <f>SUMIF(J:J,Table1[[#This Row],[Season]],F:F)</f>
        <v>58679</v>
      </c>
    </row>
    <row r="1174" spans="1:20" x14ac:dyDescent="0.3">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c r="S1174" t="str">
        <f>INDEX(Q:Q,MATCH(Table1[[#This Row],[Item Purchased]],D:D))</f>
        <v>Debit Card</v>
      </c>
      <c r="T1174">
        <f>SUMIF(J:J,Table1[[#This Row],[Season]],F:F)</f>
        <v>58679</v>
      </c>
    </row>
    <row r="1175" spans="1:20" x14ac:dyDescent="0.3">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c r="S1175" t="str">
        <f>INDEX(Q:Q,MATCH(Table1[[#This Row],[Item Purchased]],D:D))</f>
        <v>Cash</v>
      </c>
      <c r="T1175">
        <f>SUMIF(J:J,Table1[[#This Row],[Season]],F:F)</f>
        <v>58607</v>
      </c>
    </row>
    <row r="1176" spans="1:20" x14ac:dyDescent="0.3">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c r="S1176" t="e">
        <f>INDEX(Q:Q,MATCH(Table1[[#This Row],[Item Purchased]],D:D))</f>
        <v>#N/A</v>
      </c>
      <c r="T1176">
        <f>SUMIF(J:J,Table1[[#This Row],[Season]],F:F)</f>
        <v>58607</v>
      </c>
    </row>
    <row r="1177" spans="1:20" x14ac:dyDescent="0.3">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c r="S1177" t="e">
        <f>INDEX(Q:Q,MATCH(Table1[[#This Row],[Item Purchased]],D:D))</f>
        <v>#N/A</v>
      </c>
      <c r="T1177">
        <f>SUMIF(J:J,Table1[[#This Row],[Season]],F:F)</f>
        <v>58679</v>
      </c>
    </row>
    <row r="1178" spans="1:20" x14ac:dyDescent="0.3">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c r="S1178" t="str">
        <f>INDEX(Q:Q,MATCH(Table1[[#This Row],[Item Purchased]],D:D))</f>
        <v>Debit Card</v>
      </c>
      <c r="T1178">
        <f>SUMIF(J:J,Table1[[#This Row],[Season]],F:F)</f>
        <v>58607</v>
      </c>
    </row>
    <row r="1179" spans="1:20" x14ac:dyDescent="0.3">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c r="S1179" t="str">
        <f>INDEX(Q:Q,MATCH(Table1[[#This Row],[Item Purchased]],D:D))</f>
        <v>Credit Card</v>
      </c>
      <c r="T1179">
        <f>SUMIF(J:J,Table1[[#This Row],[Season]],F:F)</f>
        <v>58679</v>
      </c>
    </row>
    <row r="1180" spans="1:20" x14ac:dyDescent="0.3">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c r="S1180" t="str">
        <f>INDEX(Q:Q,MATCH(Table1[[#This Row],[Item Purchased]],D:D))</f>
        <v>Debit Card</v>
      </c>
      <c r="T1180">
        <f>SUMIF(J:J,Table1[[#This Row],[Season]],F:F)</f>
        <v>58679</v>
      </c>
    </row>
    <row r="1181" spans="1:20" x14ac:dyDescent="0.3">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c r="S1181" t="str">
        <f>INDEX(Q:Q,MATCH(Table1[[#This Row],[Item Purchased]],D:D))</f>
        <v>Venmo</v>
      </c>
      <c r="T1181">
        <f>SUMIF(J:J,Table1[[#This Row],[Season]],F:F)</f>
        <v>55777</v>
      </c>
    </row>
    <row r="1182" spans="1:20" x14ac:dyDescent="0.3">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c r="S1182" t="str">
        <f>INDEX(Q:Q,MATCH(Table1[[#This Row],[Item Purchased]],D:D))</f>
        <v>Credit Card</v>
      </c>
      <c r="T1182">
        <f>SUMIF(J:J,Table1[[#This Row],[Season]],F:F)</f>
        <v>58679</v>
      </c>
    </row>
    <row r="1183" spans="1:20" x14ac:dyDescent="0.3">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c r="S1183" t="str">
        <f>INDEX(Q:Q,MATCH(Table1[[#This Row],[Item Purchased]],D:D))</f>
        <v>PayPal</v>
      </c>
      <c r="T1183">
        <f>SUMIF(J:J,Table1[[#This Row],[Season]],F:F)</f>
        <v>55777</v>
      </c>
    </row>
    <row r="1184" spans="1:20" x14ac:dyDescent="0.3">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c r="S1184" t="str">
        <f>INDEX(Q:Q,MATCH(Table1[[#This Row],[Item Purchased]],D:D))</f>
        <v>Cash</v>
      </c>
      <c r="T1184">
        <f>SUMIF(J:J,Table1[[#This Row],[Season]],F:F)</f>
        <v>58679</v>
      </c>
    </row>
    <row r="1185" spans="1:20" x14ac:dyDescent="0.3">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c r="S1185" t="str">
        <f>INDEX(Q:Q,MATCH(Table1[[#This Row],[Item Purchased]],D:D))</f>
        <v>Cash</v>
      </c>
      <c r="T1185">
        <f>SUMIF(J:J,Table1[[#This Row],[Season]],F:F)</f>
        <v>58679</v>
      </c>
    </row>
    <row r="1186" spans="1:20" x14ac:dyDescent="0.3">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c r="S1186" t="e">
        <f>INDEX(Q:Q,MATCH(Table1[[#This Row],[Item Purchased]],D:D))</f>
        <v>#N/A</v>
      </c>
      <c r="T1186">
        <f>SUMIF(J:J,Table1[[#This Row],[Season]],F:F)</f>
        <v>60018</v>
      </c>
    </row>
    <row r="1187" spans="1:20" x14ac:dyDescent="0.3">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c r="S1187" t="str">
        <f>INDEX(Q:Q,MATCH(Table1[[#This Row],[Item Purchased]],D:D))</f>
        <v>Cash</v>
      </c>
      <c r="T1187">
        <f>SUMIF(J:J,Table1[[#This Row],[Season]],F:F)</f>
        <v>58679</v>
      </c>
    </row>
    <row r="1188" spans="1:20" x14ac:dyDescent="0.3">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c r="S1188" t="str">
        <f>INDEX(Q:Q,MATCH(Table1[[#This Row],[Item Purchased]],D:D))</f>
        <v>Cash</v>
      </c>
      <c r="T1188">
        <f>SUMIF(J:J,Table1[[#This Row],[Season]],F:F)</f>
        <v>55777</v>
      </c>
    </row>
    <row r="1189" spans="1:20" x14ac:dyDescent="0.3">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c r="S1189" t="str">
        <f>INDEX(Q:Q,MATCH(Table1[[#This Row],[Item Purchased]],D:D))</f>
        <v>Venmo</v>
      </c>
      <c r="T1189">
        <f>SUMIF(J:J,Table1[[#This Row],[Season]],F:F)</f>
        <v>60018</v>
      </c>
    </row>
    <row r="1190" spans="1:20" x14ac:dyDescent="0.3">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c r="S1190" t="str">
        <f>INDEX(Q:Q,MATCH(Table1[[#This Row],[Item Purchased]],D:D))</f>
        <v>Venmo</v>
      </c>
      <c r="T1190">
        <f>SUMIF(J:J,Table1[[#This Row],[Season]],F:F)</f>
        <v>55777</v>
      </c>
    </row>
    <row r="1191" spans="1:20" x14ac:dyDescent="0.3">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c r="S1191" t="str">
        <f>INDEX(Q:Q,MATCH(Table1[[#This Row],[Item Purchased]],D:D))</f>
        <v>Bank Transfer</v>
      </c>
      <c r="T1191">
        <f>SUMIF(J:J,Table1[[#This Row],[Season]],F:F)</f>
        <v>55777</v>
      </c>
    </row>
    <row r="1192" spans="1:20" x14ac:dyDescent="0.3">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c r="S1192" t="str">
        <f>INDEX(Q:Q,MATCH(Table1[[#This Row],[Item Purchased]],D:D))</f>
        <v>Bank Transfer</v>
      </c>
      <c r="T1192">
        <f>SUMIF(J:J,Table1[[#This Row],[Season]],F:F)</f>
        <v>58607</v>
      </c>
    </row>
    <row r="1193" spans="1:20" x14ac:dyDescent="0.3">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c r="S1193" t="str">
        <f>INDEX(Q:Q,MATCH(Table1[[#This Row],[Item Purchased]],D:D))</f>
        <v>Venmo</v>
      </c>
      <c r="T1193">
        <f>SUMIF(J:J,Table1[[#This Row],[Season]],F:F)</f>
        <v>58607</v>
      </c>
    </row>
    <row r="1194" spans="1:20" x14ac:dyDescent="0.3">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c r="S1194" t="str">
        <f>INDEX(Q:Q,MATCH(Table1[[#This Row],[Item Purchased]],D:D))</f>
        <v>Debit Card</v>
      </c>
      <c r="T1194">
        <f>SUMIF(J:J,Table1[[#This Row],[Season]],F:F)</f>
        <v>55777</v>
      </c>
    </row>
    <row r="1195" spans="1:20" x14ac:dyDescent="0.3">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c r="S1195" t="str">
        <f>INDEX(Q:Q,MATCH(Table1[[#This Row],[Item Purchased]],D:D))</f>
        <v>Debit Card</v>
      </c>
      <c r="T1195">
        <f>SUMIF(J:J,Table1[[#This Row],[Season]],F:F)</f>
        <v>60018</v>
      </c>
    </row>
    <row r="1196" spans="1:20" x14ac:dyDescent="0.3">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c r="S1196" t="str">
        <f>INDEX(Q:Q,MATCH(Table1[[#This Row],[Item Purchased]],D:D))</f>
        <v>Venmo</v>
      </c>
      <c r="T1196">
        <f>SUMIF(J:J,Table1[[#This Row],[Season]],F:F)</f>
        <v>58607</v>
      </c>
    </row>
    <row r="1197" spans="1:20" x14ac:dyDescent="0.3">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c r="S1197" t="str">
        <f>INDEX(Q:Q,MATCH(Table1[[#This Row],[Item Purchased]],D:D))</f>
        <v>Bank Transfer</v>
      </c>
      <c r="T1197">
        <f>SUMIF(J:J,Table1[[#This Row],[Season]],F:F)</f>
        <v>58607</v>
      </c>
    </row>
    <row r="1198" spans="1:20" x14ac:dyDescent="0.3">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c r="S1198" t="e">
        <f>INDEX(Q:Q,MATCH(Table1[[#This Row],[Item Purchased]],D:D))</f>
        <v>#N/A</v>
      </c>
      <c r="T1198">
        <f>SUMIF(J:J,Table1[[#This Row],[Season]],F:F)</f>
        <v>58607</v>
      </c>
    </row>
    <row r="1199" spans="1:20" x14ac:dyDescent="0.3">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c r="S1199" t="str">
        <f>INDEX(Q:Q,MATCH(Table1[[#This Row],[Item Purchased]],D:D))</f>
        <v>Venmo</v>
      </c>
      <c r="T1199">
        <f>SUMIF(J:J,Table1[[#This Row],[Season]],F:F)</f>
        <v>60018</v>
      </c>
    </row>
    <row r="1200" spans="1:20" x14ac:dyDescent="0.3">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c r="S1200" t="str">
        <f>INDEX(Q:Q,MATCH(Table1[[#This Row],[Item Purchased]],D:D))</f>
        <v>Venmo</v>
      </c>
      <c r="T1200">
        <f>SUMIF(J:J,Table1[[#This Row],[Season]],F:F)</f>
        <v>55777</v>
      </c>
    </row>
    <row r="1201" spans="1:20" x14ac:dyDescent="0.3">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c r="S1201" t="str">
        <f>INDEX(Q:Q,MATCH(Table1[[#This Row],[Item Purchased]],D:D))</f>
        <v>Bank Transfer</v>
      </c>
      <c r="T1201">
        <f>SUMIF(J:J,Table1[[#This Row],[Season]],F:F)</f>
        <v>60018</v>
      </c>
    </row>
    <row r="1202" spans="1:20" x14ac:dyDescent="0.3">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c r="S1202" t="str">
        <f>INDEX(Q:Q,MATCH(Table1[[#This Row],[Item Purchased]],D:D))</f>
        <v>Debit Card</v>
      </c>
      <c r="T1202">
        <f>SUMIF(J:J,Table1[[#This Row],[Season]],F:F)</f>
        <v>58607</v>
      </c>
    </row>
    <row r="1203" spans="1:20" x14ac:dyDescent="0.3">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c r="S1203" t="str">
        <f>INDEX(Q:Q,MATCH(Table1[[#This Row],[Item Purchased]],D:D))</f>
        <v>PayPal</v>
      </c>
      <c r="T1203">
        <f>SUMIF(J:J,Table1[[#This Row],[Season]],F:F)</f>
        <v>55777</v>
      </c>
    </row>
    <row r="1204" spans="1:20" x14ac:dyDescent="0.3">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c r="S1204" t="str">
        <f>INDEX(Q:Q,MATCH(Table1[[#This Row],[Item Purchased]],D:D))</f>
        <v>Bank Transfer</v>
      </c>
      <c r="T1204">
        <f>SUMIF(J:J,Table1[[#This Row],[Season]],F:F)</f>
        <v>58679</v>
      </c>
    </row>
    <row r="1205" spans="1:20" x14ac:dyDescent="0.3">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c r="S1205" t="str">
        <f>INDEX(Q:Q,MATCH(Table1[[#This Row],[Item Purchased]],D:D))</f>
        <v>Venmo</v>
      </c>
      <c r="T1205">
        <f>SUMIF(J:J,Table1[[#This Row],[Season]],F:F)</f>
        <v>58607</v>
      </c>
    </row>
    <row r="1206" spans="1:20" x14ac:dyDescent="0.3">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c r="S1206" t="e">
        <f>INDEX(Q:Q,MATCH(Table1[[#This Row],[Item Purchased]],D:D))</f>
        <v>#N/A</v>
      </c>
      <c r="T1206">
        <f>SUMIF(J:J,Table1[[#This Row],[Season]],F:F)</f>
        <v>58679</v>
      </c>
    </row>
    <row r="1207" spans="1:20" x14ac:dyDescent="0.3">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c r="S1207" t="str">
        <f>INDEX(Q:Q,MATCH(Table1[[#This Row],[Item Purchased]],D:D))</f>
        <v>Cash</v>
      </c>
      <c r="T1207">
        <f>SUMIF(J:J,Table1[[#This Row],[Season]],F:F)</f>
        <v>58679</v>
      </c>
    </row>
    <row r="1208" spans="1:20" x14ac:dyDescent="0.3">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c r="S1208" t="str">
        <f>INDEX(Q:Q,MATCH(Table1[[#This Row],[Item Purchased]],D:D))</f>
        <v>Cash</v>
      </c>
      <c r="T1208">
        <f>SUMIF(J:J,Table1[[#This Row],[Season]],F:F)</f>
        <v>60018</v>
      </c>
    </row>
    <row r="1209" spans="1:20" x14ac:dyDescent="0.3">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c r="S1209" t="str">
        <f>INDEX(Q:Q,MATCH(Table1[[#This Row],[Item Purchased]],D:D))</f>
        <v>Venmo</v>
      </c>
      <c r="T1209">
        <f>SUMIF(J:J,Table1[[#This Row],[Season]],F:F)</f>
        <v>55777</v>
      </c>
    </row>
    <row r="1210" spans="1:20" x14ac:dyDescent="0.3">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c r="S1210" t="str">
        <f>INDEX(Q:Q,MATCH(Table1[[#This Row],[Item Purchased]],D:D))</f>
        <v>Venmo</v>
      </c>
      <c r="T1210">
        <f>SUMIF(J:J,Table1[[#This Row],[Season]],F:F)</f>
        <v>58607</v>
      </c>
    </row>
    <row r="1211" spans="1:20" x14ac:dyDescent="0.3">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c r="S1211" t="str">
        <f>INDEX(Q:Q,MATCH(Table1[[#This Row],[Item Purchased]],D:D))</f>
        <v>Cash</v>
      </c>
      <c r="T1211">
        <f>SUMIF(J:J,Table1[[#This Row],[Season]],F:F)</f>
        <v>58607</v>
      </c>
    </row>
    <row r="1212" spans="1:20" x14ac:dyDescent="0.3">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c r="S1212" t="str">
        <f>INDEX(Q:Q,MATCH(Table1[[#This Row],[Item Purchased]],D:D))</f>
        <v>Venmo</v>
      </c>
      <c r="T1212">
        <f>SUMIF(J:J,Table1[[#This Row],[Season]],F:F)</f>
        <v>60018</v>
      </c>
    </row>
    <row r="1213" spans="1:20" x14ac:dyDescent="0.3">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c r="S1213" t="str">
        <f>INDEX(Q:Q,MATCH(Table1[[#This Row],[Item Purchased]],D:D))</f>
        <v>Venmo</v>
      </c>
      <c r="T1213">
        <f>SUMIF(J:J,Table1[[#This Row],[Season]],F:F)</f>
        <v>58679</v>
      </c>
    </row>
    <row r="1214" spans="1:20" x14ac:dyDescent="0.3">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c r="S1214" t="str">
        <f>INDEX(Q:Q,MATCH(Table1[[#This Row],[Item Purchased]],D:D))</f>
        <v>PayPal</v>
      </c>
      <c r="T1214">
        <f>SUMIF(J:J,Table1[[#This Row],[Season]],F:F)</f>
        <v>55777</v>
      </c>
    </row>
    <row r="1215" spans="1:20" x14ac:dyDescent="0.3">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c r="S1215" t="str">
        <f>INDEX(Q:Q,MATCH(Table1[[#This Row],[Item Purchased]],D:D))</f>
        <v>Cash</v>
      </c>
      <c r="T1215">
        <f>SUMIF(J:J,Table1[[#This Row],[Season]],F:F)</f>
        <v>58679</v>
      </c>
    </row>
    <row r="1216" spans="1:20" x14ac:dyDescent="0.3">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c r="S1216" t="str">
        <f>INDEX(Q:Q,MATCH(Table1[[#This Row],[Item Purchased]],D:D))</f>
        <v>Debit Card</v>
      </c>
      <c r="T1216">
        <f>SUMIF(J:J,Table1[[#This Row],[Season]],F:F)</f>
        <v>60018</v>
      </c>
    </row>
    <row r="1217" spans="1:20" x14ac:dyDescent="0.3">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c r="S1217" t="str">
        <f>INDEX(Q:Q,MATCH(Table1[[#This Row],[Item Purchased]],D:D))</f>
        <v>Venmo</v>
      </c>
      <c r="T1217">
        <f>SUMIF(J:J,Table1[[#This Row],[Season]],F:F)</f>
        <v>58607</v>
      </c>
    </row>
    <row r="1218" spans="1:20" x14ac:dyDescent="0.3">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c r="S1218" t="str">
        <f>INDEX(Q:Q,MATCH(Table1[[#This Row],[Item Purchased]],D:D))</f>
        <v>Cash</v>
      </c>
      <c r="T1218">
        <f>SUMIF(J:J,Table1[[#This Row],[Season]],F:F)</f>
        <v>55777</v>
      </c>
    </row>
    <row r="1219" spans="1:20" x14ac:dyDescent="0.3">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c r="S1219" t="str">
        <f>INDEX(Q:Q,MATCH(Table1[[#This Row],[Item Purchased]],D:D))</f>
        <v>Venmo</v>
      </c>
      <c r="T1219">
        <f>SUMIF(J:J,Table1[[#This Row],[Season]],F:F)</f>
        <v>60018</v>
      </c>
    </row>
    <row r="1220" spans="1:20" x14ac:dyDescent="0.3">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c r="S1220" t="str">
        <f>INDEX(Q:Q,MATCH(Table1[[#This Row],[Item Purchased]],D:D))</f>
        <v>Venmo</v>
      </c>
      <c r="T1220">
        <f>SUMIF(J:J,Table1[[#This Row],[Season]],F:F)</f>
        <v>58679</v>
      </c>
    </row>
    <row r="1221" spans="1:20" x14ac:dyDescent="0.3">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c r="S1221" t="str">
        <f>INDEX(Q:Q,MATCH(Table1[[#This Row],[Item Purchased]],D:D))</f>
        <v>Venmo</v>
      </c>
      <c r="T1221">
        <f>SUMIF(J:J,Table1[[#This Row],[Season]],F:F)</f>
        <v>58607</v>
      </c>
    </row>
    <row r="1222" spans="1:20" x14ac:dyDescent="0.3">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c r="S1222" t="str">
        <f>INDEX(Q:Q,MATCH(Table1[[#This Row],[Item Purchased]],D:D))</f>
        <v>Debit Card</v>
      </c>
      <c r="T1222">
        <f>SUMIF(J:J,Table1[[#This Row],[Season]],F:F)</f>
        <v>58607</v>
      </c>
    </row>
    <row r="1223" spans="1:20" x14ac:dyDescent="0.3">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c r="S1223" t="str">
        <f>INDEX(Q:Q,MATCH(Table1[[#This Row],[Item Purchased]],D:D))</f>
        <v>Venmo</v>
      </c>
      <c r="T1223">
        <f>SUMIF(J:J,Table1[[#This Row],[Season]],F:F)</f>
        <v>58607</v>
      </c>
    </row>
    <row r="1224" spans="1:20" x14ac:dyDescent="0.3">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c r="S1224" t="str">
        <f>INDEX(Q:Q,MATCH(Table1[[#This Row],[Item Purchased]],D:D))</f>
        <v>Cash</v>
      </c>
      <c r="T1224">
        <f>SUMIF(J:J,Table1[[#This Row],[Season]],F:F)</f>
        <v>60018</v>
      </c>
    </row>
    <row r="1225" spans="1:20" x14ac:dyDescent="0.3">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c r="S1225" t="str">
        <f>INDEX(Q:Q,MATCH(Table1[[#This Row],[Item Purchased]],D:D))</f>
        <v>Cash</v>
      </c>
      <c r="T1225">
        <f>SUMIF(J:J,Table1[[#This Row],[Season]],F:F)</f>
        <v>58607</v>
      </c>
    </row>
    <row r="1226" spans="1:20" x14ac:dyDescent="0.3">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c r="S1226" t="str">
        <f>INDEX(Q:Q,MATCH(Table1[[#This Row],[Item Purchased]],D:D))</f>
        <v>PayPal</v>
      </c>
      <c r="T1226">
        <f>SUMIF(J:J,Table1[[#This Row],[Season]],F:F)</f>
        <v>55777</v>
      </c>
    </row>
    <row r="1227" spans="1:20" x14ac:dyDescent="0.3">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c r="S1227" t="str">
        <f>INDEX(Q:Q,MATCH(Table1[[#This Row],[Item Purchased]],D:D))</f>
        <v>Debit Card</v>
      </c>
      <c r="T1227">
        <f>SUMIF(J:J,Table1[[#This Row],[Season]],F:F)</f>
        <v>60018</v>
      </c>
    </row>
    <row r="1228" spans="1:20" x14ac:dyDescent="0.3">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c r="S1228" t="str">
        <f>INDEX(Q:Q,MATCH(Table1[[#This Row],[Item Purchased]],D:D))</f>
        <v>Bank Transfer</v>
      </c>
      <c r="T1228">
        <f>SUMIF(J:J,Table1[[#This Row],[Season]],F:F)</f>
        <v>60018</v>
      </c>
    </row>
    <row r="1229" spans="1:20" x14ac:dyDescent="0.3">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c r="S1229" t="str">
        <f>INDEX(Q:Q,MATCH(Table1[[#This Row],[Item Purchased]],D:D))</f>
        <v>Venmo</v>
      </c>
      <c r="T1229">
        <f>SUMIF(J:J,Table1[[#This Row],[Season]],F:F)</f>
        <v>58679</v>
      </c>
    </row>
    <row r="1230" spans="1:20" x14ac:dyDescent="0.3">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c r="S1230" t="str">
        <f>INDEX(Q:Q,MATCH(Table1[[#This Row],[Item Purchased]],D:D))</f>
        <v>Debit Card</v>
      </c>
      <c r="T1230">
        <f>SUMIF(J:J,Table1[[#This Row],[Season]],F:F)</f>
        <v>58607</v>
      </c>
    </row>
    <row r="1231" spans="1:20" x14ac:dyDescent="0.3">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c r="S1231" t="str">
        <f>INDEX(Q:Q,MATCH(Table1[[#This Row],[Item Purchased]],D:D))</f>
        <v>Cash</v>
      </c>
      <c r="T1231">
        <f>SUMIF(J:J,Table1[[#This Row],[Season]],F:F)</f>
        <v>58607</v>
      </c>
    </row>
    <row r="1232" spans="1:20" x14ac:dyDescent="0.3">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c r="S1232" t="str">
        <f>INDEX(Q:Q,MATCH(Table1[[#This Row],[Item Purchased]],D:D))</f>
        <v>Venmo</v>
      </c>
      <c r="T1232">
        <f>SUMIF(J:J,Table1[[#This Row],[Season]],F:F)</f>
        <v>58679</v>
      </c>
    </row>
    <row r="1233" spans="1:20" x14ac:dyDescent="0.3">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c r="S1233" t="str">
        <f>INDEX(Q:Q,MATCH(Table1[[#This Row],[Item Purchased]],D:D))</f>
        <v>Venmo</v>
      </c>
      <c r="T1233">
        <f>SUMIF(J:J,Table1[[#This Row],[Season]],F:F)</f>
        <v>58679</v>
      </c>
    </row>
    <row r="1234" spans="1:20" x14ac:dyDescent="0.3">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c r="S1234" t="str">
        <f>INDEX(Q:Q,MATCH(Table1[[#This Row],[Item Purchased]],D:D))</f>
        <v>Cash</v>
      </c>
      <c r="T1234">
        <f>SUMIF(J:J,Table1[[#This Row],[Season]],F:F)</f>
        <v>55777</v>
      </c>
    </row>
    <row r="1235" spans="1:20" x14ac:dyDescent="0.3">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c r="S1235" t="str">
        <f>INDEX(Q:Q,MATCH(Table1[[#This Row],[Item Purchased]],D:D))</f>
        <v>Cash</v>
      </c>
      <c r="T1235">
        <f>SUMIF(J:J,Table1[[#This Row],[Season]],F:F)</f>
        <v>58607</v>
      </c>
    </row>
    <row r="1236" spans="1:20" x14ac:dyDescent="0.3">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c r="S1236" t="str">
        <f>INDEX(Q:Q,MATCH(Table1[[#This Row],[Item Purchased]],D:D))</f>
        <v>Debit Card</v>
      </c>
      <c r="T1236">
        <f>SUMIF(J:J,Table1[[#This Row],[Season]],F:F)</f>
        <v>60018</v>
      </c>
    </row>
    <row r="1237" spans="1:20" x14ac:dyDescent="0.3">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c r="S1237" t="str">
        <f>INDEX(Q:Q,MATCH(Table1[[#This Row],[Item Purchased]],D:D))</f>
        <v>Venmo</v>
      </c>
      <c r="T1237">
        <f>SUMIF(J:J,Table1[[#This Row],[Season]],F:F)</f>
        <v>58679</v>
      </c>
    </row>
    <row r="1238" spans="1:20" x14ac:dyDescent="0.3">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c r="S1238" t="str">
        <f>INDEX(Q:Q,MATCH(Table1[[#This Row],[Item Purchased]],D:D))</f>
        <v>Venmo</v>
      </c>
      <c r="T1238">
        <f>SUMIF(J:J,Table1[[#This Row],[Season]],F:F)</f>
        <v>55777</v>
      </c>
    </row>
    <row r="1239" spans="1:20" x14ac:dyDescent="0.3">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c r="S1239" t="str">
        <f>INDEX(Q:Q,MATCH(Table1[[#This Row],[Item Purchased]],D:D))</f>
        <v>Debit Card</v>
      </c>
      <c r="T1239">
        <f>SUMIF(J:J,Table1[[#This Row],[Season]],F:F)</f>
        <v>58679</v>
      </c>
    </row>
    <row r="1240" spans="1:20" x14ac:dyDescent="0.3">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c r="S1240" t="str">
        <f>INDEX(Q:Q,MATCH(Table1[[#This Row],[Item Purchased]],D:D))</f>
        <v>Cash</v>
      </c>
      <c r="T1240">
        <f>SUMIF(J:J,Table1[[#This Row],[Season]],F:F)</f>
        <v>58607</v>
      </c>
    </row>
    <row r="1241" spans="1:20" x14ac:dyDescent="0.3">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c r="S1241" t="str">
        <f>INDEX(Q:Q,MATCH(Table1[[#This Row],[Item Purchased]],D:D))</f>
        <v>Debit Card</v>
      </c>
      <c r="T1241">
        <f>SUMIF(J:J,Table1[[#This Row],[Season]],F:F)</f>
        <v>58679</v>
      </c>
    </row>
    <row r="1242" spans="1:20" x14ac:dyDescent="0.3">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c r="S1242" t="str">
        <f>INDEX(Q:Q,MATCH(Table1[[#This Row],[Item Purchased]],D:D))</f>
        <v>Bank Transfer</v>
      </c>
      <c r="T1242">
        <f>SUMIF(J:J,Table1[[#This Row],[Season]],F:F)</f>
        <v>58607</v>
      </c>
    </row>
    <row r="1243" spans="1:20" x14ac:dyDescent="0.3">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c r="S1243" t="str">
        <f>INDEX(Q:Q,MATCH(Table1[[#This Row],[Item Purchased]],D:D))</f>
        <v>Venmo</v>
      </c>
      <c r="T1243">
        <f>SUMIF(J:J,Table1[[#This Row],[Season]],F:F)</f>
        <v>58607</v>
      </c>
    </row>
    <row r="1244" spans="1:20" x14ac:dyDescent="0.3">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c r="S1244" t="str">
        <f>INDEX(Q:Q,MATCH(Table1[[#This Row],[Item Purchased]],D:D))</f>
        <v>Venmo</v>
      </c>
      <c r="T1244">
        <f>SUMIF(J:J,Table1[[#This Row],[Season]],F:F)</f>
        <v>55777</v>
      </c>
    </row>
    <row r="1245" spans="1:20" x14ac:dyDescent="0.3">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c r="S1245" t="str">
        <f>INDEX(Q:Q,MATCH(Table1[[#This Row],[Item Purchased]],D:D))</f>
        <v>Venmo</v>
      </c>
      <c r="T1245">
        <f>SUMIF(J:J,Table1[[#This Row],[Season]],F:F)</f>
        <v>58679</v>
      </c>
    </row>
    <row r="1246" spans="1:20" x14ac:dyDescent="0.3">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c r="S1246" t="str">
        <f>INDEX(Q:Q,MATCH(Table1[[#This Row],[Item Purchased]],D:D))</f>
        <v>Venmo</v>
      </c>
      <c r="T1246">
        <f>SUMIF(J:J,Table1[[#This Row],[Season]],F:F)</f>
        <v>55777</v>
      </c>
    </row>
    <row r="1247" spans="1:20" x14ac:dyDescent="0.3">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c r="S1247" t="str">
        <f>INDEX(Q:Q,MATCH(Table1[[#This Row],[Item Purchased]],D:D))</f>
        <v>Debit Card</v>
      </c>
      <c r="T1247">
        <f>SUMIF(J:J,Table1[[#This Row],[Season]],F:F)</f>
        <v>60018</v>
      </c>
    </row>
    <row r="1248" spans="1:20" x14ac:dyDescent="0.3">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c r="S1248" t="str">
        <f>INDEX(Q:Q,MATCH(Table1[[#This Row],[Item Purchased]],D:D))</f>
        <v>Venmo</v>
      </c>
      <c r="T1248">
        <f>SUMIF(J:J,Table1[[#This Row],[Season]],F:F)</f>
        <v>58607</v>
      </c>
    </row>
    <row r="1249" spans="1:20" x14ac:dyDescent="0.3">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c r="S1249" t="str">
        <f>INDEX(Q:Q,MATCH(Table1[[#This Row],[Item Purchased]],D:D))</f>
        <v>Venmo</v>
      </c>
      <c r="T1249">
        <f>SUMIF(J:J,Table1[[#This Row],[Season]],F:F)</f>
        <v>58679</v>
      </c>
    </row>
    <row r="1250" spans="1:20" x14ac:dyDescent="0.3">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c r="S1250" t="str">
        <f>INDEX(Q:Q,MATCH(Table1[[#This Row],[Item Purchased]],D:D))</f>
        <v>Venmo</v>
      </c>
      <c r="T1250">
        <f>SUMIF(J:J,Table1[[#This Row],[Season]],F:F)</f>
        <v>58607</v>
      </c>
    </row>
    <row r="1251" spans="1:20" x14ac:dyDescent="0.3">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c r="S1251" t="str">
        <f>INDEX(Q:Q,MATCH(Table1[[#This Row],[Item Purchased]],D:D))</f>
        <v>Venmo</v>
      </c>
      <c r="T1251">
        <f>SUMIF(J:J,Table1[[#This Row],[Season]],F:F)</f>
        <v>58607</v>
      </c>
    </row>
    <row r="1252" spans="1:20" x14ac:dyDescent="0.3">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c r="S1252" t="str">
        <f>INDEX(Q:Q,MATCH(Table1[[#This Row],[Item Purchased]],D:D))</f>
        <v>Cash</v>
      </c>
      <c r="T1252">
        <f>SUMIF(J:J,Table1[[#This Row],[Season]],F:F)</f>
        <v>58607</v>
      </c>
    </row>
    <row r="1253" spans="1:20" x14ac:dyDescent="0.3">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c r="S1253" t="str">
        <f>INDEX(Q:Q,MATCH(Table1[[#This Row],[Item Purchased]],D:D))</f>
        <v>PayPal</v>
      </c>
      <c r="T1253">
        <f>SUMIF(J:J,Table1[[#This Row],[Season]],F:F)</f>
        <v>58679</v>
      </c>
    </row>
    <row r="1254" spans="1:20" x14ac:dyDescent="0.3">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c r="S1254" t="str">
        <f>INDEX(Q:Q,MATCH(Table1[[#This Row],[Item Purchased]],D:D))</f>
        <v>Bank Transfer</v>
      </c>
      <c r="T1254">
        <f>SUMIF(J:J,Table1[[#This Row],[Season]],F:F)</f>
        <v>60018</v>
      </c>
    </row>
    <row r="1255" spans="1:20" x14ac:dyDescent="0.3">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c r="S1255" t="str">
        <f>INDEX(Q:Q,MATCH(Table1[[#This Row],[Item Purchased]],D:D))</f>
        <v>Bank Transfer</v>
      </c>
      <c r="T1255">
        <f>SUMIF(J:J,Table1[[#This Row],[Season]],F:F)</f>
        <v>58607</v>
      </c>
    </row>
    <row r="1256" spans="1:20" x14ac:dyDescent="0.3">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c r="S1256" t="str">
        <f>INDEX(Q:Q,MATCH(Table1[[#This Row],[Item Purchased]],D:D))</f>
        <v>Venmo</v>
      </c>
      <c r="T1256">
        <f>SUMIF(J:J,Table1[[#This Row],[Season]],F:F)</f>
        <v>58679</v>
      </c>
    </row>
    <row r="1257" spans="1:20" x14ac:dyDescent="0.3">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c r="S1257" t="str">
        <f>INDEX(Q:Q,MATCH(Table1[[#This Row],[Item Purchased]],D:D))</f>
        <v>Venmo</v>
      </c>
      <c r="T1257">
        <f>SUMIF(J:J,Table1[[#This Row],[Season]],F:F)</f>
        <v>60018</v>
      </c>
    </row>
    <row r="1258" spans="1:20" x14ac:dyDescent="0.3">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c r="S1258" t="str">
        <f>INDEX(Q:Q,MATCH(Table1[[#This Row],[Item Purchased]],D:D))</f>
        <v>Debit Card</v>
      </c>
      <c r="T1258">
        <f>SUMIF(J:J,Table1[[#This Row],[Season]],F:F)</f>
        <v>58607</v>
      </c>
    </row>
    <row r="1259" spans="1:20" x14ac:dyDescent="0.3">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c r="S1259" t="str">
        <f>INDEX(Q:Q,MATCH(Table1[[#This Row],[Item Purchased]],D:D))</f>
        <v>Debit Card</v>
      </c>
      <c r="T1259">
        <f>SUMIF(J:J,Table1[[#This Row],[Season]],F:F)</f>
        <v>58679</v>
      </c>
    </row>
    <row r="1260" spans="1:20" x14ac:dyDescent="0.3">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c r="S1260" t="str">
        <f>INDEX(Q:Q,MATCH(Table1[[#This Row],[Item Purchased]],D:D))</f>
        <v>Venmo</v>
      </c>
      <c r="T1260">
        <f>SUMIF(J:J,Table1[[#This Row],[Season]],F:F)</f>
        <v>58679</v>
      </c>
    </row>
    <row r="1261" spans="1:20" x14ac:dyDescent="0.3">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c r="S1261" t="str">
        <f>INDEX(Q:Q,MATCH(Table1[[#This Row],[Item Purchased]],D:D))</f>
        <v>Credit Card</v>
      </c>
      <c r="T1261">
        <f>SUMIF(J:J,Table1[[#This Row],[Season]],F:F)</f>
        <v>60018</v>
      </c>
    </row>
    <row r="1262" spans="1:20" x14ac:dyDescent="0.3">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c r="S1262" t="str">
        <f>INDEX(Q:Q,MATCH(Table1[[#This Row],[Item Purchased]],D:D))</f>
        <v>Bank Transfer</v>
      </c>
      <c r="T1262">
        <f>SUMIF(J:J,Table1[[#This Row],[Season]],F:F)</f>
        <v>58679</v>
      </c>
    </row>
    <row r="1263" spans="1:20" x14ac:dyDescent="0.3">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c r="S1263" t="str">
        <f>INDEX(Q:Q,MATCH(Table1[[#This Row],[Item Purchased]],D:D))</f>
        <v>Bank Transfer</v>
      </c>
      <c r="T1263">
        <f>SUMIF(J:J,Table1[[#This Row],[Season]],F:F)</f>
        <v>55777</v>
      </c>
    </row>
    <row r="1264" spans="1:20" x14ac:dyDescent="0.3">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c r="S1264" t="str">
        <f>INDEX(Q:Q,MATCH(Table1[[#This Row],[Item Purchased]],D:D))</f>
        <v>Venmo</v>
      </c>
      <c r="T1264">
        <f>SUMIF(J:J,Table1[[#This Row],[Season]],F:F)</f>
        <v>58607</v>
      </c>
    </row>
    <row r="1265" spans="1:20" x14ac:dyDescent="0.3">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c r="S1265" t="str">
        <f>INDEX(Q:Q,MATCH(Table1[[#This Row],[Item Purchased]],D:D))</f>
        <v>Venmo</v>
      </c>
      <c r="T1265">
        <f>SUMIF(J:J,Table1[[#This Row],[Season]],F:F)</f>
        <v>58607</v>
      </c>
    </row>
    <row r="1266" spans="1:20" x14ac:dyDescent="0.3">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c r="S1266" t="str">
        <f>INDEX(Q:Q,MATCH(Table1[[#This Row],[Item Purchased]],D:D))</f>
        <v>Venmo</v>
      </c>
      <c r="T1266">
        <f>SUMIF(J:J,Table1[[#This Row],[Season]],F:F)</f>
        <v>58607</v>
      </c>
    </row>
    <row r="1267" spans="1:20" x14ac:dyDescent="0.3">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c r="S1267" t="str">
        <f>INDEX(Q:Q,MATCH(Table1[[#This Row],[Item Purchased]],D:D))</f>
        <v>Bank Transfer</v>
      </c>
      <c r="T1267">
        <f>SUMIF(J:J,Table1[[#This Row],[Season]],F:F)</f>
        <v>58679</v>
      </c>
    </row>
    <row r="1268" spans="1:20" x14ac:dyDescent="0.3">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c r="S1268" t="str">
        <f>INDEX(Q:Q,MATCH(Table1[[#This Row],[Item Purchased]],D:D))</f>
        <v>Venmo</v>
      </c>
      <c r="T1268">
        <f>SUMIF(J:J,Table1[[#This Row],[Season]],F:F)</f>
        <v>60018</v>
      </c>
    </row>
    <row r="1269" spans="1:20" x14ac:dyDescent="0.3">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c r="S1269" t="str">
        <f>INDEX(Q:Q,MATCH(Table1[[#This Row],[Item Purchased]],D:D))</f>
        <v>Venmo</v>
      </c>
      <c r="T1269">
        <f>SUMIF(J:J,Table1[[#This Row],[Season]],F:F)</f>
        <v>58679</v>
      </c>
    </row>
    <row r="1270" spans="1:20" x14ac:dyDescent="0.3">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c r="S1270" t="str">
        <f>INDEX(Q:Q,MATCH(Table1[[#This Row],[Item Purchased]],D:D))</f>
        <v>Debit Card</v>
      </c>
      <c r="T1270">
        <f>SUMIF(J:J,Table1[[#This Row],[Season]],F:F)</f>
        <v>58607</v>
      </c>
    </row>
    <row r="1271" spans="1:20" x14ac:dyDescent="0.3">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c r="S1271" t="str">
        <f>INDEX(Q:Q,MATCH(Table1[[#This Row],[Item Purchased]],D:D))</f>
        <v>Cash</v>
      </c>
      <c r="T1271">
        <f>SUMIF(J:J,Table1[[#This Row],[Season]],F:F)</f>
        <v>58679</v>
      </c>
    </row>
    <row r="1272" spans="1:20" x14ac:dyDescent="0.3">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c r="S1272" t="str">
        <f>INDEX(Q:Q,MATCH(Table1[[#This Row],[Item Purchased]],D:D))</f>
        <v>Venmo</v>
      </c>
      <c r="T1272">
        <f>SUMIF(J:J,Table1[[#This Row],[Season]],F:F)</f>
        <v>60018</v>
      </c>
    </row>
    <row r="1273" spans="1:20" x14ac:dyDescent="0.3">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c r="S1273" t="str">
        <f>INDEX(Q:Q,MATCH(Table1[[#This Row],[Item Purchased]],D:D))</f>
        <v>Cash</v>
      </c>
      <c r="T1273">
        <f>SUMIF(J:J,Table1[[#This Row],[Season]],F:F)</f>
        <v>58679</v>
      </c>
    </row>
    <row r="1274" spans="1:20" x14ac:dyDescent="0.3">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c r="S1274" t="str">
        <f>INDEX(Q:Q,MATCH(Table1[[#This Row],[Item Purchased]],D:D))</f>
        <v>Bank Transfer</v>
      </c>
      <c r="T1274">
        <f>SUMIF(J:J,Table1[[#This Row],[Season]],F:F)</f>
        <v>58607</v>
      </c>
    </row>
    <row r="1275" spans="1:20" x14ac:dyDescent="0.3">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c r="S1275" t="str">
        <f>INDEX(Q:Q,MATCH(Table1[[#This Row],[Item Purchased]],D:D))</f>
        <v>Cash</v>
      </c>
      <c r="T1275">
        <f>SUMIF(J:J,Table1[[#This Row],[Season]],F:F)</f>
        <v>58679</v>
      </c>
    </row>
    <row r="1276" spans="1:20" x14ac:dyDescent="0.3">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c r="S1276" t="str">
        <f>INDEX(Q:Q,MATCH(Table1[[#This Row],[Item Purchased]],D:D))</f>
        <v>Venmo</v>
      </c>
      <c r="T1276">
        <f>SUMIF(J:J,Table1[[#This Row],[Season]],F:F)</f>
        <v>58679</v>
      </c>
    </row>
    <row r="1277" spans="1:20" x14ac:dyDescent="0.3">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c r="S1277" t="str">
        <f>INDEX(Q:Q,MATCH(Table1[[#This Row],[Item Purchased]],D:D))</f>
        <v>Venmo</v>
      </c>
      <c r="T1277">
        <f>SUMIF(J:J,Table1[[#This Row],[Season]],F:F)</f>
        <v>60018</v>
      </c>
    </row>
    <row r="1278" spans="1:20" x14ac:dyDescent="0.3">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c r="S1278" t="str">
        <f>INDEX(Q:Q,MATCH(Table1[[#This Row],[Item Purchased]],D:D))</f>
        <v>Venmo</v>
      </c>
      <c r="T1278">
        <f>SUMIF(J:J,Table1[[#This Row],[Season]],F:F)</f>
        <v>58679</v>
      </c>
    </row>
    <row r="1279" spans="1:20" x14ac:dyDescent="0.3">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c r="S1279" t="str">
        <f>INDEX(Q:Q,MATCH(Table1[[#This Row],[Item Purchased]],D:D))</f>
        <v>Venmo</v>
      </c>
      <c r="T1279">
        <f>SUMIF(J:J,Table1[[#This Row],[Season]],F:F)</f>
        <v>58679</v>
      </c>
    </row>
    <row r="1280" spans="1:20" x14ac:dyDescent="0.3">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c r="S1280" t="str">
        <f>INDEX(Q:Q,MATCH(Table1[[#This Row],[Item Purchased]],D:D))</f>
        <v>PayPal</v>
      </c>
      <c r="T1280">
        <f>SUMIF(J:J,Table1[[#This Row],[Season]],F:F)</f>
        <v>60018</v>
      </c>
    </row>
    <row r="1281" spans="1:20" x14ac:dyDescent="0.3">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c r="S1281" t="str">
        <f>INDEX(Q:Q,MATCH(Table1[[#This Row],[Item Purchased]],D:D))</f>
        <v>Venmo</v>
      </c>
      <c r="T1281">
        <f>SUMIF(J:J,Table1[[#This Row],[Season]],F:F)</f>
        <v>60018</v>
      </c>
    </row>
    <row r="1282" spans="1:20" x14ac:dyDescent="0.3">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c r="S1282" t="str">
        <f>INDEX(Q:Q,MATCH(Table1[[#This Row],[Item Purchased]],D:D))</f>
        <v>Cash</v>
      </c>
      <c r="T1282">
        <f>SUMIF(J:J,Table1[[#This Row],[Season]],F:F)</f>
        <v>58607</v>
      </c>
    </row>
    <row r="1283" spans="1:20" x14ac:dyDescent="0.3">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c r="S1283" t="e">
        <f>INDEX(Q:Q,MATCH(Table1[[#This Row],[Item Purchased]],D:D))</f>
        <v>#N/A</v>
      </c>
      <c r="T1283">
        <f>SUMIF(J:J,Table1[[#This Row],[Season]],F:F)</f>
        <v>58679</v>
      </c>
    </row>
    <row r="1284" spans="1:20" x14ac:dyDescent="0.3">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c r="S1284" t="str">
        <f>INDEX(Q:Q,MATCH(Table1[[#This Row],[Item Purchased]],D:D))</f>
        <v>Bank Transfer</v>
      </c>
      <c r="T1284">
        <f>SUMIF(J:J,Table1[[#This Row],[Season]],F:F)</f>
        <v>58607</v>
      </c>
    </row>
    <row r="1285" spans="1:20" x14ac:dyDescent="0.3">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c r="S1285" t="str">
        <f>INDEX(Q:Q,MATCH(Table1[[#This Row],[Item Purchased]],D:D))</f>
        <v>Bank Transfer</v>
      </c>
      <c r="T1285">
        <f>SUMIF(J:J,Table1[[#This Row],[Season]],F:F)</f>
        <v>58607</v>
      </c>
    </row>
    <row r="1286" spans="1:20" x14ac:dyDescent="0.3">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c r="S1286" t="str">
        <f>INDEX(Q:Q,MATCH(Table1[[#This Row],[Item Purchased]],D:D))</f>
        <v>Debit Card</v>
      </c>
      <c r="T1286">
        <f>SUMIF(J:J,Table1[[#This Row],[Season]],F:F)</f>
        <v>58679</v>
      </c>
    </row>
    <row r="1287" spans="1:20" x14ac:dyDescent="0.3">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c r="S1287" t="str">
        <f>INDEX(Q:Q,MATCH(Table1[[#This Row],[Item Purchased]],D:D))</f>
        <v>Debit Card</v>
      </c>
      <c r="T1287">
        <f>SUMIF(J:J,Table1[[#This Row],[Season]],F:F)</f>
        <v>60018</v>
      </c>
    </row>
    <row r="1288" spans="1:20" x14ac:dyDescent="0.3">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c r="S1288" t="str">
        <f>INDEX(Q:Q,MATCH(Table1[[#This Row],[Item Purchased]],D:D))</f>
        <v>Debit Card</v>
      </c>
      <c r="T1288">
        <f>SUMIF(J:J,Table1[[#This Row],[Season]],F:F)</f>
        <v>58607</v>
      </c>
    </row>
    <row r="1289" spans="1:20" x14ac:dyDescent="0.3">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c r="S1289" t="str">
        <f>INDEX(Q:Q,MATCH(Table1[[#This Row],[Item Purchased]],D:D))</f>
        <v>Cash</v>
      </c>
      <c r="T1289">
        <f>SUMIF(J:J,Table1[[#This Row],[Season]],F:F)</f>
        <v>58607</v>
      </c>
    </row>
    <row r="1290" spans="1:20" x14ac:dyDescent="0.3">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c r="S1290" t="e">
        <f>INDEX(Q:Q,MATCH(Table1[[#This Row],[Item Purchased]],D:D))</f>
        <v>#N/A</v>
      </c>
      <c r="T1290">
        <f>SUMIF(J:J,Table1[[#This Row],[Season]],F:F)</f>
        <v>58607</v>
      </c>
    </row>
    <row r="1291" spans="1:20" x14ac:dyDescent="0.3">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c r="S1291" t="str">
        <f>INDEX(Q:Q,MATCH(Table1[[#This Row],[Item Purchased]],D:D))</f>
        <v>Debit Card</v>
      </c>
      <c r="T1291">
        <f>SUMIF(J:J,Table1[[#This Row],[Season]],F:F)</f>
        <v>60018</v>
      </c>
    </row>
    <row r="1292" spans="1:20" x14ac:dyDescent="0.3">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c r="S1292" t="str">
        <f>INDEX(Q:Q,MATCH(Table1[[#This Row],[Item Purchased]],D:D))</f>
        <v>Credit Card</v>
      </c>
      <c r="T1292">
        <f>SUMIF(J:J,Table1[[#This Row],[Season]],F:F)</f>
        <v>58679</v>
      </c>
    </row>
    <row r="1293" spans="1:20" x14ac:dyDescent="0.3">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c r="S1293" t="str">
        <f>INDEX(Q:Q,MATCH(Table1[[#This Row],[Item Purchased]],D:D))</f>
        <v>Bank Transfer</v>
      </c>
      <c r="T1293">
        <f>SUMIF(J:J,Table1[[#This Row],[Season]],F:F)</f>
        <v>58679</v>
      </c>
    </row>
    <row r="1294" spans="1:20" x14ac:dyDescent="0.3">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c r="S1294" t="e">
        <f>INDEX(Q:Q,MATCH(Table1[[#This Row],[Item Purchased]],D:D))</f>
        <v>#N/A</v>
      </c>
      <c r="T1294">
        <f>SUMIF(J:J,Table1[[#This Row],[Season]],F:F)</f>
        <v>55777</v>
      </c>
    </row>
    <row r="1295" spans="1:20" x14ac:dyDescent="0.3">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c r="S1295" t="str">
        <f>INDEX(Q:Q,MATCH(Table1[[#This Row],[Item Purchased]],D:D))</f>
        <v>Venmo</v>
      </c>
      <c r="T1295">
        <f>SUMIF(J:J,Table1[[#This Row],[Season]],F:F)</f>
        <v>60018</v>
      </c>
    </row>
    <row r="1296" spans="1:20" x14ac:dyDescent="0.3">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c r="S1296" t="str">
        <f>INDEX(Q:Q,MATCH(Table1[[#This Row],[Item Purchased]],D:D))</f>
        <v>Bank Transfer</v>
      </c>
      <c r="T1296">
        <f>SUMIF(J:J,Table1[[#This Row],[Season]],F:F)</f>
        <v>55777</v>
      </c>
    </row>
    <row r="1297" spans="1:20" x14ac:dyDescent="0.3">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c r="S1297" t="str">
        <f>INDEX(Q:Q,MATCH(Table1[[#This Row],[Item Purchased]],D:D))</f>
        <v>Venmo</v>
      </c>
      <c r="T1297">
        <f>SUMIF(J:J,Table1[[#This Row],[Season]],F:F)</f>
        <v>60018</v>
      </c>
    </row>
    <row r="1298" spans="1:20" x14ac:dyDescent="0.3">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c r="S1298" t="str">
        <f>INDEX(Q:Q,MATCH(Table1[[#This Row],[Item Purchased]],D:D))</f>
        <v>Cash</v>
      </c>
      <c r="T1298">
        <f>SUMIF(J:J,Table1[[#This Row],[Season]],F:F)</f>
        <v>58679</v>
      </c>
    </row>
    <row r="1299" spans="1:20" x14ac:dyDescent="0.3">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c r="S1299" t="str">
        <f>INDEX(Q:Q,MATCH(Table1[[#This Row],[Item Purchased]],D:D))</f>
        <v>Bank Transfer</v>
      </c>
      <c r="T1299">
        <f>SUMIF(J:J,Table1[[#This Row],[Season]],F:F)</f>
        <v>55777</v>
      </c>
    </row>
    <row r="1300" spans="1:20" x14ac:dyDescent="0.3">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c r="S1300" t="str">
        <f>INDEX(Q:Q,MATCH(Table1[[#This Row],[Item Purchased]],D:D))</f>
        <v>Cash</v>
      </c>
      <c r="T1300">
        <f>SUMIF(J:J,Table1[[#This Row],[Season]],F:F)</f>
        <v>55777</v>
      </c>
    </row>
    <row r="1301" spans="1:20" x14ac:dyDescent="0.3">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c r="S1301" t="e">
        <f>INDEX(Q:Q,MATCH(Table1[[#This Row],[Item Purchased]],D:D))</f>
        <v>#N/A</v>
      </c>
      <c r="T1301">
        <f>SUMIF(J:J,Table1[[#This Row],[Season]],F:F)</f>
        <v>60018</v>
      </c>
    </row>
    <row r="1302" spans="1:20" x14ac:dyDescent="0.3">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c r="S1302" t="str">
        <f>INDEX(Q:Q,MATCH(Table1[[#This Row],[Item Purchased]],D:D))</f>
        <v>Venmo</v>
      </c>
      <c r="T1302">
        <f>SUMIF(J:J,Table1[[#This Row],[Season]],F:F)</f>
        <v>58679</v>
      </c>
    </row>
    <row r="1303" spans="1:20" x14ac:dyDescent="0.3">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c r="S1303" t="str">
        <f>INDEX(Q:Q,MATCH(Table1[[#This Row],[Item Purchased]],D:D))</f>
        <v>Bank Transfer</v>
      </c>
      <c r="T1303">
        <f>SUMIF(J:J,Table1[[#This Row],[Season]],F:F)</f>
        <v>60018</v>
      </c>
    </row>
    <row r="1304" spans="1:20" x14ac:dyDescent="0.3">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c r="S1304" t="str">
        <f>INDEX(Q:Q,MATCH(Table1[[#This Row],[Item Purchased]],D:D))</f>
        <v>Venmo</v>
      </c>
      <c r="T1304">
        <f>SUMIF(J:J,Table1[[#This Row],[Season]],F:F)</f>
        <v>60018</v>
      </c>
    </row>
    <row r="1305" spans="1:20" x14ac:dyDescent="0.3">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c r="S1305" t="str">
        <f>INDEX(Q:Q,MATCH(Table1[[#This Row],[Item Purchased]],D:D))</f>
        <v>Venmo</v>
      </c>
      <c r="T1305">
        <f>SUMIF(J:J,Table1[[#This Row],[Season]],F:F)</f>
        <v>55777</v>
      </c>
    </row>
    <row r="1306" spans="1:20" x14ac:dyDescent="0.3">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c r="S1306" t="e">
        <f>INDEX(Q:Q,MATCH(Table1[[#This Row],[Item Purchased]],D:D))</f>
        <v>#N/A</v>
      </c>
      <c r="T1306">
        <f>SUMIF(J:J,Table1[[#This Row],[Season]],F:F)</f>
        <v>58679</v>
      </c>
    </row>
    <row r="1307" spans="1:20" x14ac:dyDescent="0.3">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c r="S1307" t="str">
        <f>INDEX(Q:Q,MATCH(Table1[[#This Row],[Item Purchased]],D:D))</f>
        <v>Cash</v>
      </c>
      <c r="T1307">
        <f>SUMIF(J:J,Table1[[#This Row],[Season]],F:F)</f>
        <v>58679</v>
      </c>
    </row>
    <row r="1308" spans="1:20" x14ac:dyDescent="0.3">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c r="S1308" t="str">
        <f>INDEX(Q:Q,MATCH(Table1[[#This Row],[Item Purchased]],D:D))</f>
        <v>Venmo</v>
      </c>
      <c r="T1308">
        <f>SUMIF(J:J,Table1[[#This Row],[Season]],F:F)</f>
        <v>58607</v>
      </c>
    </row>
    <row r="1309" spans="1:20" x14ac:dyDescent="0.3">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c r="S1309" t="str">
        <f>INDEX(Q:Q,MATCH(Table1[[#This Row],[Item Purchased]],D:D))</f>
        <v>Debit Card</v>
      </c>
      <c r="T1309">
        <f>SUMIF(J:J,Table1[[#This Row],[Season]],F:F)</f>
        <v>55777</v>
      </c>
    </row>
    <row r="1310" spans="1:20" x14ac:dyDescent="0.3">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c r="S1310" t="str">
        <f>INDEX(Q:Q,MATCH(Table1[[#This Row],[Item Purchased]],D:D))</f>
        <v>Debit Card</v>
      </c>
      <c r="T1310">
        <f>SUMIF(J:J,Table1[[#This Row],[Season]],F:F)</f>
        <v>55777</v>
      </c>
    </row>
    <row r="1311" spans="1:20" x14ac:dyDescent="0.3">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c r="S1311" t="str">
        <f>INDEX(Q:Q,MATCH(Table1[[#This Row],[Item Purchased]],D:D))</f>
        <v>Venmo</v>
      </c>
      <c r="T1311">
        <f>SUMIF(J:J,Table1[[#This Row],[Season]],F:F)</f>
        <v>55777</v>
      </c>
    </row>
    <row r="1312" spans="1:20" x14ac:dyDescent="0.3">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c r="S1312" t="str">
        <f>INDEX(Q:Q,MATCH(Table1[[#This Row],[Item Purchased]],D:D))</f>
        <v>Venmo</v>
      </c>
      <c r="T1312">
        <f>SUMIF(J:J,Table1[[#This Row],[Season]],F:F)</f>
        <v>58607</v>
      </c>
    </row>
    <row r="1313" spans="1:20" x14ac:dyDescent="0.3">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c r="S1313" t="str">
        <f>INDEX(Q:Q,MATCH(Table1[[#This Row],[Item Purchased]],D:D))</f>
        <v>PayPal</v>
      </c>
      <c r="T1313">
        <f>SUMIF(J:J,Table1[[#This Row],[Season]],F:F)</f>
        <v>60018</v>
      </c>
    </row>
    <row r="1314" spans="1:20" x14ac:dyDescent="0.3">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c r="S1314" t="str">
        <f>INDEX(Q:Q,MATCH(Table1[[#This Row],[Item Purchased]],D:D))</f>
        <v>Venmo</v>
      </c>
      <c r="T1314">
        <f>SUMIF(J:J,Table1[[#This Row],[Season]],F:F)</f>
        <v>58607</v>
      </c>
    </row>
    <row r="1315" spans="1:20" x14ac:dyDescent="0.3">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c r="S1315" t="str">
        <f>INDEX(Q:Q,MATCH(Table1[[#This Row],[Item Purchased]],D:D))</f>
        <v>PayPal</v>
      </c>
      <c r="T1315">
        <f>SUMIF(J:J,Table1[[#This Row],[Season]],F:F)</f>
        <v>55777</v>
      </c>
    </row>
    <row r="1316" spans="1:20" x14ac:dyDescent="0.3">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c r="S1316" t="str">
        <f>INDEX(Q:Q,MATCH(Table1[[#This Row],[Item Purchased]],D:D))</f>
        <v>Venmo</v>
      </c>
      <c r="T1316">
        <f>SUMIF(J:J,Table1[[#This Row],[Season]],F:F)</f>
        <v>55777</v>
      </c>
    </row>
    <row r="1317" spans="1:20" x14ac:dyDescent="0.3">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c r="S1317" t="str">
        <f>INDEX(Q:Q,MATCH(Table1[[#This Row],[Item Purchased]],D:D))</f>
        <v>PayPal</v>
      </c>
      <c r="T1317">
        <f>SUMIF(J:J,Table1[[#This Row],[Season]],F:F)</f>
        <v>58679</v>
      </c>
    </row>
    <row r="1318" spans="1:20" x14ac:dyDescent="0.3">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c r="S1318" t="e">
        <f>INDEX(Q:Q,MATCH(Table1[[#This Row],[Item Purchased]],D:D))</f>
        <v>#N/A</v>
      </c>
      <c r="T1318">
        <f>SUMIF(J:J,Table1[[#This Row],[Season]],F:F)</f>
        <v>58679</v>
      </c>
    </row>
    <row r="1319" spans="1:20" x14ac:dyDescent="0.3">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c r="S1319" t="str">
        <f>INDEX(Q:Q,MATCH(Table1[[#This Row],[Item Purchased]],D:D))</f>
        <v>Cash</v>
      </c>
      <c r="T1319">
        <f>SUMIF(J:J,Table1[[#This Row],[Season]],F:F)</f>
        <v>58679</v>
      </c>
    </row>
    <row r="1320" spans="1:20" x14ac:dyDescent="0.3">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c r="S1320" t="str">
        <f>INDEX(Q:Q,MATCH(Table1[[#This Row],[Item Purchased]],D:D))</f>
        <v>PayPal</v>
      </c>
      <c r="T1320">
        <f>SUMIF(J:J,Table1[[#This Row],[Season]],F:F)</f>
        <v>58679</v>
      </c>
    </row>
    <row r="1321" spans="1:20" x14ac:dyDescent="0.3">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c r="S1321" t="str">
        <f>INDEX(Q:Q,MATCH(Table1[[#This Row],[Item Purchased]],D:D))</f>
        <v>Venmo</v>
      </c>
      <c r="T1321">
        <f>SUMIF(J:J,Table1[[#This Row],[Season]],F:F)</f>
        <v>58679</v>
      </c>
    </row>
    <row r="1322" spans="1:20" x14ac:dyDescent="0.3">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c r="S1322" t="str">
        <f>INDEX(Q:Q,MATCH(Table1[[#This Row],[Item Purchased]],D:D))</f>
        <v>Venmo</v>
      </c>
      <c r="T1322">
        <f>SUMIF(J:J,Table1[[#This Row],[Season]],F:F)</f>
        <v>60018</v>
      </c>
    </row>
    <row r="1323" spans="1:20" x14ac:dyDescent="0.3">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c r="S1323" t="str">
        <f>INDEX(Q:Q,MATCH(Table1[[#This Row],[Item Purchased]],D:D))</f>
        <v>Venmo</v>
      </c>
      <c r="T1323">
        <f>SUMIF(J:J,Table1[[#This Row],[Season]],F:F)</f>
        <v>58607</v>
      </c>
    </row>
    <row r="1324" spans="1:20" x14ac:dyDescent="0.3">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c r="S1324" t="str">
        <f>INDEX(Q:Q,MATCH(Table1[[#This Row],[Item Purchased]],D:D))</f>
        <v>Cash</v>
      </c>
      <c r="T1324">
        <f>SUMIF(J:J,Table1[[#This Row],[Season]],F:F)</f>
        <v>58607</v>
      </c>
    </row>
    <row r="1325" spans="1:20" x14ac:dyDescent="0.3">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c r="S1325" t="str">
        <f>INDEX(Q:Q,MATCH(Table1[[#This Row],[Item Purchased]],D:D))</f>
        <v>PayPal</v>
      </c>
      <c r="T1325">
        <f>SUMIF(J:J,Table1[[#This Row],[Season]],F:F)</f>
        <v>58679</v>
      </c>
    </row>
    <row r="1326" spans="1:20" x14ac:dyDescent="0.3">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c r="S1326" t="str">
        <f>INDEX(Q:Q,MATCH(Table1[[#This Row],[Item Purchased]],D:D))</f>
        <v>Cash</v>
      </c>
      <c r="T1326">
        <f>SUMIF(J:J,Table1[[#This Row],[Season]],F:F)</f>
        <v>55777</v>
      </c>
    </row>
    <row r="1327" spans="1:20" x14ac:dyDescent="0.3">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c r="S1327" t="e">
        <f>INDEX(Q:Q,MATCH(Table1[[#This Row],[Item Purchased]],D:D))</f>
        <v>#N/A</v>
      </c>
      <c r="T1327">
        <f>SUMIF(J:J,Table1[[#This Row],[Season]],F:F)</f>
        <v>55777</v>
      </c>
    </row>
    <row r="1328" spans="1:20" x14ac:dyDescent="0.3">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c r="S1328" t="str">
        <f>INDEX(Q:Q,MATCH(Table1[[#This Row],[Item Purchased]],D:D))</f>
        <v>PayPal</v>
      </c>
      <c r="T1328">
        <f>SUMIF(J:J,Table1[[#This Row],[Season]],F:F)</f>
        <v>58679</v>
      </c>
    </row>
    <row r="1329" spans="1:20" x14ac:dyDescent="0.3">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c r="S1329" t="str">
        <f>INDEX(Q:Q,MATCH(Table1[[#This Row],[Item Purchased]],D:D))</f>
        <v>Debit Card</v>
      </c>
      <c r="T1329">
        <f>SUMIF(J:J,Table1[[#This Row],[Season]],F:F)</f>
        <v>58607</v>
      </c>
    </row>
    <row r="1330" spans="1:20" x14ac:dyDescent="0.3">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c r="S1330" t="str">
        <f>INDEX(Q:Q,MATCH(Table1[[#This Row],[Item Purchased]],D:D))</f>
        <v>Venmo</v>
      </c>
      <c r="T1330">
        <f>SUMIF(J:J,Table1[[#This Row],[Season]],F:F)</f>
        <v>58607</v>
      </c>
    </row>
    <row r="1331" spans="1:20" x14ac:dyDescent="0.3">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c r="S1331" t="str">
        <f>INDEX(Q:Q,MATCH(Table1[[#This Row],[Item Purchased]],D:D))</f>
        <v>Debit Card</v>
      </c>
      <c r="T1331">
        <f>SUMIF(J:J,Table1[[#This Row],[Season]],F:F)</f>
        <v>60018</v>
      </c>
    </row>
    <row r="1332" spans="1:20" x14ac:dyDescent="0.3">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c r="S1332" t="str">
        <f>INDEX(Q:Q,MATCH(Table1[[#This Row],[Item Purchased]],D:D))</f>
        <v>Cash</v>
      </c>
      <c r="T1332">
        <f>SUMIF(J:J,Table1[[#This Row],[Season]],F:F)</f>
        <v>60018</v>
      </c>
    </row>
    <row r="1333" spans="1:20" x14ac:dyDescent="0.3">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c r="S1333" t="str">
        <f>INDEX(Q:Q,MATCH(Table1[[#This Row],[Item Purchased]],D:D))</f>
        <v>Venmo</v>
      </c>
      <c r="T1333">
        <f>SUMIF(J:J,Table1[[#This Row],[Season]],F:F)</f>
        <v>58679</v>
      </c>
    </row>
    <row r="1334" spans="1:20" x14ac:dyDescent="0.3">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c r="S1334" t="str">
        <f>INDEX(Q:Q,MATCH(Table1[[#This Row],[Item Purchased]],D:D))</f>
        <v>Venmo</v>
      </c>
      <c r="T1334">
        <f>SUMIF(J:J,Table1[[#This Row],[Season]],F:F)</f>
        <v>58679</v>
      </c>
    </row>
    <row r="1335" spans="1:20" x14ac:dyDescent="0.3">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c r="S1335" t="str">
        <f>INDEX(Q:Q,MATCH(Table1[[#This Row],[Item Purchased]],D:D))</f>
        <v>Cash</v>
      </c>
      <c r="T1335">
        <f>SUMIF(J:J,Table1[[#This Row],[Season]],F:F)</f>
        <v>58607</v>
      </c>
    </row>
    <row r="1336" spans="1:20" x14ac:dyDescent="0.3">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c r="S1336" t="str">
        <f>INDEX(Q:Q,MATCH(Table1[[#This Row],[Item Purchased]],D:D))</f>
        <v>Debit Card</v>
      </c>
      <c r="T1336">
        <f>SUMIF(J:J,Table1[[#This Row],[Season]],F:F)</f>
        <v>58679</v>
      </c>
    </row>
    <row r="1337" spans="1:20" x14ac:dyDescent="0.3">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c r="S1337" t="str">
        <f>INDEX(Q:Q,MATCH(Table1[[#This Row],[Item Purchased]],D:D))</f>
        <v>Venmo</v>
      </c>
      <c r="T1337">
        <f>SUMIF(J:J,Table1[[#This Row],[Season]],F:F)</f>
        <v>60018</v>
      </c>
    </row>
    <row r="1338" spans="1:20" x14ac:dyDescent="0.3">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c r="S1338" t="str">
        <f>INDEX(Q:Q,MATCH(Table1[[#This Row],[Item Purchased]],D:D))</f>
        <v>Venmo</v>
      </c>
      <c r="T1338">
        <f>SUMIF(J:J,Table1[[#This Row],[Season]],F:F)</f>
        <v>58679</v>
      </c>
    </row>
    <row r="1339" spans="1:20" x14ac:dyDescent="0.3">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c r="S1339" t="str">
        <f>INDEX(Q:Q,MATCH(Table1[[#This Row],[Item Purchased]],D:D))</f>
        <v>Venmo</v>
      </c>
      <c r="T1339">
        <f>SUMIF(J:J,Table1[[#This Row],[Season]],F:F)</f>
        <v>58679</v>
      </c>
    </row>
    <row r="1340" spans="1:20" x14ac:dyDescent="0.3">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c r="S1340" t="str">
        <f>INDEX(Q:Q,MATCH(Table1[[#This Row],[Item Purchased]],D:D))</f>
        <v>Cash</v>
      </c>
      <c r="T1340">
        <f>SUMIF(J:J,Table1[[#This Row],[Season]],F:F)</f>
        <v>58607</v>
      </c>
    </row>
    <row r="1341" spans="1:20" x14ac:dyDescent="0.3">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c r="S1341" t="e">
        <f>INDEX(Q:Q,MATCH(Table1[[#This Row],[Item Purchased]],D:D))</f>
        <v>#N/A</v>
      </c>
      <c r="T1341">
        <f>SUMIF(J:J,Table1[[#This Row],[Season]],F:F)</f>
        <v>58607</v>
      </c>
    </row>
    <row r="1342" spans="1:20" x14ac:dyDescent="0.3">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c r="S1342" t="e">
        <f>INDEX(Q:Q,MATCH(Table1[[#This Row],[Item Purchased]],D:D))</f>
        <v>#N/A</v>
      </c>
      <c r="T1342">
        <f>SUMIF(J:J,Table1[[#This Row],[Season]],F:F)</f>
        <v>60018</v>
      </c>
    </row>
    <row r="1343" spans="1:20" x14ac:dyDescent="0.3">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c r="S1343" t="str">
        <f>INDEX(Q:Q,MATCH(Table1[[#This Row],[Item Purchased]],D:D))</f>
        <v>Venmo</v>
      </c>
      <c r="T1343">
        <f>SUMIF(J:J,Table1[[#This Row],[Season]],F:F)</f>
        <v>60018</v>
      </c>
    </row>
    <row r="1344" spans="1:20" x14ac:dyDescent="0.3">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c r="S1344" t="str">
        <f>INDEX(Q:Q,MATCH(Table1[[#This Row],[Item Purchased]],D:D))</f>
        <v>Venmo</v>
      </c>
      <c r="T1344">
        <f>SUMIF(J:J,Table1[[#This Row],[Season]],F:F)</f>
        <v>55777</v>
      </c>
    </row>
    <row r="1345" spans="1:20" x14ac:dyDescent="0.3">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c r="S1345" t="str">
        <f>INDEX(Q:Q,MATCH(Table1[[#This Row],[Item Purchased]],D:D))</f>
        <v>Venmo</v>
      </c>
      <c r="T1345">
        <f>SUMIF(J:J,Table1[[#This Row],[Season]],F:F)</f>
        <v>58679</v>
      </c>
    </row>
    <row r="1346" spans="1:20" x14ac:dyDescent="0.3">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c r="S1346" t="str">
        <f>INDEX(Q:Q,MATCH(Table1[[#This Row],[Item Purchased]],D:D))</f>
        <v>Venmo</v>
      </c>
      <c r="T1346">
        <f>SUMIF(J:J,Table1[[#This Row],[Season]],F:F)</f>
        <v>60018</v>
      </c>
    </row>
    <row r="1347" spans="1:20" x14ac:dyDescent="0.3">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c r="S1347" t="str">
        <f>INDEX(Q:Q,MATCH(Table1[[#This Row],[Item Purchased]],D:D))</f>
        <v>Debit Card</v>
      </c>
      <c r="T1347">
        <f>SUMIF(J:J,Table1[[#This Row],[Season]],F:F)</f>
        <v>60018</v>
      </c>
    </row>
    <row r="1348" spans="1:20" x14ac:dyDescent="0.3">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c r="S1348" t="str">
        <f>INDEX(Q:Q,MATCH(Table1[[#This Row],[Item Purchased]],D:D))</f>
        <v>Venmo</v>
      </c>
      <c r="T1348">
        <f>SUMIF(J:J,Table1[[#This Row],[Season]],F:F)</f>
        <v>58607</v>
      </c>
    </row>
    <row r="1349" spans="1:20" x14ac:dyDescent="0.3">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c r="S1349" t="str">
        <f>INDEX(Q:Q,MATCH(Table1[[#This Row],[Item Purchased]],D:D))</f>
        <v>Venmo</v>
      </c>
      <c r="T1349">
        <f>SUMIF(J:J,Table1[[#This Row],[Season]],F:F)</f>
        <v>55777</v>
      </c>
    </row>
    <row r="1350" spans="1:20" x14ac:dyDescent="0.3">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c r="S1350" t="e">
        <f>INDEX(Q:Q,MATCH(Table1[[#This Row],[Item Purchased]],D:D))</f>
        <v>#N/A</v>
      </c>
      <c r="T1350">
        <f>SUMIF(J:J,Table1[[#This Row],[Season]],F:F)</f>
        <v>58679</v>
      </c>
    </row>
    <row r="1351" spans="1:20" x14ac:dyDescent="0.3">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c r="S1351" t="str">
        <f>INDEX(Q:Q,MATCH(Table1[[#This Row],[Item Purchased]],D:D))</f>
        <v>Venmo</v>
      </c>
      <c r="T1351">
        <f>SUMIF(J:J,Table1[[#This Row],[Season]],F:F)</f>
        <v>58679</v>
      </c>
    </row>
    <row r="1352" spans="1:20" x14ac:dyDescent="0.3">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c r="S1352" t="str">
        <f>INDEX(Q:Q,MATCH(Table1[[#This Row],[Item Purchased]],D:D))</f>
        <v>Venmo</v>
      </c>
      <c r="T1352">
        <f>SUMIF(J:J,Table1[[#This Row],[Season]],F:F)</f>
        <v>60018</v>
      </c>
    </row>
    <row r="1353" spans="1:20" x14ac:dyDescent="0.3">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c r="S1353" t="str">
        <f>INDEX(Q:Q,MATCH(Table1[[#This Row],[Item Purchased]],D:D))</f>
        <v>Debit Card</v>
      </c>
      <c r="T1353">
        <f>SUMIF(J:J,Table1[[#This Row],[Season]],F:F)</f>
        <v>55777</v>
      </c>
    </row>
    <row r="1354" spans="1:20" x14ac:dyDescent="0.3">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c r="S1354" t="str">
        <f>INDEX(Q:Q,MATCH(Table1[[#This Row],[Item Purchased]],D:D))</f>
        <v>Venmo</v>
      </c>
      <c r="T1354">
        <f>SUMIF(J:J,Table1[[#This Row],[Season]],F:F)</f>
        <v>58679</v>
      </c>
    </row>
    <row r="1355" spans="1:20" x14ac:dyDescent="0.3">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c r="S1355" t="str">
        <f>INDEX(Q:Q,MATCH(Table1[[#This Row],[Item Purchased]],D:D))</f>
        <v>Cash</v>
      </c>
      <c r="T1355">
        <f>SUMIF(J:J,Table1[[#This Row],[Season]],F:F)</f>
        <v>58607</v>
      </c>
    </row>
    <row r="1356" spans="1:20" x14ac:dyDescent="0.3">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c r="S1356" t="e">
        <f>INDEX(Q:Q,MATCH(Table1[[#This Row],[Item Purchased]],D:D))</f>
        <v>#N/A</v>
      </c>
      <c r="T1356">
        <f>SUMIF(J:J,Table1[[#This Row],[Season]],F:F)</f>
        <v>58679</v>
      </c>
    </row>
    <row r="1357" spans="1:20" x14ac:dyDescent="0.3">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c r="S1357" t="str">
        <f>INDEX(Q:Q,MATCH(Table1[[#This Row],[Item Purchased]],D:D))</f>
        <v>PayPal</v>
      </c>
      <c r="T1357">
        <f>SUMIF(J:J,Table1[[#This Row],[Season]],F:F)</f>
        <v>55777</v>
      </c>
    </row>
    <row r="1358" spans="1:20" x14ac:dyDescent="0.3">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c r="S1358" t="str">
        <f>INDEX(Q:Q,MATCH(Table1[[#This Row],[Item Purchased]],D:D))</f>
        <v>Debit Card</v>
      </c>
      <c r="T1358">
        <f>SUMIF(J:J,Table1[[#This Row],[Season]],F:F)</f>
        <v>58679</v>
      </c>
    </row>
    <row r="1359" spans="1:20" x14ac:dyDescent="0.3">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c r="S1359" t="e">
        <f>INDEX(Q:Q,MATCH(Table1[[#This Row],[Item Purchased]],D:D))</f>
        <v>#N/A</v>
      </c>
      <c r="T1359">
        <f>SUMIF(J:J,Table1[[#This Row],[Season]],F:F)</f>
        <v>55777</v>
      </c>
    </row>
    <row r="1360" spans="1:20" x14ac:dyDescent="0.3">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c r="S1360" t="str">
        <f>INDEX(Q:Q,MATCH(Table1[[#This Row],[Item Purchased]],D:D))</f>
        <v>Bank Transfer</v>
      </c>
      <c r="T1360">
        <f>SUMIF(J:J,Table1[[#This Row],[Season]],F:F)</f>
        <v>58679</v>
      </c>
    </row>
    <row r="1361" spans="1:20" x14ac:dyDescent="0.3">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c r="S1361" t="str">
        <f>INDEX(Q:Q,MATCH(Table1[[#This Row],[Item Purchased]],D:D))</f>
        <v>Venmo</v>
      </c>
      <c r="T1361">
        <f>SUMIF(J:J,Table1[[#This Row],[Season]],F:F)</f>
        <v>58607</v>
      </c>
    </row>
    <row r="1362" spans="1:20" x14ac:dyDescent="0.3">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c r="S1362" t="str">
        <f>INDEX(Q:Q,MATCH(Table1[[#This Row],[Item Purchased]],D:D))</f>
        <v>Credit Card</v>
      </c>
      <c r="T1362">
        <f>SUMIF(J:J,Table1[[#This Row],[Season]],F:F)</f>
        <v>60018</v>
      </c>
    </row>
    <row r="1363" spans="1:20" x14ac:dyDescent="0.3">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c r="S1363" t="str">
        <f>INDEX(Q:Q,MATCH(Table1[[#This Row],[Item Purchased]],D:D))</f>
        <v>Debit Card</v>
      </c>
      <c r="T1363">
        <f>SUMIF(J:J,Table1[[#This Row],[Season]],F:F)</f>
        <v>60018</v>
      </c>
    </row>
    <row r="1364" spans="1:20" x14ac:dyDescent="0.3">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c r="S1364" t="str">
        <f>INDEX(Q:Q,MATCH(Table1[[#This Row],[Item Purchased]],D:D))</f>
        <v>Debit Card</v>
      </c>
      <c r="T1364">
        <f>SUMIF(J:J,Table1[[#This Row],[Season]],F:F)</f>
        <v>60018</v>
      </c>
    </row>
    <row r="1365" spans="1:20" x14ac:dyDescent="0.3">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c r="S1365" t="str">
        <f>INDEX(Q:Q,MATCH(Table1[[#This Row],[Item Purchased]],D:D))</f>
        <v>Venmo</v>
      </c>
      <c r="T1365">
        <f>SUMIF(J:J,Table1[[#This Row],[Season]],F:F)</f>
        <v>55777</v>
      </c>
    </row>
    <row r="1366" spans="1:20" x14ac:dyDescent="0.3">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c r="S1366" t="str">
        <f>INDEX(Q:Q,MATCH(Table1[[#This Row],[Item Purchased]],D:D))</f>
        <v>Venmo</v>
      </c>
      <c r="T1366">
        <f>SUMIF(J:J,Table1[[#This Row],[Season]],F:F)</f>
        <v>60018</v>
      </c>
    </row>
    <row r="1367" spans="1:20" x14ac:dyDescent="0.3">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c r="S1367" t="str">
        <f>INDEX(Q:Q,MATCH(Table1[[#This Row],[Item Purchased]],D:D))</f>
        <v>Cash</v>
      </c>
      <c r="T1367">
        <f>SUMIF(J:J,Table1[[#This Row],[Season]],F:F)</f>
        <v>58607</v>
      </c>
    </row>
    <row r="1368" spans="1:20" x14ac:dyDescent="0.3">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c r="S1368" t="e">
        <f>INDEX(Q:Q,MATCH(Table1[[#This Row],[Item Purchased]],D:D))</f>
        <v>#N/A</v>
      </c>
      <c r="T1368">
        <f>SUMIF(J:J,Table1[[#This Row],[Season]],F:F)</f>
        <v>60018</v>
      </c>
    </row>
    <row r="1369" spans="1:20" x14ac:dyDescent="0.3">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c r="S1369" t="e">
        <f>INDEX(Q:Q,MATCH(Table1[[#This Row],[Item Purchased]],D:D))</f>
        <v>#N/A</v>
      </c>
      <c r="T1369">
        <f>SUMIF(J:J,Table1[[#This Row],[Season]],F:F)</f>
        <v>60018</v>
      </c>
    </row>
    <row r="1370" spans="1:20" x14ac:dyDescent="0.3">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c r="S1370" t="str">
        <f>INDEX(Q:Q,MATCH(Table1[[#This Row],[Item Purchased]],D:D))</f>
        <v>Bank Transfer</v>
      </c>
      <c r="T1370">
        <f>SUMIF(J:J,Table1[[#This Row],[Season]],F:F)</f>
        <v>55777</v>
      </c>
    </row>
    <row r="1371" spans="1:20" x14ac:dyDescent="0.3">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c r="S1371" t="str">
        <f>INDEX(Q:Q,MATCH(Table1[[#This Row],[Item Purchased]],D:D))</f>
        <v>PayPal</v>
      </c>
      <c r="T1371">
        <f>SUMIF(J:J,Table1[[#This Row],[Season]],F:F)</f>
        <v>58607</v>
      </c>
    </row>
    <row r="1372" spans="1:20" x14ac:dyDescent="0.3">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c r="S1372" t="str">
        <f>INDEX(Q:Q,MATCH(Table1[[#This Row],[Item Purchased]],D:D))</f>
        <v>Bank Transfer</v>
      </c>
      <c r="T1372">
        <f>SUMIF(J:J,Table1[[#This Row],[Season]],F:F)</f>
        <v>55777</v>
      </c>
    </row>
    <row r="1373" spans="1:20" x14ac:dyDescent="0.3">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c r="S1373" t="str">
        <f>INDEX(Q:Q,MATCH(Table1[[#This Row],[Item Purchased]],D:D))</f>
        <v>Cash</v>
      </c>
      <c r="T1373">
        <f>SUMIF(J:J,Table1[[#This Row],[Season]],F:F)</f>
        <v>58679</v>
      </c>
    </row>
    <row r="1374" spans="1:20" x14ac:dyDescent="0.3">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c r="S1374" t="str">
        <f>INDEX(Q:Q,MATCH(Table1[[#This Row],[Item Purchased]],D:D))</f>
        <v>Venmo</v>
      </c>
      <c r="T1374">
        <f>SUMIF(J:J,Table1[[#This Row],[Season]],F:F)</f>
        <v>60018</v>
      </c>
    </row>
    <row r="1375" spans="1:20" x14ac:dyDescent="0.3">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c r="S1375" t="str">
        <f>INDEX(Q:Q,MATCH(Table1[[#This Row],[Item Purchased]],D:D))</f>
        <v>Debit Card</v>
      </c>
      <c r="T1375">
        <f>SUMIF(J:J,Table1[[#This Row],[Season]],F:F)</f>
        <v>58607</v>
      </c>
    </row>
    <row r="1376" spans="1:20" x14ac:dyDescent="0.3">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c r="S1376" t="str">
        <f>INDEX(Q:Q,MATCH(Table1[[#This Row],[Item Purchased]],D:D))</f>
        <v>Cash</v>
      </c>
      <c r="T1376">
        <f>SUMIF(J:J,Table1[[#This Row],[Season]],F:F)</f>
        <v>60018</v>
      </c>
    </row>
    <row r="1377" spans="1:20" x14ac:dyDescent="0.3">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c r="S1377" t="str">
        <f>INDEX(Q:Q,MATCH(Table1[[#This Row],[Item Purchased]],D:D))</f>
        <v>Venmo</v>
      </c>
      <c r="T1377">
        <f>SUMIF(J:J,Table1[[#This Row],[Season]],F:F)</f>
        <v>58679</v>
      </c>
    </row>
    <row r="1378" spans="1:20" x14ac:dyDescent="0.3">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c r="S1378" t="str">
        <f>INDEX(Q:Q,MATCH(Table1[[#This Row],[Item Purchased]],D:D))</f>
        <v>Bank Transfer</v>
      </c>
      <c r="T1378">
        <f>SUMIF(J:J,Table1[[#This Row],[Season]],F:F)</f>
        <v>58679</v>
      </c>
    </row>
    <row r="1379" spans="1:20" x14ac:dyDescent="0.3">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c r="S1379" t="str">
        <f>INDEX(Q:Q,MATCH(Table1[[#This Row],[Item Purchased]],D:D))</f>
        <v>Venmo</v>
      </c>
      <c r="T1379">
        <f>SUMIF(J:J,Table1[[#This Row],[Season]],F:F)</f>
        <v>58679</v>
      </c>
    </row>
    <row r="1380" spans="1:20" x14ac:dyDescent="0.3">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c r="S1380" t="str">
        <f>INDEX(Q:Q,MATCH(Table1[[#This Row],[Item Purchased]],D:D))</f>
        <v>Debit Card</v>
      </c>
      <c r="T1380">
        <f>SUMIF(J:J,Table1[[#This Row],[Season]],F:F)</f>
        <v>60018</v>
      </c>
    </row>
    <row r="1381" spans="1:20" x14ac:dyDescent="0.3">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c r="S1381" t="str">
        <f>INDEX(Q:Q,MATCH(Table1[[#This Row],[Item Purchased]],D:D))</f>
        <v>Venmo</v>
      </c>
      <c r="T1381">
        <f>SUMIF(J:J,Table1[[#This Row],[Season]],F:F)</f>
        <v>60018</v>
      </c>
    </row>
    <row r="1382" spans="1:20" x14ac:dyDescent="0.3">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c r="S1382" t="str">
        <f>INDEX(Q:Q,MATCH(Table1[[#This Row],[Item Purchased]],D:D))</f>
        <v>Venmo</v>
      </c>
      <c r="T1382">
        <f>SUMIF(J:J,Table1[[#This Row],[Season]],F:F)</f>
        <v>58607</v>
      </c>
    </row>
    <row r="1383" spans="1:20" x14ac:dyDescent="0.3">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c r="S1383" t="str">
        <f>INDEX(Q:Q,MATCH(Table1[[#This Row],[Item Purchased]],D:D))</f>
        <v>PayPal</v>
      </c>
      <c r="T1383">
        <f>SUMIF(J:J,Table1[[#This Row],[Season]],F:F)</f>
        <v>58607</v>
      </c>
    </row>
    <row r="1384" spans="1:20" x14ac:dyDescent="0.3">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c r="S1384" t="str">
        <f>INDEX(Q:Q,MATCH(Table1[[#This Row],[Item Purchased]],D:D))</f>
        <v>Debit Card</v>
      </c>
      <c r="T1384">
        <f>SUMIF(J:J,Table1[[#This Row],[Season]],F:F)</f>
        <v>58607</v>
      </c>
    </row>
    <row r="1385" spans="1:20" x14ac:dyDescent="0.3">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c r="S1385" t="str">
        <f>INDEX(Q:Q,MATCH(Table1[[#This Row],[Item Purchased]],D:D))</f>
        <v>Bank Transfer</v>
      </c>
      <c r="T1385">
        <f>SUMIF(J:J,Table1[[#This Row],[Season]],F:F)</f>
        <v>58679</v>
      </c>
    </row>
    <row r="1386" spans="1:20" x14ac:dyDescent="0.3">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c r="S1386" t="str">
        <f>INDEX(Q:Q,MATCH(Table1[[#This Row],[Item Purchased]],D:D))</f>
        <v>Venmo</v>
      </c>
      <c r="T1386">
        <f>SUMIF(J:J,Table1[[#This Row],[Season]],F:F)</f>
        <v>60018</v>
      </c>
    </row>
    <row r="1387" spans="1:20" x14ac:dyDescent="0.3">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c r="S1387" t="str">
        <f>INDEX(Q:Q,MATCH(Table1[[#This Row],[Item Purchased]],D:D))</f>
        <v>Cash</v>
      </c>
      <c r="T1387">
        <f>SUMIF(J:J,Table1[[#This Row],[Season]],F:F)</f>
        <v>60018</v>
      </c>
    </row>
    <row r="1388" spans="1:20" x14ac:dyDescent="0.3">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c r="S1388" t="str">
        <f>INDEX(Q:Q,MATCH(Table1[[#This Row],[Item Purchased]],D:D))</f>
        <v>Debit Card</v>
      </c>
      <c r="T1388">
        <f>SUMIF(J:J,Table1[[#This Row],[Season]],F:F)</f>
        <v>60018</v>
      </c>
    </row>
    <row r="1389" spans="1:20" x14ac:dyDescent="0.3">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c r="S1389" t="str">
        <f>INDEX(Q:Q,MATCH(Table1[[#This Row],[Item Purchased]],D:D))</f>
        <v>Venmo</v>
      </c>
      <c r="T1389">
        <f>SUMIF(J:J,Table1[[#This Row],[Season]],F:F)</f>
        <v>58607</v>
      </c>
    </row>
    <row r="1390" spans="1:20" x14ac:dyDescent="0.3">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c r="S1390" t="str">
        <f>INDEX(Q:Q,MATCH(Table1[[#This Row],[Item Purchased]],D:D))</f>
        <v>Debit Card</v>
      </c>
      <c r="T1390">
        <f>SUMIF(J:J,Table1[[#This Row],[Season]],F:F)</f>
        <v>58679</v>
      </c>
    </row>
    <row r="1391" spans="1:20" x14ac:dyDescent="0.3">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c r="S1391" t="str">
        <f>INDEX(Q:Q,MATCH(Table1[[#This Row],[Item Purchased]],D:D))</f>
        <v>Bank Transfer</v>
      </c>
      <c r="T1391">
        <f>SUMIF(J:J,Table1[[#This Row],[Season]],F:F)</f>
        <v>60018</v>
      </c>
    </row>
    <row r="1392" spans="1:20" x14ac:dyDescent="0.3">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c r="S1392" t="str">
        <f>INDEX(Q:Q,MATCH(Table1[[#This Row],[Item Purchased]],D:D))</f>
        <v>Venmo</v>
      </c>
      <c r="T1392">
        <f>SUMIF(J:J,Table1[[#This Row],[Season]],F:F)</f>
        <v>55777</v>
      </c>
    </row>
    <row r="1393" spans="1:20" x14ac:dyDescent="0.3">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c r="S1393" t="str">
        <f>INDEX(Q:Q,MATCH(Table1[[#This Row],[Item Purchased]],D:D))</f>
        <v>Venmo</v>
      </c>
      <c r="T1393">
        <f>SUMIF(J:J,Table1[[#This Row],[Season]],F:F)</f>
        <v>58607</v>
      </c>
    </row>
    <row r="1394" spans="1:20" x14ac:dyDescent="0.3">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c r="S1394" t="str">
        <f>INDEX(Q:Q,MATCH(Table1[[#This Row],[Item Purchased]],D:D))</f>
        <v>Debit Card</v>
      </c>
      <c r="T1394">
        <f>SUMIF(J:J,Table1[[#This Row],[Season]],F:F)</f>
        <v>58679</v>
      </c>
    </row>
    <row r="1395" spans="1:20" x14ac:dyDescent="0.3">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c r="S1395" t="str">
        <f>INDEX(Q:Q,MATCH(Table1[[#This Row],[Item Purchased]],D:D))</f>
        <v>Debit Card</v>
      </c>
      <c r="T1395">
        <f>SUMIF(J:J,Table1[[#This Row],[Season]],F:F)</f>
        <v>58679</v>
      </c>
    </row>
    <row r="1396" spans="1:20" x14ac:dyDescent="0.3">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c r="S1396" t="str">
        <f>INDEX(Q:Q,MATCH(Table1[[#This Row],[Item Purchased]],D:D))</f>
        <v>Debit Card</v>
      </c>
      <c r="T1396">
        <f>SUMIF(J:J,Table1[[#This Row],[Season]],F:F)</f>
        <v>60018</v>
      </c>
    </row>
    <row r="1397" spans="1:20" x14ac:dyDescent="0.3">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c r="S1397" t="str">
        <f>INDEX(Q:Q,MATCH(Table1[[#This Row],[Item Purchased]],D:D))</f>
        <v>Bank Transfer</v>
      </c>
      <c r="T1397">
        <f>SUMIF(J:J,Table1[[#This Row],[Season]],F:F)</f>
        <v>58679</v>
      </c>
    </row>
    <row r="1398" spans="1:20" x14ac:dyDescent="0.3">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c r="S1398" t="str">
        <f>INDEX(Q:Q,MATCH(Table1[[#This Row],[Item Purchased]],D:D))</f>
        <v>Cash</v>
      </c>
      <c r="T1398">
        <f>SUMIF(J:J,Table1[[#This Row],[Season]],F:F)</f>
        <v>58607</v>
      </c>
    </row>
    <row r="1399" spans="1:20" x14ac:dyDescent="0.3">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c r="S1399" t="str">
        <f>INDEX(Q:Q,MATCH(Table1[[#This Row],[Item Purchased]],D:D))</f>
        <v>Venmo</v>
      </c>
      <c r="T1399">
        <f>SUMIF(J:J,Table1[[#This Row],[Season]],F:F)</f>
        <v>55777</v>
      </c>
    </row>
    <row r="1400" spans="1:20" x14ac:dyDescent="0.3">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c r="S1400" t="str">
        <f>INDEX(Q:Q,MATCH(Table1[[#This Row],[Item Purchased]],D:D))</f>
        <v>Debit Card</v>
      </c>
      <c r="T1400">
        <f>SUMIF(J:J,Table1[[#This Row],[Season]],F:F)</f>
        <v>55777</v>
      </c>
    </row>
    <row r="1401" spans="1:20" x14ac:dyDescent="0.3">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c r="S1401" t="str">
        <f>INDEX(Q:Q,MATCH(Table1[[#This Row],[Item Purchased]],D:D))</f>
        <v>Venmo</v>
      </c>
      <c r="T1401">
        <f>SUMIF(J:J,Table1[[#This Row],[Season]],F:F)</f>
        <v>58607</v>
      </c>
    </row>
    <row r="1402" spans="1:20" x14ac:dyDescent="0.3">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c r="S1402" t="e">
        <f>INDEX(Q:Q,MATCH(Table1[[#This Row],[Item Purchased]],D:D))</f>
        <v>#N/A</v>
      </c>
      <c r="T1402">
        <f>SUMIF(J:J,Table1[[#This Row],[Season]],F:F)</f>
        <v>60018</v>
      </c>
    </row>
    <row r="1403" spans="1:20" x14ac:dyDescent="0.3">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c r="S1403" t="str">
        <f>INDEX(Q:Q,MATCH(Table1[[#This Row],[Item Purchased]],D:D))</f>
        <v>Bank Transfer</v>
      </c>
      <c r="T1403">
        <f>SUMIF(J:J,Table1[[#This Row],[Season]],F:F)</f>
        <v>60018</v>
      </c>
    </row>
    <row r="1404" spans="1:20" x14ac:dyDescent="0.3">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c r="S1404" t="str">
        <f>INDEX(Q:Q,MATCH(Table1[[#This Row],[Item Purchased]],D:D))</f>
        <v>Venmo</v>
      </c>
      <c r="T1404">
        <f>SUMIF(J:J,Table1[[#This Row],[Season]],F:F)</f>
        <v>55777</v>
      </c>
    </row>
    <row r="1405" spans="1:20" x14ac:dyDescent="0.3">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c r="S1405" t="e">
        <f>INDEX(Q:Q,MATCH(Table1[[#This Row],[Item Purchased]],D:D))</f>
        <v>#N/A</v>
      </c>
      <c r="T1405">
        <f>SUMIF(J:J,Table1[[#This Row],[Season]],F:F)</f>
        <v>58679</v>
      </c>
    </row>
    <row r="1406" spans="1:20" x14ac:dyDescent="0.3">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c r="S1406" t="str">
        <f>INDEX(Q:Q,MATCH(Table1[[#This Row],[Item Purchased]],D:D))</f>
        <v>Cash</v>
      </c>
      <c r="T1406">
        <f>SUMIF(J:J,Table1[[#This Row],[Season]],F:F)</f>
        <v>58607</v>
      </c>
    </row>
    <row r="1407" spans="1:20" x14ac:dyDescent="0.3">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c r="S1407" t="str">
        <f>INDEX(Q:Q,MATCH(Table1[[#This Row],[Item Purchased]],D:D))</f>
        <v>Venmo</v>
      </c>
      <c r="T1407">
        <f>SUMIF(J:J,Table1[[#This Row],[Season]],F:F)</f>
        <v>58607</v>
      </c>
    </row>
    <row r="1408" spans="1:20" x14ac:dyDescent="0.3">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c r="S1408" t="str">
        <f>INDEX(Q:Q,MATCH(Table1[[#This Row],[Item Purchased]],D:D))</f>
        <v>Bank Transfer</v>
      </c>
      <c r="T1408">
        <f>SUMIF(J:J,Table1[[#This Row],[Season]],F:F)</f>
        <v>58679</v>
      </c>
    </row>
    <row r="1409" spans="1:20" x14ac:dyDescent="0.3">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c r="S1409" t="str">
        <f>INDEX(Q:Q,MATCH(Table1[[#This Row],[Item Purchased]],D:D))</f>
        <v>Cash</v>
      </c>
      <c r="T1409">
        <f>SUMIF(J:J,Table1[[#This Row],[Season]],F:F)</f>
        <v>58679</v>
      </c>
    </row>
    <row r="1410" spans="1:20" x14ac:dyDescent="0.3">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c r="S1410" t="str">
        <f>INDEX(Q:Q,MATCH(Table1[[#This Row],[Item Purchased]],D:D))</f>
        <v>Venmo</v>
      </c>
      <c r="T1410">
        <f>SUMIF(J:J,Table1[[#This Row],[Season]],F:F)</f>
        <v>58607</v>
      </c>
    </row>
    <row r="1411" spans="1:20" x14ac:dyDescent="0.3">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c r="S1411" t="e">
        <f>INDEX(Q:Q,MATCH(Table1[[#This Row],[Item Purchased]],D:D))</f>
        <v>#N/A</v>
      </c>
      <c r="T1411">
        <f>SUMIF(J:J,Table1[[#This Row],[Season]],F:F)</f>
        <v>58679</v>
      </c>
    </row>
    <row r="1412" spans="1:20" x14ac:dyDescent="0.3">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c r="S1412" t="str">
        <f>INDEX(Q:Q,MATCH(Table1[[#This Row],[Item Purchased]],D:D))</f>
        <v>Venmo</v>
      </c>
      <c r="T1412">
        <f>SUMIF(J:J,Table1[[#This Row],[Season]],F:F)</f>
        <v>55777</v>
      </c>
    </row>
    <row r="1413" spans="1:20" x14ac:dyDescent="0.3">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c r="S1413" t="str">
        <f>INDEX(Q:Q,MATCH(Table1[[#This Row],[Item Purchased]],D:D))</f>
        <v>Credit Card</v>
      </c>
      <c r="T1413">
        <f>SUMIF(J:J,Table1[[#This Row],[Season]],F:F)</f>
        <v>55777</v>
      </c>
    </row>
    <row r="1414" spans="1:20" x14ac:dyDescent="0.3">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c r="S1414" t="str">
        <f>INDEX(Q:Q,MATCH(Table1[[#This Row],[Item Purchased]],D:D))</f>
        <v>PayPal</v>
      </c>
      <c r="T1414">
        <f>SUMIF(J:J,Table1[[#This Row],[Season]],F:F)</f>
        <v>55777</v>
      </c>
    </row>
    <row r="1415" spans="1:20" x14ac:dyDescent="0.3">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c r="S1415" t="str">
        <f>INDEX(Q:Q,MATCH(Table1[[#This Row],[Item Purchased]],D:D))</f>
        <v>Venmo</v>
      </c>
      <c r="T1415">
        <f>SUMIF(J:J,Table1[[#This Row],[Season]],F:F)</f>
        <v>60018</v>
      </c>
    </row>
    <row r="1416" spans="1:20" x14ac:dyDescent="0.3">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c r="S1416" t="str">
        <f>INDEX(Q:Q,MATCH(Table1[[#This Row],[Item Purchased]],D:D))</f>
        <v>Venmo</v>
      </c>
      <c r="T1416">
        <f>SUMIF(J:J,Table1[[#This Row],[Season]],F:F)</f>
        <v>55777</v>
      </c>
    </row>
    <row r="1417" spans="1:20" x14ac:dyDescent="0.3">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c r="S1417" t="e">
        <f>INDEX(Q:Q,MATCH(Table1[[#This Row],[Item Purchased]],D:D))</f>
        <v>#N/A</v>
      </c>
      <c r="T1417">
        <f>SUMIF(J:J,Table1[[#This Row],[Season]],F:F)</f>
        <v>58607</v>
      </c>
    </row>
    <row r="1418" spans="1:20" x14ac:dyDescent="0.3">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c r="S1418" t="str">
        <f>INDEX(Q:Q,MATCH(Table1[[#This Row],[Item Purchased]],D:D))</f>
        <v>Venmo</v>
      </c>
      <c r="T1418">
        <f>SUMIF(J:J,Table1[[#This Row],[Season]],F:F)</f>
        <v>55777</v>
      </c>
    </row>
    <row r="1419" spans="1:20" x14ac:dyDescent="0.3">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c r="S1419" t="str">
        <f>INDEX(Q:Q,MATCH(Table1[[#This Row],[Item Purchased]],D:D))</f>
        <v>PayPal</v>
      </c>
      <c r="T1419">
        <f>SUMIF(J:J,Table1[[#This Row],[Season]],F:F)</f>
        <v>58679</v>
      </c>
    </row>
    <row r="1420" spans="1:20" x14ac:dyDescent="0.3">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c r="S1420" t="str">
        <f>INDEX(Q:Q,MATCH(Table1[[#This Row],[Item Purchased]],D:D))</f>
        <v>Bank Transfer</v>
      </c>
      <c r="T1420">
        <f>SUMIF(J:J,Table1[[#This Row],[Season]],F:F)</f>
        <v>55777</v>
      </c>
    </row>
    <row r="1421" spans="1:20" x14ac:dyDescent="0.3">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c r="S1421" t="str">
        <f>INDEX(Q:Q,MATCH(Table1[[#This Row],[Item Purchased]],D:D))</f>
        <v>Cash</v>
      </c>
      <c r="T1421">
        <f>SUMIF(J:J,Table1[[#This Row],[Season]],F:F)</f>
        <v>55777</v>
      </c>
    </row>
    <row r="1422" spans="1:20" x14ac:dyDescent="0.3">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c r="S1422" t="str">
        <f>INDEX(Q:Q,MATCH(Table1[[#This Row],[Item Purchased]],D:D))</f>
        <v>Cash</v>
      </c>
      <c r="T1422">
        <f>SUMIF(J:J,Table1[[#This Row],[Season]],F:F)</f>
        <v>55777</v>
      </c>
    </row>
    <row r="1423" spans="1:20" x14ac:dyDescent="0.3">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c r="S1423" t="str">
        <f>INDEX(Q:Q,MATCH(Table1[[#This Row],[Item Purchased]],D:D))</f>
        <v>Debit Card</v>
      </c>
      <c r="T1423">
        <f>SUMIF(J:J,Table1[[#This Row],[Season]],F:F)</f>
        <v>58679</v>
      </c>
    </row>
    <row r="1424" spans="1:20" x14ac:dyDescent="0.3">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c r="S1424" t="str">
        <f>INDEX(Q:Q,MATCH(Table1[[#This Row],[Item Purchased]],D:D))</f>
        <v>Debit Card</v>
      </c>
      <c r="T1424">
        <f>SUMIF(J:J,Table1[[#This Row],[Season]],F:F)</f>
        <v>60018</v>
      </c>
    </row>
    <row r="1425" spans="1:20" x14ac:dyDescent="0.3">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c r="S1425" t="str">
        <f>INDEX(Q:Q,MATCH(Table1[[#This Row],[Item Purchased]],D:D))</f>
        <v>Bank Transfer</v>
      </c>
      <c r="T1425">
        <f>SUMIF(J:J,Table1[[#This Row],[Season]],F:F)</f>
        <v>60018</v>
      </c>
    </row>
    <row r="1426" spans="1:20" x14ac:dyDescent="0.3">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c r="S1426" t="str">
        <f>INDEX(Q:Q,MATCH(Table1[[#This Row],[Item Purchased]],D:D))</f>
        <v>Debit Card</v>
      </c>
      <c r="T1426">
        <f>SUMIF(J:J,Table1[[#This Row],[Season]],F:F)</f>
        <v>60018</v>
      </c>
    </row>
    <row r="1427" spans="1:20" x14ac:dyDescent="0.3">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c r="S1427" t="str">
        <f>INDEX(Q:Q,MATCH(Table1[[#This Row],[Item Purchased]],D:D))</f>
        <v>Debit Card</v>
      </c>
      <c r="T1427">
        <f>SUMIF(J:J,Table1[[#This Row],[Season]],F:F)</f>
        <v>58607</v>
      </c>
    </row>
    <row r="1428" spans="1:20" x14ac:dyDescent="0.3">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c r="S1428" t="str">
        <f>INDEX(Q:Q,MATCH(Table1[[#This Row],[Item Purchased]],D:D))</f>
        <v>Cash</v>
      </c>
      <c r="T1428">
        <f>SUMIF(J:J,Table1[[#This Row],[Season]],F:F)</f>
        <v>55777</v>
      </c>
    </row>
    <row r="1429" spans="1:20" x14ac:dyDescent="0.3">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c r="S1429" t="e">
        <f>INDEX(Q:Q,MATCH(Table1[[#This Row],[Item Purchased]],D:D))</f>
        <v>#N/A</v>
      </c>
      <c r="T1429">
        <f>SUMIF(J:J,Table1[[#This Row],[Season]],F:F)</f>
        <v>55777</v>
      </c>
    </row>
    <row r="1430" spans="1:20" x14ac:dyDescent="0.3">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c r="S1430" t="str">
        <f>INDEX(Q:Q,MATCH(Table1[[#This Row],[Item Purchased]],D:D))</f>
        <v>Venmo</v>
      </c>
      <c r="T1430">
        <f>SUMIF(J:J,Table1[[#This Row],[Season]],F:F)</f>
        <v>55777</v>
      </c>
    </row>
    <row r="1431" spans="1:20" x14ac:dyDescent="0.3">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c r="S1431" t="str">
        <f>INDEX(Q:Q,MATCH(Table1[[#This Row],[Item Purchased]],D:D))</f>
        <v>Credit Card</v>
      </c>
      <c r="T1431">
        <f>SUMIF(J:J,Table1[[#This Row],[Season]],F:F)</f>
        <v>60018</v>
      </c>
    </row>
    <row r="1432" spans="1:20" x14ac:dyDescent="0.3">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c r="S1432" t="str">
        <f>INDEX(Q:Q,MATCH(Table1[[#This Row],[Item Purchased]],D:D))</f>
        <v>Bank Transfer</v>
      </c>
      <c r="T1432">
        <f>SUMIF(J:J,Table1[[#This Row],[Season]],F:F)</f>
        <v>55777</v>
      </c>
    </row>
    <row r="1433" spans="1:20" x14ac:dyDescent="0.3">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c r="S1433" t="str">
        <f>INDEX(Q:Q,MATCH(Table1[[#This Row],[Item Purchased]],D:D))</f>
        <v>Cash</v>
      </c>
      <c r="T1433">
        <f>SUMIF(J:J,Table1[[#This Row],[Season]],F:F)</f>
        <v>60018</v>
      </c>
    </row>
    <row r="1434" spans="1:20" x14ac:dyDescent="0.3">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c r="S1434" t="str">
        <f>INDEX(Q:Q,MATCH(Table1[[#This Row],[Item Purchased]],D:D))</f>
        <v>Venmo</v>
      </c>
      <c r="T1434">
        <f>SUMIF(J:J,Table1[[#This Row],[Season]],F:F)</f>
        <v>58607</v>
      </c>
    </row>
    <row r="1435" spans="1:20" x14ac:dyDescent="0.3">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c r="S1435" t="str">
        <f>INDEX(Q:Q,MATCH(Table1[[#This Row],[Item Purchased]],D:D))</f>
        <v>Venmo</v>
      </c>
      <c r="T1435">
        <f>SUMIF(J:J,Table1[[#This Row],[Season]],F:F)</f>
        <v>58607</v>
      </c>
    </row>
    <row r="1436" spans="1:20" x14ac:dyDescent="0.3">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c r="S1436" t="str">
        <f>INDEX(Q:Q,MATCH(Table1[[#This Row],[Item Purchased]],D:D))</f>
        <v>Venmo</v>
      </c>
      <c r="T1436">
        <f>SUMIF(J:J,Table1[[#This Row],[Season]],F:F)</f>
        <v>55777</v>
      </c>
    </row>
    <row r="1437" spans="1:20" x14ac:dyDescent="0.3">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c r="S1437" t="str">
        <f>INDEX(Q:Q,MATCH(Table1[[#This Row],[Item Purchased]],D:D))</f>
        <v>Bank Transfer</v>
      </c>
      <c r="T1437">
        <f>SUMIF(J:J,Table1[[#This Row],[Season]],F:F)</f>
        <v>60018</v>
      </c>
    </row>
    <row r="1438" spans="1:20" x14ac:dyDescent="0.3">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c r="S1438" t="str">
        <f>INDEX(Q:Q,MATCH(Table1[[#This Row],[Item Purchased]],D:D))</f>
        <v>Venmo</v>
      </c>
      <c r="T1438">
        <f>SUMIF(J:J,Table1[[#This Row],[Season]],F:F)</f>
        <v>58607</v>
      </c>
    </row>
    <row r="1439" spans="1:20" x14ac:dyDescent="0.3">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c r="S1439" t="str">
        <f>INDEX(Q:Q,MATCH(Table1[[#This Row],[Item Purchased]],D:D))</f>
        <v>Venmo</v>
      </c>
      <c r="T1439">
        <f>SUMIF(J:J,Table1[[#This Row],[Season]],F:F)</f>
        <v>58607</v>
      </c>
    </row>
    <row r="1440" spans="1:20" x14ac:dyDescent="0.3">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c r="S1440" t="str">
        <f>INDEX(Q:Q,MATCH(Table1[[#This Row],[Item Purchased]],D:D))</f>
        <v>Debit Card</v>
      </c>
      <c r="T1440">
        <f>SUMIF(J:J,Table1[[#This Row],[Season]],F:F)</f>
        <v>58679</v>
      </c>
    </row>
    <row r="1441" spans="1:20" x14ac:dyDescent="0.3">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c r="S1441" t="str">
        <f>INDEX(Q:Q,MATCH(Table1[[#This Row],[Item Purchased]],D:D))</f>
        <v>Venmo</v>
      </c>
      <c r="T1441">
        <f>SUMIF(J:J,Table1[[#This Row],[Season]],F:F)</f>
        <v>55777</v>
      </c>
    </row>
    <row r="1442" spans="1:20" x14ac:dyDescent="0.3">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c r="S1442" t="str">
        <f>INDEX(Q:Q,MATCH(Table1[[#This Row],[Item Purchased]],D:D))</f>
        <v>Bank Transfer</v>
      </c>
      <c r="T1442">
        <f>SUMIF(J:J,Table1[[#This Row],[Season]],F:F)</f>
        <v>58679</v>
      </c>
    </row>
    <row r="1443" spans="1:20" x14ac:dyDescent="0.3">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c r="S1443" t="str">
        <f>INDEX(Q:Q,MATCH(Table1[[#This Row],[Item Purchased]],D:D))</f>
        <v>Cash</v>
      </c>
      <c r="T1443">
        <f>SUMIF(J:J,Table1[[#This Row],[Season]],F:F)</f>
        <v>55777</v>
      </c>
    </row>
    <row r="1444" spans="1:20" x14ac:dyDescent="0.3">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c r="S1444" t="str">
        <f>INDEX(Q:Q,MATCH(Table1[[#This Row],[Item Purchased]],D:D))</f>
        <v>Venmo</v>
      </c>
      <c r="T1444">
        <f>SUMIF(J:J,Table1[[#This Row],[Season]],F:F)</f>
        <v>58679</v>
      </c>
    </row>
    <row r="1445" spans="1:20" x14ac:dyDescent="0.3">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c r="S1445" t="str">
        <f>INDEX(Q:Q,MATCH(Table1[[#This Row],[Item Purchased]],D:D))</f>
        <v>Bank Transfer</v>
      </c>
      <c r="T1445">
        <f>SUMIF(J:J,Table1[[#This Row],[Season]],F:F)</f>
        <v>60018</v>
      </c>
    </row>
    <row r="1446" spans="1:20" x14ac:dyDescent="0.3">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c r="S1446" t="str">
        <f>INDEX(Q:Q,MATCH(Table1[[#This Row],[Item Purchased]],D:D))</f>
        <v>Venmo</v>
      </c>
      <c r="T1446">
        <f>SUMIF(J:J,Table1[[#This Row],[Season]],F:F)</f>
        <v>60018</v>
      </c>
    </row>
    <row r="1447" spans="1:20" x14ac:dyDescent="0.3">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c r="S1447" t="e">
        <f>INDEX(Q:Q,MATCH(Table1[[#This Row],[Item Purchased]],D:D))</f>
        <v>#N/A</v>
      </c>
      <c r="T1447">
        <f>SUMIF(J:J,Table1[[#This Row],[Season]],F:F)</f>
        <v>60018</v>
      </c>
    </row>
    <row r="1448" spans="1:20" x14ac:dyDescent="0.3">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c r="S1448" t="str">
        <f>INDEX(Q:Q,MATCH(Table1[[#This Row],[Item Purchased]],D:D))</f>
        <v>Cash</v>
      </c>
      <c r="T1448">
        <f>SUMIF(J:J,Table1[[#This Row],[Season]],F:F)</f>
        <v>55777</v>
      </c>
    </row>
    <row r="1449" spans="1:20" x14ac:dyDescent="0.3">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c r="S1449" t="str">
        <f>INDEX(Q:Q,MATCH(Table1[[#This Row],[Item Purchased]],D:D))</f>
        <v>Venmo</v>
      </c>
      <c r="T1449">
        <f>SUMIF(J:J,Table1[[#This Row],[Season]],F:F)</f>
        <v>55777</v>
      </c>
    </row>
    <row r="1450" spans="1:20" x14ac:dyDescent="0.3">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c r="S1450" t="str">
        <f>INDEX(Q:Q,MATCH(Table1[[#This Row],[Item Purchased]],D:D))</f>
        <v>Venmo</v>
      </c>
      <c r="T1450">
        <f>SUMIF(J:J,Table1[[#This Row],[Season]],F:F)</f>
        <v>55777</v>
      </c>
    </row>
    <row r="1451" spans="1:20" x14ac:dyDescent="0.3">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c r="S1451" t="str">
        <f>INDEX(Q:Q,MATCH(Table1[[#This Row],[Item Purchased]],D:D))</f>
        <v>Venmo</v>
      </c>
      <c r="T1451">
        <f>SUMIF(J:J,Table1[[#This Row],[Season]],F:F)</f>
        <v>58607</v>
      </c>
    </row>
    <row r="1452" spans="1:20" x14ac:dyDescent="0.3">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c r="S1452" t="str">
        <f>INDEX(Q:Q,MATCH(Table1[[#This Row],[Item Purchased]],D:D))</f>
        <v>Debit Card</v>
      </c>
      <c r="T1452">
        <f>SUMIF(J:J,Table1[[#This Row],[Season]],F:F)</f>
        <v>58607</v>
      </c>
    </row>
    <row r="1453" spans="1:20" x14ac:dyDescent="0.3">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c r="S1453" t="str">
        <f>INDEX(Q:Q,MATCH(Table1[[#This Row],[Item Purchased]],D:D))</f>
        <v>Debit Card</v>
      </c>
      <c r="T1453">
        <f>SUMIF(J:J,Table1[[#This Row],[Season]],F:F)</f>
        <v>60018</v>
      </c>
    </row>
    <row r="1454" spans="1:20" x14ac:dyDescent="0.3">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c r="S1454" t="str">
        <f>INDEX(Q:Q,MATCH(Table1[[#This Row],[Item Purchased]],D:D))</f>
        <v>Debit Card</v>
      </c>
      <c r="T1454">
        <f>SUMIF(J:J,Table1[[#This Row],[Season]],F:F)</f>
        <v>58679</v>
      </c>
    </row>
    <row r="1455" spans="1:20" x14ac:dyDescent="0.3">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c r="S1455" t="str">
        <f>INDEX(Q:Q,MATCH(Table1[[#This Row],[Item Purchased]],D:D))</f>
        <v>Venmo</v>
      </c>
      <c r="T1455">
        <f>SUMIF(J:J,Table1[[#This Row],[Season]],F:F)</f>
        <v>58607</v>
      </c>
    </row>
    <row r="1456" spans="1:20" x14ac:dyDescent="0.3">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c r="S1456" t="str">
        <f>INDEX(Q:Q,MATCH(Table1[[#This Row],[Item Purchased]],D:D))</f>
        <v>Venmo</v>
      </c>
      <c r="T1456">
        <f>SUMIF(J:J,Table1[[#This Row],[Season]],F:F)</f>
        <v>58607</v>
      </c>
    </row>
    <row r="1457" spans="1:20" x14ac:dyDescent="0.3">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c r="S1457" t="str">
        <f>INDEX(Q:Q,MATCH(Table1[[#This Row],[Item Purchased]],D:D))</f>
        <v>Cash</v>
      </c>
      <c r="T1457">
        <f>SUMIF(J:J,Table1[[#This Row],[Season]],F:F)</f>
        <v>60018</v>
      </c>
    </row>
    <row r="1458" spans="1:20" x14ac:dyDescent="0.3">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c r="S1458" t="str">
        <f>INDEX(Q:Q,MATCH(Table1[[#This Row],[Item Purchased]],D:D))</f>
        <v>Debit Card</v>
      </c>
      <c r="T1458">
        <f>SUMIF(J:J,Table1[[#This Row],[Season]],F:F)</f>
        <v>58679</v>
      </c>
    </row>
    <row r="1459" spans="1:20" x14ac:dyDescent="0.3">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c r="S1459" t="str">
        <f>INDEX(Q:Q,MATCH(Table1[[#This Row],[Item Purchased]],D:D))</f>
        <v>Bank Transfer</v>
      </c>
      <c r="T1459">
        <f>SUMIF(J:J,Table1[[#This Row],[Season]],F:F)</f>
        <v>58679</v>
      </c>
    </row>
    <row r="1460" spans="1:20" x14ac:dyDescent="0.3">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c r="S1460" t="str">
        <f>INDEX(Q:Q,MATCH(Table1[[#This Row],[Item Purchased]],D:D))</f>
        <v>Venmo</v>
      </c>
      <c r="T1460">
        <f>SUMIF(J:J,Table1[[#This Row],[Season]],F:F)</f>
        <v>58679</v>
      </c>
    </row>
    <row r="1461" spans="1:20" x14ac:dyDescent="0.3">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c r="S1461" t="str">
        <f>INDEX(Q:Q,MATCH(Table1[[#This Row],[Item Purchased]],D:D))</f>
        <v>PayPal</v>
      </c>
      <c r="T1461">
        <f>SUMIF(J:J,Table1[[#This Row],[Season]],F:F)</f>
        <v>58607</v>
      </c>
    </row>
    <row r="1462" spans="1:20" x14ac:dyDescent="0.3">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c r="S1462" t="str">
        <f>INDEX(Q:Q,MATCH(Table1[[#This Row],[Item Purchased]],D:D))</f>
        <v>Venmo</v>
      </c>
      <c r="T1462">
        <f>SUMIF(J:J,Table1[[#This Row],[Season]],F:F)</f>
        <v>60018</v>
      </c>
    </row>
    <row r="1463" spans="1:20" x14ac:dyDescent="0.3">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c r="S1463" t="str">
        <f>INDEX(Q:Q,MATCH(Table1[[#This Row],[Item Purchased]],D:D))</f>
        <v>Venmo</v>
      </c>
      <c r="T1463">
        <f>SUMIF(J:J,Table1[[#This Row],[Season]],F:F)</f>
        <v>55777</v>
      </c>
    </row>
    <row r="1464" spans="1:20" x14ac:dyDescent="0.3">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c r="S1464" t="str">
        <f>INDEX(Q:Q,MATCH(Table1[[#This Row],[Item Purchased]],D:D))</f>
        <v>Venmo</v>
      </c>
      <c r="T1464">
        <f>SUMIF(J:J,Table1[[#This Row],[Season]],F:F)</f>
        <v>55777</v>
      </c>
    </row>
    <row r="1465" spans="1:20" x14ac:dyDescent="0.3">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c r="S1465" t="str">
        <f>INDEX(Q:Q,MATCH(Table1[[#This Row],[Item Purchased]],D:D))</f>
        <v>Cash</v>
      </c>
      <c r="T1465">
        <f>SUMIF(J:J,Table1[[#This Row],[Season]],F:F)</f>
        <v>55777</v>
      </c>
    </row>
    <row r="1466" spans="1:20" x14ac:dyDescent="0.3">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c r="S1466" t="e">
        <f>INDEX(Q:Q,MATCH(Table1[[#This Row],[Item Purchased]],D:D))</f>
        <v>#N/A</v>
      </c>
      <c r="T1466">
        <f>SUMIF(J:J,Table1[[#This Row],[Season]],F:F)</f>
        <v>58607</v>
      </c>
    </row>
    <row r="1467" spans="1:20" x14ac:dyDescent="0.3">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c r="S1467" t="str">
        <f>INDEX(Q:Q,MATCH(Table1[[#This Row],[Item Purchased]],D:D))</f>
        <v>Debit Card</v>
      </c>
      <c r="T1467">
        <f>SUMIF(J:J,Table1[[#This Row],[Season]],F:F)</f>
        <v>58607</v>
      </c>
    </row>
    <row r="1468" spans="1:20" x14ac:dyDescent="0.3">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c r="S1468" t="str">
        <f>INDEX(Q:Q,MATCH(Table1[[#This Row],[Item Purchased]],D:D))</f>
        <v>PayPal</v>
      </c>
      <c r="T1468">
        <f>SUMIF(J:J,Table1[[#This Row],[Season]],F:F)</f>
        <v>55777</v>
      </c>
    </row>
    <row r="1469" spans="1:20" x14ac:dyDescent="0.3">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c r="S1469" t="str">
        <f>INDEX(Q:Q,MATCH(Table1[[#This Row],[Item Purchased]],D:D))</f>
        <v>Cash</v>
      </c>
      <c r="T1469">
        <f>SUMIF(J:J,Table1[[#This Row],[Season]],F:F)</f>
        <v>58607</v>
      </c>
    </row>
    <row r="1470" spans="1:20" x14ac:dyDescent="0.3">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c r="S1470" t="str">
        <f>INDEX(Q:Q,MATCH(Table1[[#This Row],[Item Purchased]],D:D))</f>
        <v>Debit Card</v>
      </c>
      <c r="T1470">
        <f>SUMIF(J:J,Table1[[#This Row],[Season]],F:F)</f>
        <v>60018</v>
      </c>
    </row>
    <row r="1471" spans="1:20" x14ac:dyDescent="0.3">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c r="S1471" t="str">
        <f>INDEX(Q:Q,MATCH(Table1[[#This Row],[Item Purchased]],D:D))</f>
        <v>Cash</v>
      </c>
      <c r="T1471">
        <f>SUMIF(J:J,Table1[[#This Row],[Season]],F:F)</f>
        <v>58607</v>
      </c>
    </row>
    <row r="1472" spans="1:20" x14ac:dyDescent="0.3">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c r="S1472" t="str">
        <f>INDEX(Q:Q,MATCH(Table1[[#This Row],[Item Purchased]],D:D))</f>
        <v>Bank Transfer</v>
      </c>
      <c r="T1472">
        <f>SUMIF(J:J,Table1[[#This Row],[Season]],F:F)</f>
        <v>58679</v>
      </c>
    </row>
    <row r="1473" spans="1:20" x14ac:dyDescent="0.3">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c r="S1473" t="str">
        <f>INDEX(Q:Q,MATCH(Table1[[#This Row],[Item Purchased]],D:D))</f>
        <v>Cash</v>
      </c>
      <c r="T1473">
        <f>SUMIF(J:J,Table1[[#This Row],[Season]],F:F)</f>
        <v>58679</v>
      </c>
    </row>
    <row r="1474" spans="1:20" x14ac:dyDescent="0.3">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c r="S1474" t="str">
        <f>INDEX(Q:Q,MATCH(Table1[[#This Row],[Item Purchased]],D:D))</f>
        <v>Venmo</v>
      </c>
      <c r="T1474">
        <f>SUMIF(J:J,Table1[[#This Row],[Season]],F:F)</f>
        <v>58679</v>
      </c>
    </row>
    <row r="1475" spans="1:20" x14ac:dyDescent="0.3">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c r="S1475" t="str">
        <f>INDEX(Q:Q,MATCH(Table1[[#This Row],[Item Purchased]],D:D))</f>
        <v>PayPal</v>
      </c>
      <c r="T1475">
        <f>SUMIF(J:J,Table1[[#This Row],[Season]],F:F)</f>
        <v>60018</v>
      </c>
    </row>
    <row r="1476" spans="1:20" x14ac:dyDescent="0.3">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c r="S1476" t="str">
        <f>INDEX(Q:Q,MATCH(Table1[[#This Row],[Item Purchased]],D:D))</f>
        <v>Venmo</v>
      </c>
      <c r="T1476">
        <f>SUMIF(J:J,Table1[[#This Row],[Season]],F:F)</f>
        <v>60018</v>
      </c>
    </row>
    <row r="1477" spans="1:20" x14ac:dyDescent="0.3">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c r="S1477" t="str">
        <f>INDEX(Q:Q,MATCH(Table1[[#This Row],[Item Purchased]],D:D))</f>
        <v>Venmo</v>
      </c>
      <c r="T1477">
        <f>SUMIF(J:J,Table1[[#This Row],[Season]],F:F)</f>
        <v>58679</v>
      </c>
    </row>
    <row r="1478" spans="1:20" x14ac:dyDescent="0.3">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c r="S1478" t="str">
        <f>INDEX(Q:Q,MATCH(Table1[[#This Row],[Item Purchased]],D:D))</f>
        <v>Venmo</v>
      </c>
      <c r="T1478">
        <f>SUMIF(J:J,Table1[[#This Row],[Season]],F:F)</f>
        <v>60018</v>
      </c>
    </row>
    <row r="1479" spans="1:20" x14ac:dyDescent="0.3">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c r="S1479" t="e">
        <f>INDEX(Q:Q,MATCH(Table1[[#This Row],[Item Purchased]],D:D))</f>
        <v>#N/A</v>
      </c>
      <c r="T1479">
        <f>SUMIF(J:J,Table1[[#This Row],[Season]],F:F)</f>
        <v>55777</v>
      </c>
    </row>
    <row r="1480" spans="1:20" x14ac:dyDescent="0.3">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c r="S1480" t="str">
        <f>INDEX(Q:Q,MATCH(Table1[[#This Row],[Item Purchased]],D:D))</f>
        <v>Debit Card</v>
      </c>
      <c r="T1480">
        <f>SUMIF(J:J,Table1[[#This Row],[Season]],F:F)</f>
        <v>55777</v>
      </c>
    </row>
    <row r="1481" spans="1:20" x14ac:dyDescent="0.3">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c r="S1481" t="str">
        <f>INDEX(Q:Q,MATCH(Table1[[#This Row],[Item Purchased]],D:D))</f>
        <v>Debit Card</v>
      </c>
      <c r="T1481">
        <f>SUMIF(J:J,Table1[[#This Row],[Season]],F:F)</f>
        <v>58679</v>
      </c>
    </row>
    <row r="1482" spans="1:20" x14ac:dyDescent="0.3">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c r="S1482" t="str">
        <f>INDEX(Q:Q,MATCH(Table1[[#This Row],[Item Purchased]],D:D))</f>
        <v>Cash</v>
      </c>
      <c r="T1482">
        <f>SUMIF(J:J,Table1[[#This Row],[Season]],F:F)</f>
        <v>60018</v>
      </c>
    </row>
    <row r="1483" spans="1:20" x14ac:dyDescent="0.3">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c r="S1483" t="str">
        <f>INDEX(Q:Q,MATCH(Table1[[#This Row],[Item Purchased]],D:D))</f>
        <v>Credit Card</v>
      </c>
      <c r="T1483">
        <f>SUMIF(J:J,Table1[[#This Row],[Season]],F:F)</f>
        <v>58679</v>
      </c>
    </row>
    <row r="1484" spans="1:20" x14ac:dyDescent="0.3">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c r="S1484" t="str">
        <f>INDEX(Q:Q,MATCH(Table1[[#This Row],[Item Purchased]],D:D))</f>
        <v>Debit Card</v>
      </c>
      <c r="T1484">
        <f>SUMIF(J:J,Table1[[#This Row],[Season]],F:F)</f>
        <v>58679</v>
      </c>
    </row>
    <row r="1485" spans="1:20" x14ac:dyDescent="0.3">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c r="S1485" t="str">
        <f>INDEX(Q:Q,MATCH(Table1[[#This Row],[Item Purchased]],D:D))</f>
        <v>Cash</v>
      </c>
      <c r="T1485">
        <f>SUMIF(J:J,Table1[[#This Row],[Season]],F:F)</f>
        <v>55777</v>
      </c>
    </row>
    <row r="1486" spans="1:20" x14ac:dyDescent="0.3">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c r="S1486" t="str">
        <f>INDEX(Q:Q,MATCH(Table1[[#This Row],[Item Purchased]],D:D))</f>
        <v>PayPal</v>
      </c>
      <c r="T1486">
        <f>SUMIF(J:J,Table1[[#This Row],[Season]],F:F)</f>
        <v>55777</v>
      </c>
    </row>
    <row r="1487" spans="1:20" x14ac:dyDescent="0.3">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c r="S1487" t="str">
        <f>INDEX(Q:Q,MATCH(Table1[[#This Row],[Item Purchased]],D:D))</f>
        <v>Debit Card</v>
      </c>
      <c r="T1487">
        <f>SUMIF(J:J,Table1[[#This Row],[Season]],F:F)</f>
        <v>58679</v>
      </c>
    </row>
    <row r="1488" spans="1:20" x14ac:dyDescent="0.3">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c r="S1488" t="str">
        <f>INDEX(Q:Q,MATCH(Table1[[#This Row],[Item Purchased]],D:D))</f>
        <v>Venmo</v>
      </c>
      <c r="T1488">
        <f>SUMIF(J:J,Table1[[#This Row],[Season]],F:F)</f>
        <v>58679</v>
      </c>
    </row>
    <row r="1489" spans="1:20" x14ac:dyDescent="0.3">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c r="S1489" t="str">
        <f>INDEX(Q:Q,MATCH(Table1[[#This Row],[Item Purchased]],D:D))</f>
        <v>Credit Card</v>
      </c>
      <c r="T1489">
        <f>SUMIF(J:J,Table1[[#This Row],[Season]],F:F)</f>
        <v>55777</v>
      </c>
    </row>
    <row r="1490" spans="1:20" x14ac:dyDescent="0.3">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c r="S1490" t="str">
        <f>INDEX(Q:Q,MATCH(Table1[[#This Row],[Item Purchased]],D:D))</f>
        <v>Venmo</v>
      </c>
      <c r="T1490">
        <f>SUMIF(J:J,Table1[[#This Row],[Season]],F:F)</f>
        <v>58607</v>
      </c>
    </row>
    <row r="1491" spans="1:20" x14ac:dyDescent="0.3">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c r="S1491" t="str">
        <f>INDEX(Q:Q,MATCH(Table1[[#This Row],[Item Purchased]],D:D))</f>
        <v>Cash</v>
      </c>
      <c r="T1491">
        <f>SUMIF(J:J,Table1[[#This Row],[Season]],F:F)</f>
        <v>55777</v>
      </c>
    </row>
    <row r="1492" spans="1:20" x14ac:dyDescent="0.3">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c r="S1492" t="str">
        <f>INDEX(Q:Q,MATCH(Table1[[#This Row],[Item Purchased]],D:D))</f>
        <v>Venmo</v>
      </c>
      <c r="T1492">
        <f>SUMIF(J:J,Table1[[#This Row],[Season]],F:F)</f>
        <v>58679</v>
      </c>
    </row>
    <row r="1493" spans="1:20" x14ac:dyDescent="0.3">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c r="S1493" t="str">
        <f>INDEX(Q:Q,MATCH(Table1[[#This Row],[Item Purchased]],D:D))</f>
        <v>Bank Transfer</v>
      </c>
      <c r="T1493">
        <f>SUMIF(J:J,Table1[[#This Row],[Season]],F:F)</f>
        <v>55777</v>
      </c>
    </row>
    <row r="1494" spans="1:20" x14ac:dyDescent="0.3">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c r="S1494" t="str">
        <f>INDEX(Q:Q,MATCH(Table1[[#This Row],[Item Purchased]],D:D))</f>
        <v>Debit Card</v>
      </c>
      <c r="T1494">
        <f>SUMIF(J:J,Table1[[#This Row],[Season]],F:F)</f>
        <v>55777</v>
      </c>
    </row>
    <row r="1495" spans="1:20" x14ac:dyDescent="0.3">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c r="S1495" t="e">
        <f>INDEX(Q:Q,MATCH(Table1[[#This Row],[Item Purchased]],D:D))</f>
        <v>#N/A</v>
      </c>
      <c r="T1495">
        <f>SUMIF(J:J,Table1[[#This Row],[Season]],F:F)</f>
        <v>60018</v>
      </c>
    </row>
    <row r="1496" spans="1:20" x14ac:dyDescent="0.3">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c r="S1496" t="str">
        <f>INDEX(Q:Q,MATCH(Table1[[#This Row],[Item Purchased]],D:D))</f>
        <v>Venmo</v>
      </c>
      <c r="T1496">
        <f>SUMIF(J:J,Table1[[#This Row],[Season]],F:F)</f>
        <v>58679</v>
      </c>
    </row>
    <row r="1497" spans="1:20" x14ac:dyDescent="0.3">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c r="S1497" t="str">
        <f>INDEX(Q:Q,MATCH(Table1[[#This Row],[Item Purchased]],D:D))</f>
        <v>Cash</v>
      </c>
      <c r="T1497">
        <f>SUMIF(J:J,Table1[[#This Row],[Season]],F:F)</f>
        <v>58607</v>
      </c>
    </row>
    <row r="1498" spans="1:20" x14ac:dyDescent="0.3">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c r="S1498" t="str">
        <f>INDEX(Q:Q,MATCH(Table1[[#This Row],[Item Purchased]],D:D))</f>
        <v>Venmo</v>
      </c>
      <c r="T1498">
        <f>SUMIF(J:J,Table1[[#This Row],[Season]],F:F)</f>
        <v>58607</v>
      </c>
    </row>
    <row r="1499" spans="1:20" x14ac:dyDescent="0.3">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c r="S1499" t="str">
        <f>INDEX(Q:Q,MATCH(Table1[[#This Row],[Item Purchased]],D:D))</f>
        <v>Debit Card</v>
      </c>
      <c r="T1499">
        <f>SUMIF(J:J,Table1[[#This Row],[Season]],F:F)</f>
        <v>58679</v>
      </c>
    </row>
    <row r="1500" spans="1:20" x14ac:dyDescent="0.3">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c r="S1500" t="str">
        <f>INDEX(Q:Q,MATCH(Table1[[#This Row],[Item Purchased]],D:D))</f>
        <v>Venmo</v>
      </c>
      <c r="T1500">
        <f>SUMIF(J:J,Table1[[#This Row],[Season]],F:F)</f>
        <v>55777</v>
      </c>
    </row>
    <row r="1501" spans="1:20" x14ac:dyDescent="0.3">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c r="S1501" t="str">
        <f>INDEX(Q:Q,MATCH(Table1[[#This Row],[Item Purchased]],D:D))</f>
        <v>Venmo</v>
      </c>
      <c r="T1501">
        <f>SUMIF(J:J,Table1[[#This Row],[Season]],F:F)</f>
        <v>60018</v>
      </c>
    </row>
    <row r="1502" spans="1:20" x14ac:dyDescent="0.3">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c r="S1502" t="str">
        <f>INDEX(Q:Q,MATCH(Table1[[#This Row],[Item Purchased]],D:D))</f>
        <v>Cash</v>
      </c>
      <c r="T1502">
        <f>SUMIF(J:J,Table1[[#This Row],[Season]],F:F)</f>
        <v>55777</v>
      </c>
    </row>
    <row r="1503" spans="1:20" x14ac:dyDescent="0.3">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c r="S1503" t="str">
        <f>INDEX(Q:Q,MATCH(Table1[[#This Row],[Item Purchased]],D:D))</f>
        <v>Cash</v>
      </c>
      <c r="T1503">
        <f>SUMIF(J:J,Table1[[#This Row],[Season]],F:F)</f>
        <v>58679</v>
      </c>
    </row>
    <row r="1504" spans="1:20" x14ac:dyDescent="0.3">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c r="S1504" t="str">
        <f>INDEX(Q:Q,MATCH(Table1[[#This Row],[Item Purchased]],D:D))</f>
        <v>Cash</v>
      </c>
      <c r="T1504">
        <f>SUMIF(J:J,Table1[[#This Row],[Season]],F:F)</f>
        <v>55777</v>
      </c>
    </row>
    <row r="1505" spans="1:20" x14ac:dyDescent="0.3">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c r="S1505" t="str">
        <f>INDEX(Q:Q,MATCH(Table1[[#This Row],[Item Purchased]],D:D))</f>
        <v>Debit Card</v>
      </c>
      <c r="T1505">
        <f>SUMIF(J:J,Table1[[#This Row],[Season]],F:F)</f>
        <v>60018</v>
      </c>
    </row>
    <row r="1506" spans="1:20" x14ac:dyDescent="0.3">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c r="S1506" t="str">
        <f>INDEX(Q:Q,MATCH(Table1[[#This Row],[Item Purchased]],D:D))</f>
        <v>Debit Card</v>
      </c>
      <c r="T1506">
        <f>SUMIF(J:J,Table1[[#This Row],[Season]],F:F)</f>
        <v>58607</v>
      </c>
    </row>
    <row r="1507" spans="1:20" x14ac:dyDescent="0.3">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c r="S1507" t="e">
        <f>INDEX(Q:Q,MATCH(Table1[[#This Row],[Item Purchased]],D:D))</f>
        <v>#N/A</v>
      </c>
      <c r="T1507">
        <f>SUMIF(J:J,Table1[[#This Row],[Season]],F:F)</f>
        <v>55777</v>
      </c>
    </row>
    <row r="1508" spans="1:20" x14ac:dyDescent="0.3">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c r="S1508" t="str">
        <f>INDEX(Q:Q,MATCH(Table1[[#This Row],[Item Purchased]],D:D))</f>
        <v>Bank Transfer</v>
      </c>
      <c r="T1508">
        <f>SUMIF(J:J,Table1[[#This Row],[Season]],F:F)</f>
        <v>60018</v>
      </c>
    </row>
    <row r="1509" spans="1:20" x14ac:dyDescent="0.3">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c r="S1509" t="str">
        <f>INDEX(Q:Q,MATCH(Table1[[#This Row],[Item Purchased]],D:D))</f>
        <v>Debit Card</v>
      </c>
      <c r="T1509">
        <f>SUMIF(J:J,Table1[[#This Row],[Season]],F:F)</f>
        <v>58607</v>
      </c>
    </row>
    <row r="1510" spans="1:20" x14ac:dyDescent="0.3">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c r="S1510" t="str">
        <f>INDEX(Q:Q,MATCH(Table1[[#This Row],[Item Purchased]],D:D))</f>
        <v>Venmo</v>
      </c>
      <c r="T1510">
        <f>SUMIF(J:J,Table1[[#This Row],[Season]],F:F)</f>
        <v>58679</v>
      </c>
    </row>
    <row r="1511" spans="1:20" x14ac:dyDescent="0.3">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c r="S1511" t="str">
        <f>INDEX(Q:Q,MATCH(Table1[[#This Row],[Item Purchased]],D:D))</f>
        <v>Debit Card</v>
      </c>
      <c r="T1511">
        <f>SUMIF(J:J,Table1[[#This Row],[Season]],F:F)</f>
        <v>55777</v>
      </c>
    </row>
    <row r="1512" spans="1:20" x14ac:dyDescent="0.3">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c r="S1512" t="str">
        <f>INDEX(Q:Q,MATCH(Table1[[#This Row],[Item Purchased]],D:D))</f>
        <v>Venmo</v>
      </c>
      <c r="T1512">
        <f>SUMIF(J:J,Table1[[#This Row],[Season]],F:F)</f>
        <v>60018</v>
      </c>
    </row>
    <row r="1513" spans="1:20" x14ac:dyDescent="0.3">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c r="S1513" t="str">
        <f>INDEX(Q:Q,MATCH(Table1[[#This Row],[Item Purchased]],D:D))</f>
        <v>Debit Card</v>
      </c>
      <c r="T1513">
        <f>SUMIF(J:J,Table1[[#This Row],[Season]],F:F)</f>
        <v>58607</v>
      </c>
    </row>
    <row r="1514" spans="1:20" x14ac:dyDescent="0.3">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c r="S1514" t="str">
        <f>INDEX(Q:Q,MATCH(Table1[[#This Row],[Item Purchased]],D:D))</f>
        <v>Venmo</v>
      </c>
      <c r="T1514">
        <f>SUMIF(J:J,Table1[[#This Row],[Season]],F:F)</f>
        <v>58607</v>
      </c>
    </row>
    <row r="1515" spans="1:20" x14ac:dyDescent="0.3">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c r="S1515" t="str">
        <f>INDEX(Q:Q,MATCH(Table1[[#This Row],[Item Purchased]],D:D))</f>
        <v>Venmo</v>
      </c>
      <c r="T1515">
        <f>SUMIF(J:J,Table1[[#This Row],[Season]],F:F)</f>
        <v>58679</v>
      </c>
    </row>
    <row r="1516" spans="1:20" x14ac:dyDescent="0.3">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c r="S1516" t="str">
        <f>INDEX(Q:Q,MATCH(Table1[[#This Row],[Item Purchased]],D:D))</f>
        <v>PayPal</v>
      </c>
      <c r="T1516">
        <f>SUMIF(J:J,Table1[[#This Row],[Season]],F:F)</f>
        <v>58607</v>
      </c>
    </row>
    <row r="1517" spans="1:20" x14ac:dyDescent="0.3">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c r="S1517" t="str">
        <f>INDEX(Q:Q,MATCH(Table1[[#This Row],[Item Purchased]],D:D))</f>
        <v>Cash</v>
      </c>
      <c r="T1517">
        <f>SUMIF(J:J,Table1[[#This Row],[Season]],F:F)</f>
        <v>60018</v>
      </c>
    </row>
    <row r="1518" spans="1:20" x14ac:dyDescent="0.3">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c r="S1518" t="str">
        <f>INDEX(Q:Q,MATCH(Table1[[#This Row],[Item Purchased]],D:D))</f>
        <v>Cash</v>
      </c>
      <c r="T1518">
        <f>SUMIF(J:J,Table1[[#This Row],[Season]],F:F)</f>
        <v>58607</v>
      </c>
    </row>
    <row r="1519" spans="1:20" x14ac:dyDescent="0.3">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c r="S1519" t="str">
        <f>INDEX(Q:Q,MATCH(Table1[[#This Row],[Item Purchased]],D:D))</f>
        <v>Debit Card</v>
      </c>
      <c r="T1519">
        <f>SUMIF(J:J,Table1[[#This Row],[Season]],F:F)</f>
        <v>58679</v>
      </c>
    </row>
    <row r="1520" spans="1:20" x14ac:dyDescent="0.3">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c r="S1520" t="e">
        <f>INDEX(Q:Q,MATCH(Table1[[#This Row],[Item Purchased]],D:D))</f>
        <v>#N/A</v>
      </c>
      <c r="T1520">
        <f>SUMIF(J:J,Table1[[#This Row],[Season]],F:F)</f>
        <v>58607</v>
      </c>
    </row>
    <row r="1521" spans="1:20" x14ac:dyDescent="0.3">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c r="S1521" t="str">
        <f>INDEX(Q:Q,MATCH(Table1[[#This Row],[Item Purchased]],D:D))</f>
        <v>Venmo</v>
      </c>
      <c r="T1521">
        <f>SUMIF(J:J,Table1[[#This Row],[Season]],F:F)</f>
        <v>60018</v>
      </c>
    </row>
    <row r="1522" spans="1:20" x14ac:dyDescent="0.3">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c r="S1522" t="str">
        <f>INDEX(Q:Q,MATCH(Table1[[#This Row],[Item Purchased]],D:D))</f>
        <v>Venmo</v>
      </c>
      <c r="T1522">
        <f>SUMIF(J:J,Table1[[#This Row],[Season]],F:F)</f>
        <v>55777</v>
      </c>
    </row>
    <row r="1523" spans="1:20" x14ac:dyDescent="0.3">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c r="S1523" t="e">
        <f>INDEX(Q:Q,MATCH(Table1[[#This Row],[Item Purchased]],D:D))</f>
        <v>#N/A</v>
      </c>
      <c r="T1523">
        <f>SUMIF(J:J,Table1[[#This Row],[Season]],F:F)</f>
        <v>55777</v>
      </c>
    </row>
    <row r="1524" spans="1:20" x14ac:dyDescent="0.3">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c r="S1524" t="str">
        <f>INDEX(Q:Q,MATCH(Table1[[#This Row],[Item Purchased]],D:D))</f>
        <v>PayPal</v>
      </c>
      <c r="T1524">
        <f>SUMIF(J:J,Table1[[#This Row],[Season]],F:F)</f>
        <v>58679</v>
      </c>
    </row>
    <row r="1525" spans="1:20" x14ac:dyDescent="0.3">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c r="S1525" t="str">
        <f>INDEX(Q:Q,MATCH(Table1[[#This Row],[Item Purchased]],D:D))</f>
        <v>Venmo</v>
      </c>
      <c r="T1525">
        <f>SUMIF(J:J,Table1[[#This Row],[Season]],F:F)</f>
        <v>55777</v>
      </c>
    </row>
    <row r="1526" spans="1:20" x14ac:dyDescent="0.3">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c r="S1526" t="str">
        <f>INDEX(Q:Q,MATCH(Table1[[#This Row],[Item Purchased]],D:D))</f>
        <v>Venmo</v>
      </c>
      <c r="T1526">
        <f>SUMIF(J:J,Table1[[#This Row],[Season]],F:F)</f>
        <v>55777</v>
      </c>
    </row>
    <row r="1527" spans="1:20" x14ac:dyDescent="0.3">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c r="S1527" t="e">
        <f>INDEX(Q:Q,MATCH(Table1[[#This Row],[Item Purchased]],D:D))</f>
        <v>#N/A</v>
      </c>
      <c r="T1527">
        <f>SUMIF(J:J,Table1[[#This Row],[Season]],F:F)</f>
        <v>58607</v>
      </c>
    </row>
    <row r="1528" spans="1:20" x14ac:dyDescent="0.3">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c r="S1528" t="str">
        <f>INDEX(Q:Q,MATCH(Table1[[#This Row],[Item Purchased]],D:D))</f>
        <v>Debit Card</v>
      </c>
      <c r="T1528">
        <f>SUMIF(J:J,Table1[[#This Row],[Season]],F:F)</f>
        <v>55777</v>
      </c>
    </row>
    <row r="1529" spans="1:20" x14ac:dyDescent="0.3">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c r="S1529" t="str">
        <f>INDEX(Q:Q,MATCH(Table1[[#This Row],[Item Purchased]],D:D))</f>
        <v>Venmo</v>
      </c>
      <c r="T1529">
        <f>SUMIF(J:J,Table1[[#This Row],[Season]],F:F)</f>
        <v>60018</v>
      </c>
    </row>
    <row r="1530" spans="1:20" x14ac:dyDescent="0.3">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c r="S1530" t="str">
        <f>INDEX(Q:Q,MATCH(Table1[[#This Row],[Item Purchased]],D:D))</f>
        <v>Venmo</v>
      </c>
      <c r="T1530">
        <f>SUMIF(J:J,Table1[[#This Row],[Season]],F:F)</f>
        <v>58679</v>
      </c>
    </row>
    <row r="1531" spans="1:20" x14ac:dyDescent="0.3">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c r="S1531" t="e">
        <f>INDEX(Q:Q,MATCH(Table1[[#This Row],[Item Purchased]],D:D))</f>
        <v>#N/A</v>
      </c>
      <c r="T1531">
        <f>SUMIF(J:J,Table1[[#This Row],[Season]],F:F)</f>
        <v>58607</v>
      </c>
    </row>
    <row r="1532" spans="1:20" x14ac:dyDescent="0.3">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c r="S1532" t="str">
        <f>INDEX(Q:Q,MATCH(Table1[[#This Row],[Item Purchased]],D:D))</f>
        <v>Debit Card</v>
      </c>
      <c r="T1532">
        <f>SUMIF(J:J,Table1[[#This Row],[Season]],F:F)</f>
        <v>58679</v>
      </c>
    </row>
    <row r="1533" spans="1:20" x14ac:dyDescent="0.3">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c r="S1533" t="e">
        <f>INDEX(Q:Q,MATCH(Table1[[#This Row],[Item Purchased]],D:D))</f>
        <v>#N/A</v>
      </c>
      <c r="T1533">
        <f>SUMIF(J:J,Table1[[#This Row],[Season]],F:F)</f>
        <v>58679</v>
      </c>
    </row>
    <row r="1534" spans="1:20" x14ac:dyDescent="0.3">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c r="S1534" t="str">
        <f>INDEX(Q:Q,MATCH(Table1[[#This Row],[Item Purchased]],D:D))</f>
        <v>Debit Card</v>
      </c>
      <c r="T1534">
        <f>SUMIF(J:J,Table1[[#This Row],[Season]],F:F)</f>
        <v>58607</v>
      </c>
    </row>
    <row r="1535" spans="1:20" x14ac:dyDescent="0.3">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c r="S1535" t="str">
        <f>INDEX(Q:Q,MATCH(Table1[[#This Row],[Item Purchased]],D:D))</f>
        <v>PayPal</v>
      </c>
      <c r="T1535">
        <f>SUMIF(J:J,Table1[[#This Row],[Season]],F:F)</f>
        <v>55777</v>
      </c>
    </row>
    <row r="1536" spans="1:20" x14ac:dyDescent="0.3">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c r="S1536" t="str">
        <f>INDEX(Q:Q,MATCH(Table1[[#This Row],[Item Purchased]],D:D))</f>
        <v>Venmo</v>
      </c>
      <c r="T1536">
        <f>SUMIF(J:J,Table1[[#This Row],[Season]],F:F)</f>
        <v>55777</v>
      </c>
    </row>
    <row r="1537" spans="1:20" x14ac:dyDescent="0.3">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c r="S1537" t="str">
        <f>INDEX(Q:Q,MATCH(Table1[[#This Row],[Item Purchased]],D:D))</f>
        <v>Bank Transfer</v>
      </c>
      <c r="T1537">
        <f>SUMIF(J:J,Table1[[#This Row],[Season]],F:F)</f>
        <v>60018</v>
      </c>
    </row>
    <row r="1538" spans="1:20" x14ac:dyDescent="0.3">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c r="S1538" t="str">
        <f>INDEX(Q:Q,MATCH(Table1[[#This Row],[Item Purchased]],D:D))</f>
        <v>Venmo</v>
      </c>
      <c r="T1538">
        <f>SUMIF(J:J,Table1[[#This Row],[Season]],F:F)</f>
        <v>55777</v>
      </c>
    </row>
    <row r="1539" spans="1:20" x14ac:dyDescent="0.3">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c r="S1539" t="str">
        <f>INDEX(Q:Q,MATCH(Table1[[#This Row],[Item Purchased]],D:D))</f>
        <v>PayPal</v>
      </c>
      <c r="T1539">
        <f>SUMIF(J:J,Table1[[#This Row],[Season]],F:F)</f>
        <v>58679</v>
      </c>
    </row>
    <row r="1540" spans="1:20" x14ac:dyDescent="0.3">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c r="S1540" t="str">
        <f>INDEX(Q:Q,MATCH(Table1[[#This Row],[Item Purchased]],D:D))</f>
        <v>Debit Card</v>
      </c>
      <c r="T1540">
        <f>SUMIF(J:J,Table1[[#This Row],[Season]],F:F)</f>
        <v>60018</v>
      </c>
    </row>
    <row r="1541" spans="1:20" x14ac:dyDescent="0.3">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c r="S1541" t="e">
        <f>INDEX(Q:Q,MATCH(Table1[[#This Row],[Item Purchased]],D:D))</f>
        <v>#N/A</v>
      </c>
      <c r="T1541">
        <f>SUMIF(J:J,Table1[[#This Row],[Season]],F:F)</f>
        <v>58679</v>
      </c>
    </row>
    <row r="1542" spans="1:20" x14ac:dyDescent="0.3">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c r="S1542" t="str">
        <f>INDEX(Q:Q,MATCH(Table1[[#This Row],[Item Purchased]],D:D))</f>
        <v>PayPal</v>
      </c>
      <c r="T1542">
        <f>SUMIF(J:J,Table1[[#This Row],[Season]],F:F)</f>
        <v>58607</v>
      </c>
    </row>
    <row r="1543" spans="1:20" x14ac:dyDescent="0.3">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c r="S1543" t="str">
        <f>INDEX(Q:Q,MATCH(Table1[[#This Row],[Item Purchased]],D:D))</f>
        <v>Cash</v>
      </c>
      <c r="T1543">
        <f>SUMIF(J:J,Table1[[#This Row],[Season]],F:F)</f>
        <v>58607</v>
      </c>
    </row>
    <row r="1544" spans="1:20" x14ac:dyDescent="0.3">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c r="S1544" t="str">
        <f>INDEX(Q:Q,MATCH(Table1[[#This Row],[Item Purchased]],D:D))</f>
        <v>Venmo</v>
      </c>
      <c r="T1544">
        <f>SUMIF(J:J,Table1[[#This Row],[Season]],F:F)</f>
        <v>58607</v>
      </c>
    </row>
    <row r="1545" spans="1:20" x14ac:dyDescent="0.3">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c r="S1545" t="str">
        <f>INDEX(Q:Q,MATCH(Table1[[#This Row],[Item Purchased]],D:D))</f>
        <v>Cash</v>
      </c>
      <c r="T1545">
        <f>SUMIF(J:J,Table1[[#This Row],[Season]],F:F)</f>
        <v>60018</v>
      </c>
    </row>
    <row r="1546" spans="1:20" x14ac:dyDescent="0.3">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c r="S1546" t="str">
        <f>INDEX(Q:Q,MATCH(Table1[[#This Row],[Item Purchased]],D:D))</f>
        <v>Cash</v>
      </c>
      <c r="T1546">
        <f>SUMIF(J:J,Table1[[#This Row],[Season]],F:F)</f>
        <v>58679</v>
      </c>
    </row>
    <row r="1547" spans="1:20" x14ac:dyDescent="0.3">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c r="S1547" t="e">
        <f>INDEX(Q:Q,MATCH(Table1[[#This Row],[Item Purchased]],D:D))</f>
        <v>#N/A</v>
      </c>
      <c r="T1547">
        <f>SUMIF(J:J,Table1[[#This Row],[Season]],F:F)</f>
        <v>58607</v>
      </c>
    </row>
    <row r="1548" spans="1:20" x14ac:dyDescent="0.3">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c r="S1548" t="str">
        <f>INDEX(Q:Q,MATCH(Table1[[#This Row],[Item Purchased]],D:D))</f>
        <v>Venmo</v>
      </c>
      <c r="T1548">
        <f>SUMIF(J:J,Table1[[#This Row],[Season]],F:F)</f>
        <v>55777</v>
      </c>
    </row>
    <row r="1549" spans="1:20" x14ac:dyDescent="0.3">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c r="S1549" t="str">
        <f>INDEX(Q:Q,MATCH(Table1[[#This Row],[Item Purchased]],D:D))</f>
        <v>Venmo</v>
      </c>
      <c r="T1549">
        <f>SUMIF(J:J,Table1[[#This Row],[Season]],F:F)</f>
        <v>55777</v>
      </c>
    </row>
    <row r="1550" spans="1:20" x14ac:dyDescent="0.3">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c r="S1550" t="str">
        <f>INDEX(Q:Q,MATCH(Table1[[#This Row],[Item Purchased]],D:D))</f>
        <v>Debit Card</v>
      </c>
      <c r="T1550">
        <f>SUMIF(J:J,Table1[[#This Row],[Season]],F:F)</f>
        <v>55777</v>
      </c>
    </row>
    <row r="1551" spans="1:20" x14ac:dyDescent="0.3">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c r="S1551" t="str">
        <f>INDEX(Q:Q,MATCH(Table1[[#This Row],[Item Purchased]],D:D))</f>
        <v>Venmo</v>
      </c>
      <c r="T1551">
        <f>SUMIF(J:J,Table1[[#This Row],[Season]],F:F)</f>
        <v>58679</v>
      </c>
    </row>
    <row r="1552" spans="1:20" x14ac:dyDescent="0.3">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c r="S1552" t="str">
        <f>INDEX(Q:Q,MATCH(Table1[[#This Row],[Item Purchased]],D:D))</f>
        <v>Venmo</v>
      </c>
      <c r="T1552">
        <f>SUMIF(J:J,Table1[[#This Row],[Season]],F:F)</f>
        <v>55777</v>
      </c>
    </row>
    <row r="1553" spans="1:20" x14ac:dyDescent="0.3">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c r="S1553" t="str">
        <f>INDEX(Q:Q,MATCH(Table1[[#This Row],[Item Purchased]],D:D))</f>
        <v>Cash</v>
      </c>
      <c r="T1553">
        <f>SUMIF(J:J,Table1[[#This Row],[Season]],F:F)</f>
        <v>55777</v>
      </c>
    </row>
    <row r="1554" spans="1:20" x14ac:dyDescent="0.3">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c r="S1554" t="str">
        <f>INDEX(Q:Q,MATCH(Table1[[#This Row],[Item Purchased]],D:D))</f>
        <v>Venmo</v>
      </c>
      <c r="T1554">
        <f>SUMIF(J:J,Table1[[#This Row],[Season]],F:F)</f>
        <v>58679</v>
      </c>
    </row>
    <row r="1555" spans="1:20" x14ac:dyDescent="0.3">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c r="S1555" t="str">
        <f>INDEX(Q:Q,MATCH(Table1[[#This Row],[Item Purchased]],D:D))</f>
        <v>Venmo</v>
      </c>
      <c r="T1555">
        <f>SUMIF(J:J,Table1[[#This Row],[Season]],F:F)</f>
        <v>58679</v>
      </c>
    </row>
    <row r="1556" spans="1:20" x14ac:dyDescent="0.3">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c r="S1556" t="str">
        <f>INDEX(Q:Q,MATCH(Table1[[#This Row],[Item Purchased]],D:D))</f>
        <v>PayPal</v>
      </c>
      <c r="T1556">
        <f>SUMIF(J:J,Table1[[#This Row],[Season]],F:F)</f>
        <v>58607</v>
      </c>
    </row>
    <row r="1557" spans="1:20" x14ac:dyDescent="0.3">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c r="S1557" t="str">
        <f>INDEX(Q:Q,MATCH(Table1[[#This Row],[Item Purchased]],D:D))</f>
        <v>PayPal</v>
      </c>
      <c r="T1557">
        <f>SUMIF(J:J,Table1[[#This Row],[Season]],F:F)</f>
        <v>58607</v>
      </c>
    </row>
    <row r="1558" spans="1:20" x14ac:dyDescent="0.3">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c r="S1558" t="str">
        <f>INDEX(Q:Q,MATCH(Table1[[#This Row],[Item Purchased]],D:D))</f>
        <v>Venmo</v>
      </c>
      <c r="T1558">
        <f>SUMIF(J:J,Table1[[#This Row],[Season]],F:F)</f>
        <v>60018</v>
      </c>
    </row>
    <row r="1559" spans="1:20" x14ac:dyDescent="0.3">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c r="S1559" t="e">
        <f>INDEX(Q:Q,MATCH(Table1[[#This Row],[Item Purchased]],D:D))</f>
        <v>#N/A</v>
      </c>
      <c r="T1559">
        <f>SUMIF(J:J,Table1[[#This Row],[Season]],F:F)</f>
        <v>60018</v>
      </c>
    </row>
    <row r="1560" spans="1:20" x14ac:dyDescent="0.3">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c r="S1560" t="str">
        <f>INDEX(Q:Q,MATCH(Table1[[#This Row],[Item Purchased]],D:D))</f>
        <v>Venmo</v>
      </c>
      <c r="T1560">
        <f>SUMIF(J:J,Table1[[#This Row],[Season]],F:F)</f>
        <v>60018</v>
      </c>
    </row>
    <row r="1561" spans="1:20" x14ac:dyDescent="0.3">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c r="S1561" t="str">
        <f>INDEX(Q:Q,MATCH(Table1[[#This Row],[Item Purchased]],D:D))</f>
        <v>Bank Transfer</v>
      </c>
      <c r="T1561">
        <f>SUMIF(J:J,Table1[[#This Row],[Season]],F:F)</f>
        <v>60018</v>
      </c>
    </row>
    <row r="1562" spans="1:20" x14ac:dyDescent="0.3">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c r="S1562" t="str">
        <f>INDEX(Q:Q,MATCH(Table1[[#This Row],[Item Purchased]],D:D))</f>
        <v>Venmo</v>
      </c>
      <c r="T1562">
        <f>SUMIF(J:J,Table1[[#This Row],[Season]],F:F)</f>
        <v>58607</v>
      </c>
    </row>
    <row r="1563" spans="1:20" x14ac:dyDescent="0.3">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c r="S1563" t="str">
        <f>INDEX(Q:Q,MATCH(Table1[[#This Row],[Item Purchased]],D:D))</f>
        <v>Bank Transfer</v>
      </c>
      <c r="T1563">
        <f>SUMIF(J:J,Table1[[#This Row],[Season]],F:F)</f>
        <v>55777</v>
      </c>
    </row>
    <row r="1564" spans="1:20" x14ac:dyDescent="0.3">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c r="S1564" t="str">
        <f>INDEX(Q:Q,MATCH(Table1[[#This Row],[Item Purchased]],D:D))</f>
        <v>Bank Transfer</v>
      </c>
      <c r="T1564">
        <f>SUMIF(J:J,Table1[[#This Row],[Season]],F:F)</f>
        <v>58607</v>
      </c>
    </row>
    <row r="1565" spans="1:20" x14ac:dyDescent="0.3">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c r="S1565" t="str">
        <f>INDEX(Q:Q,MATCH(Table1[[#This Row],[Item Purchased]],D:D))</f>
        <v>Cash</v>
      </c>
      <c r="T1565">
        <f>SUMIF(J:J,Table1[[#This Row],[Season]],F:F)</f>
        <v>60018</v>
      </c>
    </row>
    <row r="1566" spans="1:20" x14ac:dyDescent="0.3">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c r="S1566" t="e">
        <f>INDEX(Q:Q,MATCH(Table1[[#This Row],[Item Purchased]],D:D))</f>
        <v>#N/A</v>
      </c>
      <c r="T1566">
        <f>SUMIF(J:J,Table1[[#This Row],[Season]],F:F)</f>
        <v>55777</v>
      </c>
    </row>
    <row r="1567" spans="1:20" x14ac:dyDescent="0.3">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c r="S1567" t="str">
        <f>INDEX(Q:Q,MATCH(Table1[[#This Row],[Item Purchased]],D:D))</f>
        <v>Venmo</v>
      </c>
      <c r="T1567">
        <f>SUMIF(J:J,Table1[[#This Row],[Season]],F:F)</f>
        <v>60018</v>
      </c>
    </row>
    <row r="1568" spans="1:20" x14ac:dyDescent="0.3">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c r="S1568" t="str">
        <f>INDEX(Q:Q,MATCH(Table1[[#This Row],[Item Purchased]],D:D))</f>
        <v>Venmo</v>
      </c>
      <c r="T1568">
        <f>SUMIF(J:J,Table1[[#This Row],[Season]],F:F)</f>
        <v>58607</v>
      </c>
    </row>
    <row r="1569" spans="1:20" x14ac:dyDescent="0.3">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c r="S1569" t="e">
        <f>INDEX(Q:Q,MATCH(Table1[[#This Row],[Item Purchased]],D:D))</f>
        <v>#N/A</v>
      </c>
      <c r="T1569">
        <f>SUMIF(J:J,Table1[[#This Row],[Season]],F:F)</f>
        <v>58679</v>
      </c>
    </row>
    <row r="1570" spans="1:20" x14ac:dyDescent="0.3">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c r="S1570" t="str">
        <f>INDEX(Q:Q,MATCH(Table1[[#This Row],[Item Purchased]],D:D))</f>
        <v>Venmo</v>
      </c>
      <c r="T1570">
        <f>SUMIF(J:J,Table1[[#This Row],[Season]],F:F)</f>
        <v>58679</v>
      </c>
    </row>
    <row r="1571" spans="1:20" x14ac:dyDescent="0.3">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c r="S1571" t="str">
        <f>INDEX(Q:Q,MATCH(Table1[[#This Row],[Item Purchased]],D:D))</f>
        <v>Credit Card</v>
      </c>
      <c r="T1571">
        <f>SUMIF(J:J,Table1[[#This Row],[Season]],F:F)</f>
        <v>55777</v>
      </c>
    </row>
    <row r="1572" spans="1:20" x14ac:dyDescent="0.3">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c r="S1572" t="str">
        <f>INDEX(Q:Q,MATCH(Table1[[#This Row],[Item Purchased]],D:D))</f>
        <v>Cash</v>
      </c>
      <c r="T1572">
        <f>SUMIF(J:J,Table1[[#This Row],[Season]],F:F)</f>
        <v>58607</v>
      </c>
    </row>
    <row r="1573" spans="1:20" x14ac:dyDescent="0.3">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c r="S1573" t="str">
        <f>INDEX(Q:Q,MATCH(Table1[[#This Row],[Item Purchased]],D:D))</f>
        <v>Cash</v>
      </c>
      <c r="T1573">
        <f>SUMIF(J:J,Table1[[#This Row],[Season]],F:F)</f>
        <v>58607</v>
      </c>
    </row>
    <row r="1574" spans="1:20" x14ac:dyDescent="0.3">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c r="S1574" t="str">
        <f>INDEX(Q:Q,MATCH(Table1[[#This Row],[Item Purchased]],D:D))</f>
        <v>Credit Card</v>
      </c>
      <c r="T1574">
        <f>SUMIF(J:J,Table1[[#This Row],[Season]],F:F)</f>
        <v>55777</v>
      </c>
    </row>
    <row r="1575" spans="1:20" x14ac:dyDescent="0.3">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c r="S1575" t="str">
        <f>INDEX(Q:Q,MATCH(Table1[[#This Row],[Item Purchased]],D:D))</f>
        <v>Venmo</v>
      </c>
      <c r="T1575">
        <f>SUMIF(J:J,Table1[[#This Row],[Season]],F:F)</f>
        <v>55777</v>
      </c>
    </row>
    <row r="1576" spans="1:20" x14ac:dyDescent="0.3">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c r="S1576" t="str">
        <f>INDEX(Q:Q,MATCH(Table1[[#This Row],[Item Purchased]],D:D))</f>
        <v>Credit Card</v>
      </c>
      <c r="T1576">
        <f>SUMIF(J:J,Table1[[#This Row],[Season]],F:F)</f>
        <v>58679</v>
      </c>
    </row>
    <row r="1577" spans="1:20" x14ac:dyDescent="0.3">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c r="S1577" t="str">
        <f>INDEX(Q:Q,MATCH(Table1[[#This Row],[Item Purchased]],D:D))</f>
        <v>Bank Transfer</v>
      </c>
      <c r="T1577">
        <f>SUMIF(J:J,Table1[[#This Row],[Season]],F:F)</f>
        <v>58679</v>
      </c>
    </row>
    <row r="1578" spans="1:20" x14ac:dyDescent="0.3">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c r="S1578" t="str">
        <f>INDEX(Q:Q,MATCH(Table1[[#This Row],[Item Purchased]],D:D))</f>
        <v>Debit Card</v>
      </c>
      <c r="T1578">
        <f>SUMIF(J:J,Table1[[#This Row],[Season]],F:F)</f>
        <v>58679</v>
      </c>
    </row>
    <row r="1579" spans="1:20" x14ac:dyDescent="0.3">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c r="S1579" t="str">
        <f>INDEX(Q:Q,MATCH(Table1[[#This Row],[Item Purchased]],D:D))</f>
        <v>Venmo</v>
      </c>
      <c r="T1579">
        <f>SUMIF(J:J,Table1[[#This Row],[Season]],F:F)</f>
        <v>58679</v>
      </c>
    </row>
    <row r="1580" spans="1:20" x14ac:dyDescent="0.3">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c r="S1580" t="str">
        <f>INDEX(Q:Q,MATCH(Table1[[#This Row],[Item Purchased]],D:D))</f>
        <v>Cash</v>
      </c>
      <c r="T1580">
        <f>SUMIF(J:J,Table1[[#This Row],[Season]],F:F)</f>
        <v>58607</v>
      </c>
    </row>
    <row r="1581" spans="1:20" x14ac:dyDescent="0.3">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c r="S1581" t="str">
        <f>INDEX(Q:Q,MATCH(Table1[[#This Row],[Item Purchased]],D:D))</f>
        <v>Debit Card</v>
      </c>
      <c r="T1581">
        <f>SUMIF(J:J,Table1[[#This Row],[Season]],F:F)</f>
        <v>55777</v>
      </c>
    </row>
    <row r="1582" spans="1:20" x14ac:dyDescent="0.3">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c r="S1582" t="str">
        <f>INDEX(Q:Q,MATCH(Table1[[#This Row],[Item Purchased]],D:D))</f>
        <v>Venmo</v>
      </c>
      <c r="T1582">
        <f>SUMIF(J:J,Table1[[#This Row],[Season]],F:F)</f>
        <v>55777</v>
      </c>
    </row>
    <row r="1583" spans="1:20" x14ac:dyDescent="0.3">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c r="S1583" t="str">
        <f>INDEX(Q:Q,MATCH(Table1[[#This Row],[Item Purchased]],D:D))</f>
        <v>Cash</v>
      </c>
      <c r="T1583">
        <f>SUMIF(J:J,Table1[[#This Row],[Season]],F:F)</f>
        <v>60018</v>
      </c>
    </row>
    <row r="1584" spans="1:20" x14ac:dyDescent="0.3">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c r="S1584" t="e">
        <f>INDEX(Q:Q,MATCH(Table1[[#This Row],[Item Purchased]],D:D))</f>
        <v>#N/A</v>
      </c>
      <c r="T1584">
        <f>SUMIF(J:J,Table1[[#This Row],[Season]],F:F)</f>
        <v>58679</v>
      </c>
    </row>
    <row r="1585" spans="1:20" x14ac:dyDescent="0.3">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c r="S1585" t="str">
        <f>INDEX(Q:Q,MATCH(Table1[[#This Row],[Item Purchased]],D:D))</f>
        <v>Bank Transfer</v>
      </c>
      <c r="T1585">
        <f>SUMIF(J:J,Table1[[#This Row],[Season]],F:F)</f>
        <v>55777</v>
      </c>
    </row>
    <row r="1586" spans="1:20" x14ac:dyDescent="0.3">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c r="S1586" t="str">
        <f>INDEX(Q:Q,MATCH(Table1[[#This Row],[Item Purchased]],D:D))</f>
        <v>Venmo</v>
      </c>
      <c r="T1586">
        <f>SUMIF(J:J,Table1[[#This Row],[Season]],F:F)</f>
        <v>58679</v>
      </c>
    </row>
    <row r="1587" spans="1:20" x14ac:dyDescent="0.3">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c r="S1587" t="str">
        <f>INDEX(Q:Q,MATCH(Table1[[#This Row],[Item Purchased]],D:D))</f>
        <v>Venmo</v>
      </c>
      <c r="T1587">
        <f>SUMIF(J:J,Table1[[#This Row],[Season]],F:F)</f>
        <v>60018</v>
      </c>
    </row>
    <row r="1588" spans="1:20" x14ac:dyDescent="0.3">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c r="S1588" t="str">
        <f>INDEX(Q:Q,MATCH(Table1[[#This Row],[Item Purchased]],D:D))</f>
        <v>Venmo</v>
      </c>
      <c r="T1588">
        <f>SUMIF(J:J,Table1[[#This Row],[Season]],F:F)</f>
        <v>60018</v>
      </c>
    </row>
    <row r="1589" spans="1:20" x14ac:dyDescent="0.3">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c r="S1589" t="str">
        <f>INDEX(Q:Q,MATCH(Table1[[#This Row],[Item Purchased]],D:D))</f>
        <v>Venmo</v>
      </c>
      <c r="T1589">
        <f>SUMIF(J:J,Table1[[#This Row],[Season]],F:F)</f>
        <v>55777</v>
      </c>
    </row>
    <row r="1590" spans="1:20" x14ac:dyDescent="0.3">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c r="S1590" t="e">
        <f>INDEX(Q:Q,MATCH(Table1[[#This Row],[Item Purchased]],D:D))</f>
        <v>#N/A</v>
      </c>
      <c r="T1590">
        <f>SUMIF(J:J,Table1[[#This Row],[Season]],F:F)</f>
        <v>58607</v>
      </c>
    </row>
    <row r="1591" spans="1:20" x14ac:dyDescent="0.3">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c r="S1591" t="str">
        <f>INDEX(Q:Q,MATCH(Table1[[#This Row],[Item Purchased]],D:D))</f>
        <v>Venmo</v>
      </c>
      <c r="T1591">
        <f>SUMIF(J:J,Table1[[#This Row],[Season]],F:F)</f>
        <v>55777</v>
      </c>
    </row>
    <row r="1592" spans="1:20" x14ac:dyDescent="0.3">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c r="S1592" t="str">
        <f>INDEX(Q:Q,MATCH(Table1[[#This Row],[Item Purchased]],D:D))</f>
        <v>Cash</v>
      </c>
      <c r="T1592">
        <f>SUMIF(J:J,Table1[[#This Row],[Season]],F:F)</f>
        <v>58607</v>
      </c>
    </row>
    <row r="1593" spans="1:20" x14ac:dyDescent="0.3">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c r="S1593" t="str">
        <f>INDEX(Q:Q,MATCH(Table1[[#This Row],[Item Purchased]],D:D))</f>
        <v>Credit Card</v>
      </c>
      <c r="T1593">
        <f>SUMIF(J:J,Table1[[#This Row],[Season]],F:F)</f>
        <v>58607</v>
      </c>
    </row>
    <row r="1594" spans="1:20" x14ac:dyDescent="0.3">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c r="S1594" t="str">
        <f>INDEX(Q:Q,MATCH(Table1[[#This Row],[Item Purchased]],D:D))</f>
        <v>PayPal</v>
      </c>
      <c r="T1594">
        <f>SUMIF(J:J,Table1[[#This Row],[Season]],F:F)</f>
        <v>55777</v>
      </c>
    </row>
    <row r="1595" spans="1:20" x14ac:dyDescent="0.3">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c r="S1595" t="str">
        <f>INDEX(Q:Q,MATCH(Table1[[#This Row],[Item Purchased]],D:D))</f>
        <v>Debit Card</v>
      </c>
      <c r="T1595">
        <f>SUMIF(J:J,Table1[[#This Row],[Season]],F:F)</f>
        <v>58679</v>
      </c>
    </row>
    <row r="1596" spans="1:20" x14ac:dyDescent="0.3">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c r="S1596" t="str">
        <f>INDEX(Q:Q,MATCH(Table1[[#This Row],[Item Purchased]],D:D))</f>
        <v>Cash</v>
      </c>
      <c r="T1596">
        <f>SUMIF(J:J,Table1[[#This Row],[Season]],F:F)</f>
        <v>55777</v>
      </c>
    </row>
    <row r="1597" spans="1:20" x14ac:dyDescent="0.3">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c r="S1597" t="e">
        <f>INDEX(Q:Q,MATCH(Table1[[#This Row],[Item Purchased]],D:D))</f>
        <v>#N/A</v>
      </c>
      <c r="T1597">
        <f>SUMIF(J:J,Table1[[#This Row],[Season]],F:F)</f>
        <v>58679</v>
      </c>
    </row>
    <row r="1598" spans="1:20" x14ac:dyDescent="0.3">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c r="S1598" t="str">
        <f>INDEX(Q:Q,MATCH(Table1[[#This Row],[Item Purchased]],D:D))</f>
        <v>Cash</v>
      </c>
      <c r="T1598">
        <f>SUMIF(J:J,Table1[[#This Row],[Season]],F:F)</f>
        <v>60018</v>
      </c>
    </row>
    <row r="1599" spans="1:20" x14ac:dyDescent="0.3">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c r="S1599" t="str">
        <f>INDEX(Q:Q,MATCH(Table1[[#This Row],[Item Purchased]],D:D))</f>
        <v>Venmo</v>
      </c>
      <c r="T1599">
        <f>SUMIF(J:J,Table1[[#This Row],[Season]],F:F)</f>
        <v>58607</v>
      </c>
    </row>
    <row r="1600" spans="1:20" x14ac:dyDescent="0.3">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c r="S1600" t="str">
        <f>INDEX(Q:Q,MATCH(Table1[[#This Row],[Item Purchased]],D:D))</f>
        <v>Cash</v>
      </c>
      <c r="T1600">
        <f>SUMIF(J:J,Table1[[#This Row],[Season]],F:F)</f>
        <v>60018</v>
      </c>
    </row>
    <row r="1601" spans="1:20" x14ac:dyDescent="0.3">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c r="S1601" t="str">
        <f>INDEX(Q:Q,MATCH(Table1[[#This Row],[Item Purchased]],D:D))</f>
        <v>Bank Transfer</v>
      </c>
      <c r="T1601">
        <f>SUMIF(J:J,Table1[[#This Row],[Season]],F:F)</f>
        <v>58607</v>
      </c>
    </row>
    <row r="1602" spans="1:20" x14ac:dyDescent="0.3">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c r="S1602" t="str">
        <f>INDEX(Q:Q,MATCH(Table1[[#This Row],[Item Purchased]],D:D))</f>
        <v>Venmo</v>
      </c>
      <c r="T1602">
        <f>SUMIF(J:J,Table1[[#This Row],[Season]],F:F)</f>
        <v>58679</v>
      </c>
    </row>
    <row r="1603" spans="1:20" x14ac:dyDescent="0.3">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c r="S1603" t="str">
        <f>INDEX(Q:Q,MATCH(Table1[[#This Row],[Item Purchased]],D:D))</f>
        <v>Bank Transfer</v>
      </c>
      <c r="T1603">
        <f>SUMIF(J:J,Table1[[#This Row],[Season]],F:F)</f>
        <v>58679</v>
      </c>
    </row>
    <row r="1604" spans="1:20" x14ac:dyDescent="0.3">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c r="S1604" t="str">
        <f>INDEX(Q:Q,MATCH(Table1[[#This Row],[Item Purchased]],D:D))</f>
        <v>Venmo</v>
      </c>
      <c r="T1604">
        <f>SUMIF(J:J,Table1[[#This Row],[Season]],F:F)</f>
        <v>58607</v>
      </c>
    </row>
    <row r="1605" spans="1:20" x14ac:dyDescent="0.3">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c r="S1605" t="str">
        <f>INDEX(Q:Q,MATCH(Table1[[#This Row],[Item Purchased]],D:D))</f>
        <v>PayPal</v>
      </c>
      <c r="T1605">
        <f>SUMIF(J:J,Table1[[#This Row],[Season]],F:F)</f>
        <v>55777</v>
      </c>
    </row>
    <row r="1606" spans="1:20" x14ac:dyDescent="0.3">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c r="S1606" t="str">
        <f>INDEX(Q:Q,MATCH(Table1[[#This Row],[Item Purchased]],D:D))</f>
        <v>Venmo</v>
      </c>
      <c r="T1606">
        <f>SUMIF(J:J,Table1[[#This Row],[Season]],F:F)</f>
        <v>55777</v>
      </c>
    </row>
    <row r="1607" spans="1:20" x14ac:dyDescent="0.3">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c r="S1607" t="e">
        <f>INDEX(Q:Q,MATCH(Table1[[#This Row],[Item Purchased]],D:D))</f>
        <v>#N/A</v>
      </c>
      <c r="T1607">
        <f>SUMIF(J:J,Table1[[#This Row],[Season]],F:F)</f>
        <v>58607</v>
      </c>
    </row>
    <row r="1608" spans="1:20" x14ac:dyDescent="0.3">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c r="S1608" t="str">
        <f>INDEX(Q:Q,MATCH(Table1[[#This Row],[Item Purchased]],D:D))</f>
        <v>Venmo</v>
      </c>
      <c r="T1608">
        <f>SUMIF(J:J,Table1[[#This Row],[Season]],F:F)</f>
        <v>58679</v>
      </c>
    </row>
    <row r="1609" spans="1:20" x14ac:dyDescent="0.3">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c r="S1609" t="str">
        <f>INDEX(Q:Q,MATCH(Table1[[#This Row],[Item Purchased]],D:D))</f>
        <v>PayPal</v>
      </c>
      <c r="T1609">
        <f>SUMIF(J:J,Table1[[#This Row],[Season]],F:F)</f>
        <v>60018</v>
      </c>
    </row>
    <row r="1610" spans="1:20" x14ac:dyDescent="0.3">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c r="S1610" t="str">
        <f>INDEX(Q:Q,MATCH(Table1[[#This Row],[Item Purchased]],D:D))</f>
        <v>Bank Transfer</v>
      </c>
      <c r="T1610">
        <f>SUMIF(J:J,Table1[[#This Row],[Season]],F:F)</f>
        <v>60018</v>
      </c>
    </row>
    <row r="1611" spans="1:20" x14ac:dyDescent="0.3">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c r="S1611" t="str">
        <f>INDEX(Q:Q,MATCH(Table1[[#This Row],[Item Purchased]],D:D))</f>
        <v>Bank Transfer</v>
      </c>
      <c r="T1611">
        <f>SUMIF(J:J,Table1[[#This Row],[Season]],F:F)</f>
        <v>60018</v>
      </c>
    </row>
    <row r="1612" spans="1:20" x14ac:dyDescent="0.3">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c r="S1612" t="str">
        <f>INDEX(Q:Q,MATCH(Table1[[#This Row],[Item Purchased]],D:D))</f>
        <v>Venmo</v>
      </c>
      <c r="T1612">
        <f>SUMIF(J:J,Table1[[#This Row],[Season]],F:F)</f>
        <v>58679</v>
      </c>
    </row>
    <row r="1613" spans="1:20" x14ac:dyDescent="0.3">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c r="S1613" t="str">
        <f>INDEX(Q:Q,MATCH(Table1[[#This Row],[Item Purchased]],D:D))</f>
        <v>Cash</v>
      </c>
      <c r="T1613">
        <f>SUMIF(J:J,Table1[[#This Row],[Season]],F:F)</f>
        <v>58607</v>
      </c>
    </row>
    <row r="1614" spans="1:20" x14ac:dyDescent="0.3">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c r="S1614" t="str">
        <f>INDEX(Q:Q,MATCH(Table1[[#This Row],[Item Purchased]],D:D))</f>
        <v>Credit Card</v>
      </c>
      <c r="T1614">
        <f>SUMIF(J:J,Table1[[#This Row],[Season]],F:F)</f>
        <v>55777</v>
      </c>
    </row>
    <row r="1615" spans="1:20" x14ac:dyDescent="0.3">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c r="S1615" t="str">
        <f>INDEX(Q:Q,MATCH(Table1[[#This Row],[Item Purchased]],D:D))</f>
        <v>Cash</v>
      </c>
      <c r="T1615">
        <f>SUMIF(J:J,Table1[[#This Row],[Season]],F:F)</f>
        <v>55777</v>
      </c>
    </row>
    <row r="1616" spans="1:20" x14ac:dyDescent="0.3">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c r="S1616" t="str">
        <f>INDEX(Q:Q,MATCH(Table1[[#This Row],[Item Purchased]],D:D))</f>
        <v>Venmo</v>
      </c>
      <c r="T1616">
        <f>SUMIF(J:J,Table1[[#This Row],[Season]],F:F)</f>
        <v>55777</v>
      </c>
    </row>
    <row r="1617" spans="1:20" x14ac:dyDescent="0.3">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c r="S1617" t="str">
        <f>INDEX(Q:Q,MATCH(Table1[[#This Row],[Item Purchased]],D:D))</f>
        <v>Cash</v>
      </c>
      <c r="T1617">
        <f>SUMIF(J:J,Table1[[#This Row],[Season]],F:F)</f>
        <v>60018</v>
      </c>
    </row>
    <row r="1618" spans="1:20" x14ac:dyDescent="0.3">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c r="S1618" t="str">
        <f>INDEX(Q:Q,MATCH(Table1[[#This Row],[Item Purchased]],D:D))</f>
        <v>Venmo</v>
      </c>
      <c r="T1618">
        <f>SUMIF(J:J,Table1[[#This Row],[Season]],F:F)</f>
        <v>58679</v>
      </c>
    </row>
    <row r="1619" spans="1:20" x14ac:dyDescent="0.3">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c r="S1619" t="str">
        <f>INDEX(Q:Q,MATCH(Table1[[#This Row],[Item Purchased]],D:D))</f>
        <v>Venmo</v>
      </c>
      <c r="T1619">
        <f>SUMIF(J:J,Table1[[#This Row],[Season]],F:F)</f>
        <v>58607</v>
      </c>
    </row>
    <row r="1620" spans="1:20" x14ac:dyDescent="0.3">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c r="S1620" t="str">
        <f>INDEX(Q:Q,MATCH(Table1[[#This Row],[Item Purchased]],D:D))</f>
        <v>Bank Transfer</v>
      </c>
      <c r="T1620">
        <f>SUMIF(J:J,Table1[[#This Row],[Season]],F:F)</f>
        <v>55777</v>
      </c>
    </row>
    <row r="1621" spans="1:20" x14ac:dyDescent="0.3">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c r="S1621" t="str">
        <f>INDEX(Q:Q,MATCH(Table1[[#This Row],[Item Purchased]],D:D))</f>
        <v>Cash</v>
      </c>
      <c r="T1621">
        <f>SUMIF(J:J,Table1[[#This Row],[Season]],F:F)</f>
        <v>58607</v>
      </c>
    </row>
    <row r="1622" spans="1:20" x14ac:dyDescent="0.3">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c r="S1622" t="str">
        <f>INDEX(Q:Q,MATCH(Table1[[#This Row],[Item Purchased]],D:D))</f>
        <v>Venmo</v>
      </c>
      <c r="T1622">
        <f>SUMIF(J:J,Table1[[#This Row],[Season]],F:F)</f>
        <v>58607</v>
      </c>
    </row>
    <row r="1623" spans="1:20" x14ac:dyDescent="0.3">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c r="S1623" t="str">
        <f>INDEX(Q:Q,MATCH(Table1[[#This Row],[Item Purchased]],D:D))</f>
        <v>Bank Transfer</v>
      </c>
      <c r="T1623">
        <f>SUMIF(J:J,Table1[[#This Row],[Season]],F:F)</f>
        <v>55777</v>
      </c>
    </row>
    <row r="1624" spans="1:20" x14ac:dyDescent="0.3">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c r="S1624" t="str">
        <f>INDEX(Q:Q,MATCH(Table1[[#This Row],[Item Purchased]],D:D))</f>
        <v>PayPal</v>
      </c>
      <c r="T1624">
        <f>SUMIF(J:J,Table1[[#This Row],[Season]],F:F)</f>
        <v>58607</v>
      </c>
    </row>
    <row r="1625" spans="1:20" x14ac:dyDescent="0.3">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c r="S1625" t="e">
        <f>INDEX(Q:Q,MATCH(Table1[[#This Row],[Item Purchased]],D:D))</f>
        <v>#N/A</v>
      </c>
      <c r="T1625">
        <f>SUMIF(J:J,Table1[[#This Row],[Season]],F:F)</f>
        <v>55777</v>
      </c>
    </row>
    <row r="1626" spans="1:20" x14ac:dyDescent="0.3">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c r="S1626" t="str">
        <f>INDEX(Q:Q,MATCH(Table1[[#This Row],[Item Purchased]],D:D))</f>
        <v>Venmo</v>
      </c>
      <c r="T1626">
        <f>SUMIF(J:J,Table1[[#This Row],[Season]],F:F)</f>
        <v>58607</v>
      </c>
    </row>
    <row r="1627" spans="1:20" x14ac:dyDescent="0.3">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c r="S1627" t="str">
        <f>INDEX(Q:Q,MATCH(Table1[[#This Row],[Item Purchased]],D:D))</f>
        <v>Credit Card</v>
      </c>
      <c r="T1627">
        <f>SUMIF(J:J,Table1[[#This Row],[Season]],F:F)</f>
        <v>58607</v>
      </c>
    </row>
    <row r="1628" spans="1:20" x14ac:dyDescent="0.3">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c r="S1628" t="str">
        <f>INDEX(Q:Q,MATCH(Table1[[#This Row],[Item Purchased]],D:D))</f>
        <v>Venmo</v>
      </c>
      <c r="T1628">
        <f>SUMIF(J:J,Table1[[#This Row],[Season]],F:F)</f>
        <v>55777</v>
      </c>
    </row>
    <row r="1629" spans="1:20" x14ac:dyDescent="0.3">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c r="S1629" t="str">
        <f>INDEX(Q:Q,MATCH(Table1[[#This Row],[Item Purchased]],D:D))</f>
        <v>Venmo</v>
      </c>
      <c r="T1629">
        <f>SUMIF(J:J,Table1[[#This Row],[Season]],F:F)</f>
        <v>58607</v>
      </c>
    </row>
    <row r="1630" spans="1:20" x14ac:dyDescent="0.3">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c r="S1630" t="str">
        <f>INDEX(Q:Q,MATCH(Table1[[#This Row],[Item Purchased]],D:D))</f>
        <v>Debit Card</v>
      </c>
      <c r="T1630">
        <f>SUMIF(J:J,Table1[[#This Row],[Season]],F:F)</f>
        <v>58607</v>
      </c>
    </row>
    <row r="1631" spans="1:20" x14ac:dyDescent="0.3">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c r="S1631" t="str">
        <f>INDEX(Q:Q,MATCH(Table1[[#This Row],[Item Purchased]],D:D))</f>
        <v>Venmo</v>
      </c>
      <c r="T1631">
        <f>SUMIF(J:J,Table1[[#This Row],[Season]],F:F)</f>
        <v>58679</v>
      </c>
    </row>
    <row r="1632" spans="1:20" x14ac:dyDescent="0.3">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c r="S1632" t="str">
        <f>INDEX(Q:Q,MATCH(Table1[[#This Row],[Item Purchased]],D:D))</f>
        <v>PayPal</v>
      </c>
      <c r="T1632">
        <f>SUMIF(J:J,Table1[[#This Row],[Season]],F:F)</f>
        <v>55777</v>
      </c>
    </row>
    <row r="1633" spans="1:20" x14ac:dyDescent="0.3">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c r="S1633" t="str">
        <f>INDEX(Q:Q,MATCH(Table1[[#This Row],[Item Purchased]],D:D))</f>
        <v>Venmo</v>
      </c>
      <c r="T1633">
        <f>SUMIF(J:J,Table1[[#This Row],[Season]],F:F)</f>
        <v>55777</v>
      </c>
    </row>
    <row r="1634" spans="1:20" x14ac:dyDescent="0.3">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c r="S1634" t="str">
        <f>INDEX(Q:Q,MATCH(Table1[[#This Row],[Item Purchased]],D:D))</f>
        <v>Debit Card</v>
      </c>
      <c r="T1634">
        <f>SUMIF(J:J,Table1[[#This Row],[Season]],F:F)</f>
        <v>55777</v>
      </c>
    </row>
    <row r="1635" spans="1:20" x14ac:dyDescent="0.3">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c r="S1635" t="str">
        <f>INDEX(Q:Q,MATCH(Table1[[#This Row],[Item Purchased]],D:D))</f>
        <v>Venmo</v>
      </c>
      <c r="T1635">
        <f>SUMIF(J:J,Table1[[#This Row],[Season]],F:F)</f>
        <v>58679</v>
      </c>
    </row>
    <row r="1636" spans="1:20" x14ac:dyDescent="0.3">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c r="S1636" t="str">
        <f>INDEX(Q:Q,MATCH(Table1[[#This Row],[Item Purchased]],D:D))</f>
        <v>Debit Card</v>
      </c>
      <c r="T1636">
        <f>SUMIF(J:J,Table1[[#This Row],[Season]],F:F)</f>
        <v>55777</v>
      </c>
    </row>
    <row r="1637" spans="1:20" x14ac:dyDescent="0.3">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c r="S1637" t="str">
        <f>INDEX(Q:Q,MATCH(Table1[[#This Row],[Item Purchased]],D:D))</f>
        <v>Venmo</v>
      </c>
      <c r="T1637">
        <f>SUMIF(J:J,Table1[[#This Row],[Season]],F:F)</f>
        <v>55777</v>
      </c>
    </row>
    <row r="1638" spans="1:20" x14ac:dyDescent="0.3">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c r="S1638" t="str">
        <f>INDEX(Q:Q,MATCH(Table1[[#This Row],[Item Purchased]],D:D))</f>
        <v>Venmo</v>
      </c>
      <c r="T1638">
        <f>SUMIF(J:J,Table1[[#This Row],[Season]],F:F)</f>
        <v>60018</v>
      </c>
    </row>
    <row r="1639" spans="1:20" x14ac:dyDescent="0.3">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c r="S1639" t="str">
        <f>INDEX(Q:Q,MATCH(Table1[[#This Row],[Item Purchased]],D:D))</f>
        <v>Debit Card</v>
      </c>
      <c r="T1639">
        <f>SUMIF(J:J,Table1[[#This Row],[Season]],F:F)</f>
        <v>58679</v>
      </c>
    </row>
    <row r="1640" spans="1:20" x14ac:dyDescent="0.3">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c r="S1640" t="str">
        <f>INDEX(Q:Q,MATCH(Table1[[#This Row],[Item Purchased]],D:D))</f>
        <v>Debit Card</v>
      </c>
      <c r="T1640">
        <f>SUMIF(J:J,Table1[[#This Row],[Season]],F:F)</f>
        <v>58679</v>
      </c>
    </row>
    <row r="1641" spans="1:20" x14ac:dyDescent="0.3">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c r="S1641" t="str">
        <f>INDEX(Q:Q,MATCH(Table1[[#This Row],[Item Purchased]],D:D))</f>
        <v>Debit Card</v>
      </c>
      <c r="T1641">
        <f>SUMIF(J:J,Table1[[#This Row],[Season]],F:F)</f>
        <v>55777</v>
      </c>
    </row>
    <row r="1642" spans="1:20" x14ac:dyDescent="0.3">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c r="S1642" t="str">
        <f>INDEX(Q:Q,MATCH(Table1[[#This Row],[Item Purchased]],D:D))</f>
        <v>Bank Transfer</v>
      </c>
      <c r="T1642">
        <f>SUMIF(J:J,Table1[[#This Row],[Season]],F:F)</f>
        <v>58679</v>
      </c>
    </row>
    <row r="1643" spans="1:20" x14ac:dyDescent="0.3">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c r="S1643" t="str">
        <f>INDEX(Q:Q,MATCH(Table1[[#This Row],[Item Purchased]],D:D))</f>
        <v>Venmo</v>
      </c>
      <c r="T1643">
        <f>SUMIF(J:J,Table1[[#This Row],[Season]],F:F)</f>
        <v>55777</v>
      </c>
    </row>
    <row r="1644" spans="1:20" x14ac:dyDescent="0.3">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c r="S1644" t="str">
        <f>INDEX(Q:Q,MATCH(Table1[[#This Row],[Item Purchased]],D:D))</f>
        <v>Debit Card</v>
      </c>
      <c r="T1644">
        <f>SUMIF(J:J,Table1[[#This Row],[Season]],F:F)</f>
        <v>58679</v>
      </c>
    </row>
    <row r="1645" spans="1:20" x14ac:dyDescent="0.3">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c r="S1645" t="str">
        <f>INDEX(Q:Q,MATCH(Table1[[#This Row],[Item Purchased]],D:D))</f>
        <v>Bank Transfer</v>
      </c>
      <c r="T1645">
        <f>SUMIF(J:J,Table1[[#This Row],[Season]],F:F)</f>
        <v>55777</v>
      </c>
    </row>
    <row r="1646" spans="1:20" x14ac:dyDescent="0.3">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c r="S1646" t="str">
        <f>INDEX(Q:Q,MATCH(Table1[[#This Row],[Item Purchased]],D:D))</f>
        <v>Debit Card</v>
      </c>
      <c r="T1646">
        <f>SUMIF(J:J,Table1[[#This Row],[Season]],F:F)</f>
        <v>55777</v>
      </c>
    </row>
    <row r="1647" spans="1:20" x14ac:dyDescent="0.3">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c r="S1647" t="str">
        <f>INDEX(Q:Q,MATCH(Table1[[#This Row],[Item Purchased]],D:D))</f>
        <v>Bank Transfer</v>
      </c>
      <c r="T1647">
        <f>SUMIF(J:J,Table1[[#This Row],[Season]],F:F)</f>
        <v>55777</v>
      </c>
    </row>
    <row r="1648" spans="1:20" x14ac:dyDescent="0.3">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c r="S1648" t="str">
        <f>INDEX(Q:Q,MATCH(Table1[[#This Row],[Item Purchased]],D:D))</f>
        <v>Cash</v>
      </c>
      <c r="T1648">
        <f>SUMIF(J:J,Table1[[#This Row],[Season]],F:F)</f>
        <v>55777</v>
      </c>
    </row>
    <row r="1649" spans="1:20" x14ac:dyDescent="0.3">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c r="S1649" t="str">
        <f>INDEX(Q:Q,MATCH(Table1[[#This Row],[Item Purchased]],D:D))</f>
        <v>Venmo</v>
      </c>
      <c r="T1649">
        <f>SUMIF(J:J,Table1[[#This Row],[Season]],F:F)</f>
        <v>55777</v>
      </c>
    </row>
    <row r="1650" spans="1:20" x14ac:dyDescent="0.3">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c r="S1650" t="str">
        <f>INDEX(Q:Q,MATCH(Table1[[#This Row],[Item Purchased]],D:D))</f>
        <v>Cash</v>
      </c>
      <c r="T1650">
        <f>SUMIF(J:J,Table1[[#This Row],[Season]],F:F)</f>
        <v>55777</v>
      </c>
    </row>
    <row r="1651" spans="1:20" x14ac:dyDescent="0.3">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c r="S1651" t="str">
        <f>INDEX(Q:Q,MATCH(Table1[[#This Row],[Item Purchased]],D:D))</f>
        <v>Venmo</v>
      </c>
      <c r="T1651">
        <f>SUMIF(J:J,Table1[[#This Row],[Season]],F:F)</f>
        <v>55777</v>
      </c>
    </row>
    <row r="1652" spans="1:20" x14ac:dyDescent="0.3">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c r="S1652" t="str">
        <f>INDEX(Q:Q,MATCH(Table1[[#This Row],[Item Purchased]],D:D))</f>
        <v>Bank Transfer</v>
      </c>
      <c r="T1652">
        <f>SUMIF(J:J,Table1[[#This Row],[Season]],F:F)</f>
        <v>58607</v>
      </c>
    </row>
    <row r="1653" spans="1:20" x14ac:dyDescent="0.3">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c r="S1653" t="str">
        <f>INDEX(Q:Q,MATCH(Table1[[#This Row],[Item Purchased]],D:D))</f>
        <v>Debit Card</v>
      </c>
      <c r="T1653">
        <f>SUMIF(J:J,Table1[[#This Row],[Season]],F:F)</f>
        <v>58607</v>
      </c>
    </row>
    <row r="1654" spans="1:20" x14ac:dyDescent="0.3">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c r="S1654" t="str">
        <f>INDEX(Q:Q,MATCH(Table1[[#This Row],[Item Purchased]],D:D))</f>
        <v>Venmo</v>
      </c>
      <c r="T1654">
        <f>SUMIF(J:J,Table1[[#This Row],[Season]],F:F)</f>
        <v>55777</v>
      </c>
    </row>
    <row r="1655" spans="1:20" x14ac:dyDescent="0.3">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c r="S1655" t="e">
        <f>INDEX(Q:Q,MATCH(Table1[[#This Row],[Item Purchased]],D:D))</f>
        <v>#N/A</v>
      </c>
      <c r="T1655">
        <f>SUMIF(J:J,Table1[[#This Row],[Season]],F:F)</f>
        <v>58607</v>
      </c>
    </row>
    <row r="1656" spans="1:20" x14ac:dyDescent="0.3">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c r="S1656" t="e">
        <f>INDEX(Q:Q,MATCH(Table1[[#This Row],[Item Purchased]],D:D))</f>
        <v>#N/A</v>
      </c>
      <c r="T1656">
        <f>SUMIF(J:J,Table1[[#This Row],[Season]],F:F)</f>
        <v>58679</v>
      </c>
    </row>
    <row r="1657" spans="1:20" x14ac:dyDescent="0.3">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c r="S1657" t="str">
        <f>INDEX(Q:Q,MATCH(Table1[[#This Row],[Item Purchased]],D:D))</f>
        <v>Venmo</v>
      </c>
      <c r="T1657">
        <f>SUMIF(J:J,Table1[[#This Row],[Season]],F:F)</f>
        <v>58679</v>
      </c>
    </row>
    <row r="1658" spans="1:20" x14ac:dyDescent="0.3">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c r="S1658" t="str">
        <f>INDEX(Q:Q,MATCH(Table1[[#This Row],[Item Purchased]],D:D))</f>
        <v>Venmo</v>
      </c>
      <c r="T1658">
        <f>SUMIF(J:J,Table1[[#This Row],[Season]],F:F)</f>
        <v>58679</v>
      </c>
    </row>
    <row r="1659" spans="1:20" x14ac:dyDescent="0.3">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c r="S1659" t="str">
        <f>INDEX(Q:Q,MATCH(Table1[[#This Row],[Item Purchased]],D:D))</f>
        <v>Credit Card</v>
      </c>
      <c r="T1659">
        <f>SUMIF(J:J,Table1[[#This Row],[Season]],F:F)</f>
        <v>58679</v>
      </c>
    </row>
    <row r="1660" spans="1:20" x14ac:dyDescent="0.3">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c r="S1660" t="str">
        <f>INDEX(Q:Q,MATCH(Table1[[#This Row],[Item Purchased]],D:D))</f>
        <v>Cash</v>
      </c>
      <c r="T1660">
        <f>SUMIF(J:J,Table1[[#This Row],[Season]],F:F)</f>
        <v>58679</v>
      </c>
    </row>
    <row r="1661" spans="1:20" x14ac:dyDescent="0.3">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c r="S1661" t="str">
        <f>INDEX(Q:Q,MATCH(Table1[[#This Row],[Item Purchased]],D:D))</f>
        <v>Debit Card</v>
      </c>
      <c r="T1661">
        <f>SUMIF(J:J,Table1[[#This Row],[Season]],F:F)</f>
        <v>60018</v>
      </c>
    </row>
    <row r="1662" spans="1:20" x14ac:dyDescent="0.3">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c r="S1662" t="str">
        <f>INDEX(Q:Q,MATCH(Table1[[#This Row],[Item Purchased]],D:D))</f>
        <v>Venmo</v>
      </c>
      <c r="T1662">
        <f>SUMIF(J:J,Table1[[#This Row],[Season]],F:F)</f>
        <v>58607</v>
      </c>
    </row>
    <row r="1663" spans="1:20" x14ac:dyDescent="0.3">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c r="S1663" t="str">
        <f>INDEX(Q:Q,MATCH(Table1[[#This Row],[Item Purchased]],D:D))</f>
        <v>Debit Card</v>
      </c>
      <c r="T1663">
        <f>SUMIF(J:J,Table1[[#This Row],[Season]],F:F)</f>
        <v>55777</v>
      </c>
    </row>
    <row r="1664" spans="1:20" x14ac:dyDescent="0.3">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c r="S1664" t="str">
        <f>INDEX(Q:Q,MATCH(Table1[[#This Row],[Item Purchased]],D:D))</f>
        <v>Venmo</v>
      </c>
      <c r="T1664">
        <f>SUMIF(J:J,Table1[[#This Row],[Season]],F:F)</f>
        <v>58607</v>
      </c>
    </row>
    <row r="1665" spans="1:20" x14ac:dyDescent="0.3">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c r="S1665" t="str">
        <f>INDEX(Q:Q,MATCH(Table1[[#This Row],[Item Purchased]],D:D))</f>
        <v>Bank Transfer</v>
      </c>
      <c r="T1665">
        <f>SUMIF(J:J,Table1[[#This Row],[Season]],F:F)</f>
        <v>55777</v>
      </c>
    </row>
    <row r="1666" spans="1:20" x14ac:dyDescent="0.3">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c r="S1666" t="str">
        <f>INDEX(Q:Q,MATCH(Table1[[#This Row],[Item Purchased]],D:D))</f>
        <v>Cash</v>
      </c>
      <c r="T1666">
        <f>SUMIF(J:J,Table1[[#This Row],[Season]],F:F)</f>
        <v>58679</v>
      </c>
    </row>
    <row r="1667" spans="1:20" x14ac:dyDescent="0.3">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c r="S1667" t="str">
        <f>INDEX(Q:Q,MATCH(Table1[[#This Row],[Item Purchased]],D:D))</f>
        <v>Debit Card</v>
      </c>
      <c r="T1667">
        <f>SUMIF(J:J,Table1[[#This Row],[Season]],F:F)</f>
        <v>60018</v>
      </c>
    </row>
    <row r="1668" spans="1:20" x14ac:dyDescent="0.3">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c r="S1668" t="str">
        <f>INDEX(Q:Q,MATCH(Table1[[#This Row],[Item Purchased]],D:D))</f>
        <v>Credit Card</v>
      </c>
      <c r="T1668">
        <f>SUMIF(J:J,Table1[[#This Row],[Season]],F:F)</f>
        <v>55777</v>
      </c>
    </row>
    <row r="1669" spans="1:20" x14ac:dyDescent="0.3">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c r="S1669" t="str">
        <f>INDEX(Q:Q,MATCH(Table1[[#This Row],[Item Purchased]],D:D))</f>
        <v>Cash</v>
      </c>
      <c r="T1669">
        <f>SUMIF(J:J,Table1[[#This Row],[Season]],F:F)</f>
        <v>58607</v>
      </c>
    </row>
    <row r="1670" spans="1:20" x14ac:dyDescent="0.3">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c r="S1670" t="str">
        <f>INDEX(Q:Q,MATCH(Table1[[#This Row],[Item Purchased]],D:D))</f>
        <v>Venmo</v>
      </c>
      <c r="T1670">
        <f>SUMIF(J:J,Table1[[#This Row],[Season]],F:F)</f>
        <v>55777</v>
      </c>
    </row>
    <row r="1671" spans="1:20" x14ac:dyDescent="0.3">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c r="S1671" t="str">
        <f>INDEX(Q:Q,MATCH(Table1[[#This Row],[Item Purchased]],D:D))</f>
        <v>Venmo</v>
      </c>
      <c r="T1671">
        <f>SUMIF(J:J,Table1[[#This Row],[Season]],F:F)</f>
        <v>58607</v>
      </c>
    </row>
    <row r="1672" spans="1:20" x14ac:dyDescent="0.3">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c r="S1672" t="str">
        <f>INDEX(Q:Q,MATCH(Table1[[#This Row],[Item Purchased]],D:D))</f>
        <v>Cash</v>
      </c>
      <c r="T1672">
        <f>SUMIF(J:J,Table1[[#This Row],[Season]],F:F)</f>
        <v>60018</v>
      </c>
    </row>
    <row r="1673" spans="1:20" x14ac:dyDescent="0.3">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c r="S1673" t="str">
        <f>INDEX(Q:Q,MATCH(Table1[[#This Row],[Item Purchased]],D:D))</f>
        <v>Venmo</v>
      </c>
      <c r="T1673">
        <f>SUMIF(J:J,Table1[[#This Row],[Season]],F:F)</f>
        <v>58607</v>
      </c>
    </row>
    <row r="1674" spans="1:20" x14ac:dyDescent="0.3">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c r="S1674" t="str">
        <f>INDEX(Q:Q,MATCH(Table1[[#This Row],[Item Purchased]],D:D))</f>
        <v>Venmo</v>
      </c>
      <c r="T1674">
        <f>SUMIF(J:J,Table1[[#This Row],[Season]],F:F)</f>
        <v>60018</v>
      </c>
    </row>
    <row r="1675" spans="1:20" x14ac:dyDescent="0.3">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c r="S1675" t="str">
        <f>INDEX(Q:Q,MATCH(Table1[[#This Row],[Item Purchased]],D:D))</f>
        <v>Venmo</v>
      </c>
      <c r="T1675">
        <f>SUMIF(J:J,Table1[[#This Row],[Season]],F:F)</f>
        <v>60018</v>
      </c>
    </row>
    <row r="1676" spans="1:20" x14ac:dyDescent="0.3">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c r="S1676" t="str">
        <f>INDEX(Q:Q,MATCH(Table1[[#This Row],[Item Purchased]],D:D))</f>
        <v>Debit Card</v>
      </c>
      <c r="T1676">
        <f>SUMIF(J:J,Table1[[#This Row],[Season]],F:F)</f>
        <v>58607</v>
      </c>
    </row>
    <row r="1677" spans="1:20" x14ac:dyDescent="0.3">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c r="S1677" t="str">
        <f>INDEX(Q:Q,MATCH(Table1[[#This Row],[Item Purchased]],D:D))</f>
        <v>Cash</v>
      </c>
      <c r="T1677">
        <f>SUMIF(J:J,Table1[[#This Row],[Season]],F:F)</f>
        <v>58679</v>
      </c>
    </row>
    <row r="1678" spans="1:20" x14ac:dyDescent="0.3">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c r="S1678" t="str">
        <f>INDEX(Q:Q,MATCH(Table1[[#This Row],[Item Purchased]],D:D))</f>
        <v>Venmo</v>
      </c>
      <c r="T1678">
        <f>SUMIF(J:J,Table1[[#This Row],[Season]],F:F)</f>
        <v>58607</v>
      </c>
    </row>
    <row r="1679" spans="1:20" x14ac:dyDescent="0.3">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c r="S1679" t="str">
        <f>INDEX(Q:Q,MATCH(Table1[[#This Row],[Item Purchased]],D:D))</f>
        <v>Cash</v>
      </c>
      <c r="T1679">
        <f>SUMIF(J:J,Table1[[#This Row],[Season]],F:F)</f>
        <v>55777</v>
      </c>
    </row>
    <row r="1680" spans="1:20" x14ac:dyDescent="0.3">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c r="S1680" t="str">
        <f>INDEX(Q:Q,MATCH(Table1[[#This Row],[Item Purchased]],D:D))</f>
        <v>Cash</v>
      </c>
      <c r="T1680">
        <f>SUMIF(J:J,Table1[[#This Row],[Season]],F:F)</f>
        <v>55777</v>
      </c>
    </row>
    <row r="1681" spans="1:20" x14ac:dyDescent="0.3">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c r="S1681" t="str">
        <f>INDEX(Q:Q,MATCH(Table1[[#This Row],[Item Purchased]],D:D))</f>
        <v>Debit Card</v>
      </c>
      <c r="T1681">
        <f>SUMIF(J:J,Table1[[#This Row],[Season]],F:F)</f>
        <v>60018</v>
      </c>
    </row>
    <row r="1682" spans="1:20" x14ac:dyDescent="0.3">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c r="S1682" t="str">
        <f>INDEX(Q:Q,MATCH(Table1[[#This Row],[Item Purchased]],D:D))</f>
        <v>PayPal</v>
      </c>
      <c r="T1682">
        <f>SUMIF(J:J,Table1[[#This Row],[Season]],F:F)</f>
        <v>55777</v>
      </c>
    </row>
    <row r="1683" spans="1:20" x14ac:dyDescent="0.3">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c r="S1683" t="str">
        <f>INDEX(Q:Q,MATCH(Table1[[#This Row],[Item Purchased]],D:D))</f>
        <v>Venmo</v>
      </c>
      <c r="T1683">
        <f>SUMIF(J:J,Table1[[#This Row],[Season]],F:F)</f>
        <v>58607</v>
      </c>
    </row>
    <row r="1684" spans="1:20" x14ac:dyDescent="0.3">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c r="S1684" t="str">
        <f>INDEX(Q:Q,MATCH(Table1[[#This Row],[Item Purchased]],D:D))</f>
        <v>Venmo</v>
      </c>
      <c r="T1684">
        <f>SUMIF(J:J,Table1[[#This Row],[Season]],F:F)</f>
        <v>60018</v>
      </c>
    </row>
    <row r="1685" spans="1:20" x14ac:dyDescent="0.3">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c r="S1685" t="str">
        <f>INDEX(Q:Q,MATCH(Table1[[#This Row],[Item Purchased]],D:D))</f>
        <v>Debit Card</v>
      </c>
      <c r="T1685">
        <f>SUMIF(J:J,Table1[[#This Row],[Season]],F:F)</f>
        <v>58679</v>
      </c>
    </row>
    <row r="1686" spans="1:20" x14ac:dyDescent="0.3">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c r="S1686" t="str">
        <f>INDEX(Q:Q,MATCH(Table1[[#This Row],[Item Purchased]],D:D))</f>
        <v>Bank Transfer</v>
      </c>
      <c r="T1686">
        <f>SUMIF(J:J,Table1[[#This Row],[Season]],F:F)</f>
        <v>58679</v>
      </c>
    </row>
    <row r="1687" spans="1:20" x14ac:dyDescent="0.3">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c r="S1687" t="str">
        <f>INDEX(Q:Q,MATCH(Table1[[#This Row],[Item Purchased]],D:D))</f>
        <v>Venmo</v>
      </c>
      <c r="T1687">
        <f>SUMIF(J:J,Table1[[#This Row],[Season]],F:F)</f>
        <v>58607</v>
      </c>
    </row>
    <row r="1688" spans="1:20" x14ac:dyDescent="0.3">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c r="S1688" t="str">
        <f>INDEX(Q:Q,MATCH(Table1[[#This Row],[Item Purchased]],D:D))</f>
        <v>Debit Card</v>
      </c>
      <c r="T1688">
        <f>SUMIF(J:J,Table1[[#This Row],[Season]],F:F)</f>
        <v>60018</v>
      </c>
    </row>
    <row r="1689" spans="1:20" x14ac:dyDescent="0.3">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c r="S1689" t="str">
        <f>INDEX(Q:Q,MATCH(Table1[[#This Row],[Item Purchased]],D:D))</f>
        <v>Credit Card</v>
      </c>
      <c r="T1689">
        <f>SUMIF(J:J,Table1[[#This Row],[Season]],F:F)</f>
        <v>58607</v>
      </c>
    </row>
    <row r="1690" spans="1:20" x14ac:dyDescent="0.3">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c r="S1690" t="str">
        <f>INDEX(Q:Q,MATCH(Table1[[#This Row],[Item Purchased]],D:D))</f>
        <v>Cash</v>
      </c>
      <c r="T1690">
        <f>SUMIF(J:J,Table1[[#This Row],[Season]],F:F)</f>
        <v>58607</v>
      </c>
    </row>
    <row r="1691" spans="1:20" x14ac:dyDescent="0.3">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c r="S1691" t="str">
        <f>INDEX(Q:Q,MATCH(Table1[[#This Row],[Item Purchased]],D:D))</f>
        <v>Bank Transfer</v>
      </c>
      <c r="T1691">
        <f>SUMIF(J:J,Table1[[#This Row],[Season]],F:F)</f>
        <v>58607</v>
      </c>
    </row>
    <row r="1692" spans="1:20" x14ac:dyDescent="0.3">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c r="S1692" t="str">
        <f>INDEX(Q:Q,MATCH(Table1[[#This Row],[Item Purchased]],D:D))</f>
        <v>Debit Card</v>
      </c>
      <c r="T1692">
        <f>SUMIF(J:J,Table1[[#This Row],[Season]],F:F)</f>
        <v>55777</v>
      </c>
    </row>
    <row r="1693" spans="1:20" x14ac:dyDescent="0.3">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c r="S1693" t="str">
        <f>INDEX(Q:Q,MATCH(Table1[[#This Row],[Item Purchased]],D:D))</f>
        <v>PayPal</v>
      </c>
      <c r="T1693">
        <f>SUMIF(J:J,Table1[[#This Row],[Season]],F:F)</f>
        <v>55777</v>
      </c>
    </row>
    <row r="1694" spans="1:20" x14ac:dyDescent="0.3">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c r="S1694" t="str">
        <f>INDEX(Q:Q,MATCH(Table1[[#This Row],[Item Purchased]],D:D))</f>
        <v>Cash</v>
      </c>
      <c r="T1694">
        <f>SUMIF(J:J,Table1[[#This Row],[Season]],F:F)</f>
        <v>58607</v>
      </c>
    </row>
    <row r="1695" spans="1:20" x14ac:dyDescent="0.3">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c r="S1695" t="str">
        <f>INDEX(Q:Q,MATCH(Table1[[#This Row],[Item Purchased]],D:D))</f>
        <v>Debit Card</v>
      </c>
      <c r="T1695">
        <f>SUMIF(J:J,Table1[[#This Row],[Season]],F:F)</f>
        <v>60018</v>
      </c>
    </row>
    <row r="1696" spans="1:20" x14ac:dyDescent="0.3">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c r="S1696" t="str">
        <f>INDEX(Q:Q,MATCH(Table1[[#This Row],[Item Purchased]],D:D))</f>
        <v>Bank Transfer</v>
      </c>
      <c r="T1696">
        <f>SUMIF(J:J,Table1[[#This Row],[Season]],F:F)</f>
        <v>55777</v>
      </c>
    </row>
    <row r="1697" spans="1:20" x14ac:dyDescent="0.3">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c r="S1697" t="str">
        <f>INDEX(Q:Q,MATCH(Table1[[#This Row],[Item Purchased]],D:D))</f>
        <v>Venmo</v>
      </c>
      <c r="T1697">
        <f>SUMIF(J:J,Table1[[#This Row],[Season]],F:F)</f>
        <v>60018</v>
      </c>
    </row>
    <row r="1698" spans="1:20" x14ac:dyDescent="0.3">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c r="S1698" t="str">
        <f>INDEX(Q:Q,MATCH(Table1[[#This Row],[Item Purchased]],D:D))</f>
        <v>Venmo</v>
      </c>
      <c r="T1698">
        <f>SUMIF(J:J,Table1[[#This Row],[Season]],F:F)</f>
        <v>58679</v>
      </c>
    </row>
    <row r="1699" spans="1:20" x14ac:dyDescent="0.3">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c r="S1699" t="str">
        <f>INDEX(Q:Q,MATCH(Table1[[#This Row],[Item Purchased]],D:D))</f>
        <v>Bank Transfer</v>
      </c>
      <c r="T1699">
        <f>SUMIF(J:J,Table1[[#This Row],[Season]],F:F)</f>
        <v>60018</v>
      </c>
    </row>
    <row r="1700" spans="1:20" x14ac:dyDescent="0.3">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c r="S1700" t="e">
        <f>INDEX(Q:Q,MATCH(Table1[[#This Row],[Item Purchased]],D:D))</f>
        <v>#N/A</v>
      </c>
      <c r="T1700">
        <f>SUMIF(J:J,Table1[[#This Row],[Season]],F:F)</f>
        <v>58607</v>
      </c>
    </row>
    <row r="1701" spans="1:20" x14ac:dyDescent="0.3">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c r="S1701" t="str">
        <f>INDEX(Q:Q,MATCH(Table1[[#This Row],[Item Purchased]],D:D))</f>
        <v>Venmo</v>
      </c>
      <c r="T1701">
        <f>SUMIF(J:J,Table1[[#This Row],[Season]],F:F)</f>
        <v>58679</v>
      </c>
    </row>
    <row r="1702" spans="1:20" x14ac:dyDescent="0.3">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c r="S1702" t="str">
        <f>INDEX(Q:Q,MATCH(Table1[[#This Row],[Item Purchased]],D:D))</f>
        <v>Venmo</v>
      </c>
      <c r="T1702">
        <f>SUMIF(J:J,Table1[[#This Row],[Season]],F:F)</f>
        <v>60018</v>
      </c>
    </row>
    <row r="1703" spans="1:20" x14ac:dyDescent="0.3">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c r="S1703" t="str">
        <f>INDEX(Q:Q,MATCH(Table1[[#This Row],[Item Purchased]],D:D))</f>
        <v>Cash</v>
      </c>
      <c r="T1703">
        <f>SUMIF(J:J,Table1[[#This Row],[Season]],F:F)</f>
        <v>58607</v>
      </c>
    </row>
    <row r="1704" spans="1:20" x14ac:dyDescent="0.3">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c r="S1704" t="str">
        <f>INDEX(Q:Q,MATCH(Table1[[#This Row],[Item Purchased]],D:D))</f>
        <v>Cash</v>
      </c>
      <c r="T1704">
        <f>SUMIF(J:J,Table1[[#This Row],[Season]],F:F)</f>
        <v>55777</v>
      </c>
    </row>
    <row r="1705" spans="1:20" x14ac:dyDescent="0.3">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c r="S1705" t="e">
        <f>INDEX(Q:Q,MATCH(Table1[[#This Row],[Item Purchased]],D:D))</f>
        <v>#N/A</v>
      </c>
      <c r="T1705">
        <f>SUMIF(J:J,Table1[[#This Row],[Season]],F:F)</f>
        <v>58679</v>
      </c>
    </row>
    <row r="1706" spans="1:20" x14ac:dyDescent="0.3">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c r="S1706" t="str">
        <f>INDEX(Q:Q,MATCH(Table1[[#This Row],[Item Purchased]],D:D))</f>
        <v>Venmo</v>
      </c>
      <c r="T1706">
        <f>SUMIF(J:J,Table1[[#This Row],[Season]],F:F)</f>
        <v>55777</v>
      </c>
    </row>
    <row r="1707" spans="1:20" x14ac:dyDescent="0.3">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c r="S1707" t="str">
        <f>INDEX(Q:Q,MATCH(Table1[[#This Row],[Item Purchased]],D:D))</f>
        <v>Cash</v>
      </c>
      <c r="T1707">
        <f>SUMIF(J:J,Table1[[#This Row],[Season]],F:F)</f>
        <v>55777</v>
      </c>
    </row>
    <row r="1708" spans="1:20" x14ac:dyDescent="0.3">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c r="S1708" t="str">
        <f>INDEX(Q:Q,MATCH(Table1[[#This Row],[Item Purchased]],D:D))</f>
        <v>Venmo</v>
      </c>
      <c r="T1708">
        <f>SUMIF(J:J,Table1[[#This Row],[Season]],F:F)</f>
        <v>58679</v>
      </c>
    </row>
    <row r="1709" spans="1:20" x14ac:dyDescent="0.3">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c r="S1709" t="str">
        <f>INDEX(Q:Q,MATCH(Table1[[#This Row],[Item Purchased]],D:D))</f>
        <v>PayPal</v>
      </c>
      <c r="T1709">
        <f>SUMIF(J:J,Table1[[#This Row],[Season]],F:F)</f>
        <v>60018</v>
      </c>
    </row>
    <row r="1710" spans="1:20" x14ac:dyDescent="0.3">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c r="S1710" t="str">
        <f>INDEX(Q:Q,MATCH(Table1[[#This Row],[Item Purchased]],D:D))</f>
        <v>Venmo</v>
      </c>
      <c r="T1710">
        <f>SUMIF(J:J,Table1[[#This Row],[Season]],F:F)</f>
        <v>58679</v>
      </c>
    </row>
    <row r="1711" spans="1:20" x14ac:dyDescent="0.3">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c r="S1711" t="str">
        <f>INDEX(Q:Q,MATCH(Table1[[#This Row],[Item Purchased]],D:D))</f>
        <v>Credit Card</v>
      </c>
      <c r="T1711">
        <f>SUMIF(J:J,Table1[[#This Row],[Season]],F:F)</f>
        <v>58607</v>
      </c>
    </row>
    <row r="1712" spans="1:20" x14ac:dyDescent="0.3">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c r="S1712" t="str">
        <f>INDEX(Q:Q,MATCH(Table1[[#This Row],[Item Purchased]],D:D))</f>
        <v>Cash</v>
      </c>
      <c r="T1712">
        <f>SUMIF(J:J,Table1[[#This Row],[Season]],F:F)</f>
        <v>60018</v>
      </c>
    </row>
    <row r="1713" spans="1:20" x14ac:dyDescent="0.3">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c r="S1713" t="str">
        <f>INDEX(Q:Q,MATCH(Table1[[#This Row],[Item Purchased]],D:D))</f>
        <v>Venmo</v>
      </c>
      <c r="T1713">
        <f>SUMIF(J:J,Table1[[#This Row],[Season]],F:F)</f>
        <v>58679</v>
      </c>
    </row>
    <row r="1714" spans="1:20" x14ac:dyDescent="0.3">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c r="S1714" t="str">
        <f>INDEX(Q:Q,MATCH(Table1[[#This Row],[Item Purchased]],D:D))</f>
        <v>Venmo</v>
      </c>
      <c r="T1714">
        <f>SUMIF(J:J,Table1[[#This Row],[Season]],F:F)</f>
        <v>60018</v>
      </c>
    </row>
    <row r="1715" spans="1:20" x14ac:dyDescent="0.3">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c r="S1715" t="str">
        <f>INDEX(Q:Q,MATCH(Table1[[#This Row],[Item Purchased]],D:D))</f>
        <v>Debit Card</v>
      </c>
      <c r="T1715">
        <f>SUMIF(J:J,Table1[[#This Row],[Season]],F:F)</f>
        <v>58607</v>
      </c>
    </row>
    <row r="1716" spans="1:20" x14ac:dyDescent="0.3">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c r="S1716" t="str">
        <f>INDEX(Q:Q,MATCH(Table1[[#This Row],[Item Purchased]],D:D))</f>
        <v>Cash</v>
      </c>
      <c r="T1716">
        <f>SUMIF(J:J,Table1[[#This Row],[Season]],F:F)</f>
        <v>55777</v>
      </c>
    </row>
    <row r="1717" spans="1:20" x14ac:dyDescent="0.3">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c r="S1717" t="str">
        <f>INDEX(Q:Q,MATCH(Table1[[#This Row],[Item Purchased]],D:D))</f>
        <v>Debit Card</v>
      </c>
      <c r="T1717">
        <f>SUMIF(J:J,Table1[[#This Row],[Season]],F:F)</f>
        <v>58679</v>
      </c>
    </row>
    <row r="1718" spans="1:20" x14ac:dyDescent="0.3">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c r="S1718" t="str">
        <f>INDEX(Q:Q,MATCH(Table1[[#This Row],[Item Purchased]],D:D))</f>
        <v>Venmo</v>
      </c>
      <c r="T1718">
        <f>SUMIF(J:J,Table1[[#This Row],[Season]],F:F)</f>
        <v>58607</v>
      </c>
    </row>
    <row r="1719" spans="1:20" x14ac:dyDescent="0.3">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c r="S1719" t="str">
        <f>INDEX(Q:Q,MATCH(Table1[[#This Row],[Item Purchased]],D:D))</f>
        <v>Venmo</v>
      </c>
      <c r="T1719">
        <f>SUMIF(J:J,Table1[[#This Row],[Season]],F:F)</f>
        <v>55777</v>
      </c>
    </row>
    <row r="1720" spans="1:20" x14ac:dyDescent="0.3">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c r="S1720" t="str">
        <f>INDEX(Q:Q,MATCH(Table1[[#This Row],[Item Purchased]],D:D))</f>
        <v>Venmo</v>
      </c>
      <c r="T1720">
        <f>SUMIF(J:J,Table1[[#This Row],[Season]],F:F)</f>
        <v>58607</v>
      </c>
    </row>
    <row r="1721" spans="1:20" x14ac:dyDescent="0.3">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c r="S1721" t="str">
        <f>INDEX(Q:Q,MATCH(Table1[[#This Row],[Item Purchased]],D:D))</f>
        <v>Venmo</v>
      </c>
      <c r="T1721">
        <f>SUMIF(J:J,Table1[[#This Row],[Season]],F:F)</f>
        <v>58607</v>
      </c>
    </row>
    <row r="1722" spans="1:20" x14ac:dyDescent="0.3">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c r="S1722" t="str">
        <f>INDEX(Q:Q,MATCH(Table1[[#This Row],[Item Purchased]],D:D))</f>
        <v>PayPal</v>
      </c>
      <c r="T1722">
        <f>SUMIF(J:J,Table1[[#This Row],[Season]],F:F)</f>
        <v>58607</v>
      </c>
    </row>
    <row r="1723" spans="1:20" x14ac:dyDescent="0.3">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c r="S1723" t="str">
        <f>INDEX(Q:Q,MATCH(Table1[[#This Row],[Item Purchased]],D:D))</f>
        <v>Cash</v>
      </c>
      <c r="T1723">
        <f>SUMIF(J:J,Table1[[#This Row],[Season]],F:F)</f>
        <v>58679</v>
      </c>
    </row>
    <row r="1724" spans="1:20" x14ac:dyDescent="0.3">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c r="S1724" t="str">
        <f>INDEX(Q:Q,MATCH(Table1[[#This Row],[Item Purchased]],D:D))</f>
        <v>Venmo</v>
      </c>
      <c r="T1724">
        <f>SUMIF(J:J,Table1[[#This Row],[Season]],F:F)</f>
        <v>55777</v>
      </c>
    </row>
    <row r="1725" spans="1:20" x14ac:dyDescent="0.3">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c r="S1725" t="str">
        <f>INDEX(Q:Q,MATCH(Table1[[#This Row],[Item Purchased]],D:D))</f>
        <v>Bank Transfer</v>
      </c>
      <c r="T1725">
        <f>SUMIF(J:J,Table1[[#This Row],[Season]],F:F)</f>
        <v>58679</v>
      </c>
    </row>
    <row r="1726" spans="1:20" x14ac:dyDescent="0.3">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c r="S1726" t="str">
        <f>INDEX(Q:Q,MATCH(Table1[[#This Row],[Item Purchased]],D:D))</f>
        <v>PayPal</v>
      </c>
      <c r="T1726">
        <f>SUMIF(J:J,Table1[[#This Row],[Season]],F:F)</f>
        <v>58607</v>
      </c>
    </row>
    <row r="1727" spans="1:20" x14ac:dyDescent="0.3">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c r="S1727" t="str">
        <f>INDEX(Q:Q,MATCH(Table1[[#This Row],[Item Purchased]],D:D))</f>
        <v>Venmo</v>
      </c>
      <c r="T1727">
        <f>SUMIF(J:J,Table1[[#This Row],[Season]],F:F)</f>
        <v>58679</v>
      </c>
    </row>
    <row r="1728" spans="1:20" x14ac:dyDescent="0.3">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c r="S1728" t="str">
        <f>INDEX(Q:Q,MATCH(Table1[[#This Row],[Item Purchased]],D:D))</f>
        <v>Debit Card</v>
      </c>
      <c r="T1728">
        <f>SUMIF(J:J,Table1[[#This Row],[Season]],F:F)</f>
        <v>55777</v>
      </c>
    </row>
    <row r="1729" spans="1:20" x14ac:dyDescent="0.3">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c r="S1729" t="str">
        <f>INDEX(Q:Q,MATCH(Table1[[#This Row],[Item Purchased]],D:D))</f>
        <v>Venmo</v>
      </c>
      <c r="T1729">
        <f>SUMIF(J:J,Table1[[#This Row],[Season]],F:F)</f>
        <v>58679</v>
      </c>
    </row>
    <row r="1730" spans="1:20" x14ac:dyDescent="0.3">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c r="S1730" t="str">
        <f>INDEX(Q:Q,MATCH(Table1[[#This Row],[Item Purchased]],D:D))</f>
        <v>Cash</v>
      </c>
      <c r="T1730">
        <f>SUMIF(J:J,Table1[[#This Row],[Season]],F:F)</f>
        <v>60018</v>
      </c>
    </row>
    <row r="1731" spans="1:20" x14ac:dyDescent="0.3">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c r="S1731" t="str">
        <f>INDEX(Q:Q,MATCH(Table1[[#This Row],[Item Purchased]],D:D))</f>
        <v>PayPal</v>
      </c>
      <c r="T1731">
        <f>SUMIF(J:J,Table1[[#This Row],[Season]],F:F)</f>
        <v>58607</v>
      </c>
    </row>
    <row r="1732" spans="1:20" x14ac:dyDescent="0.3">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c r="S1732" t="str">
        <f>INDEX(Q:Q,MATCH(Table1[[#This Row],[Item Purchased]],D:D))</f>
        <v>Bank Transfer</v>
      </c>
      <c r="T1732">
        <f>SUMIF(J:J,Table1[[#This Row],[Season]],F:F)</f>
        <v>60018</v>
      </c>
    </row>
    <row r="1733" spans="1:20" x14ac:dyDescent="0.3">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c r="S1733" t="e">
        <f>INDEX(Q:Q,MATCH(Table1[[#This Row],[Item Purchased]],D:D))</f>
        <v>#N/A</v>
      </c>
      <c r="T1733">
        <f>SUMIF(J:J,Table1[[#This Row],[Season]],F:F)</f>
        <v>60018</v>
      </c>
    </row>
    <row r="1734" spans="1:20" x14ac:dyDescent="0.3">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c r="S1734" t="e">
        <f>INDEX(Q:Q,MATCH(Table1[[#This Row],[Item Purchased]],D:D))</f>
        <v>#N/A</v>
      </c>
      <c r="T1734">
        <f>SUMIF(J:J,Table1[[#This Row],[Season]],F:F)</f>
        <v>58607</v>
      </c>
    </row>
    <row r="1735" spans="1:20" x14ac:dyDescent="0.3">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c r="S1735" t="str">
        <f>INDEX(Q:Q,MATCH(Table1[[#This Row],[Item Purchased]],D:D))</f>
        <v>Venmo</v>
      </c>
      <c r="T1735">
        <f>SUMIF(J:J,Table1[[#This Row],[Season]],F:F)</f>
        <v>55777</v>
      </c>
    </row>
    <row r="1736" spans="1:20" x14ac:dyDescent="0.3">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c r="S1736" t="str">
        <f>INDEX(Q:Q,MATCH(Table1[[#This Row],[Item Purchased]],D:D))</f>
        <v>Cash</v>
      </c>
      <c r="T1736">
        <f>SUMIF(J:J,Table1[[#This Row],[Season]],F:F)</f>
        <v>58679</v>
      </c>
    </row>
    <row r="1737" spans="1:20" x14ac:dyDescent="0.3">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c r="S1737" t="str">
        <f>INDEX(Q:Q,MATCH(Table1[[#This Row],[Item Purchased]],D:D))</f>
        <v>Debit Card</v>
      </c>
      <c r="T1737">
        <f>SUMIF(J:J,Table1[[#This Row],[Season]],F:F)</f>
        <v>58607</v>
      </c>
    </row>
    <row r="1738" spans="1:20" x14ac:dyDescent="0.3">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c r="S1738" t="str">
        <f>INDEX(Q:Q,MATCH(Table1[[#This Row],[Item Purchased]],D:D))</f>
        <v>PayPal</v>
      </c>
      <c r="T1738">
        <f>SUMIF(J:J,Table1[[#This Row],[Season]],F:F)</f>
        <v>55777</v>
      </c>
    </row>
    <row r="1739" spans="1:20" x14ac:dyDescent="0.3">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c r="S1739" t="str">
        <f>INDEX(Q:Q,MATCH(Table1[[#This Row],[Item Purchased]],D:D))</f>
        <v>Cash</v>
      </c>
      <c r="T1739">
        <f>SUMIF(J:J,Table1[[#This Row],[Season]],F:F)</f>
        <v>55777</v>
      </c>
    </row>
    <row r="1740" spans="1:20" x14ac:dyDescent="0.3">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c r="S1740" t="str">
        <f>INDEX(Q:Q,MATCH(Table1[[#This Row],[Item Purchased]],D:D))</f>
        <v>Cash</v>
      </c>
      <c r="T1740">
        <f>SUMIF(J:J,Table1[[#This Row],[Season]],F:F)</f>
        <v>58679</v>
      </c>
    </row>
    <row r="1741" spans="1:20" x14ac:dyDescent="0.3">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c r="S1741" t="str">
        <f>INDEX(Q:Q,MATCH(Table1[[#This Row],[Item Purchased]],D:D))</f>
        <v>Cash</v>
      </c>
      <c r="T1741">
        <f>SUMIF(J:J,Table1[[#This Row],[Season]],F:F)</f>
        <v>58607</v>
      </c>
    </row>
    <row r="1742" spans="1:20" x14ac:dyDescent="0.3">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c r="S1742" t="str">
        <f>INDEX(Q:Q,MATCH(Table1[[#This Row],[Item Purchased]],D:D))</f>
        <v>Cash</v>
      </c>
      <c r="T1742">
        <f>SUMIF(J:J,Table1[[#This Row],[Season]],F:F)</f>
        <v>60018</v>
      </c>
    </row>
    <row r="1743" spans="1:20" x14ac:dyDescent="0.3">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c r="S1743" t="str">
        <f>INDEX(Q:Q,MATCH(Table1[[#This Row],[Item Purchased]],D:D))</f>
        <v>Cash</v>
      </c>
      <c r="T1743">
        <f>SUMIF(J:J,Table1[[#This Row],[Season]],F:F)</f>
        <v>58607</v>
      </c>
    </row>
    <row r="1744" spans="1:20" x14ac:dyDescent="0.3">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c r="S1744" t="str">
        <f>INDEX(Q:Q,MATCH(Table1[[#This Row],[Item Purchased]],D:D))</f>
        <v>Bank Transfer</v>
      </c>
      <c r="T1744">
        <f>SUMIF(J:J,Table1[[#This Row],[Season]],F:F)</f>
        <v>58679</v>
      </c>
    </row>
    <row r="1745" spans="1:20" x14ac:dyDescent="0.3">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c r="S1745" t="str">
        <f>INDEX(Q:Q,MATCH(Table1[[#This Row],[Item Purchased]],D:D))</f>
        <v>Credit Card</v>
      </c>
      <c r="T1745">
        <f>SUMIF(J:J,Table1[[#This Row],[Season]],F:F)</f>
        <v>58607</v>
      </c>
    </row>
    <row r="1746" spans="1:20" x14ac:dyDescent="0.3">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c r="S1746" t="str">
        <f>INDEX(Q:Q,MATCH(Table1[[#This Row],[Item Purchased]],D:D))</f>
        <v>Venmo</v>
      </c>
      <c r="T1746">
        <f>SUMIF(J:J,Table1[[#This Row],[Season]],F:F)</f>
        <v>58607</v>
      </c>
    </row>
    <row r="1747" spans="1:20" x14ac:dyDescent="0.3">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c r="S1747" t="str">
        <f>INDEX(Q:Q,MATCH(Table1[[#This Row],[Item Purchased]],D:D))</f>
        <v>Credit Card</v>
      </c>
      <c r="T1747">
        <f>SUMIF(J:J,Table1[[#This Row],[Season]],F:F)</f>
        <v>58607</v>
      </c>
    </row>
    <row r="1748" spans="1:20" x14ac:dyDescent="0.3">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c r="S1748" t="str">
        <f>INDEX(Q:Q,MATCH(Table1[[#This Row],[Item Purchased]],D:D))</f>
        <v>Cash</v>
      </c>
      <c r="T1748">
        <f>SUMIF(J:J,Table1[[#This Row],[Season]],F:F)</f>
        <v>55777</v>
      </c>
    </row>
    <row r="1749" spans="1:20" x14ac:dyDescent="0.3">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c r="S1749" t="str">
        <f>INDEX(Q:Q,MATCH(Table1[[#This Row],[Item Purchased]],D:D))</f>
        <v>Debit Card</v>
      </c>
      <c r="T1749">
        <f>SUMIF(J:J,Table1[[#This Row],[Season]],F:F)</f>
        <v>58607</v>
      </c>
    </row>
    <row r="1750" spans="1:20" x14ac:dyDescent="0.3">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c r="S1750" t="str">
        <f>INDEX(Q:Q,MATCH(Table1[[#This Row],[Item Purchased]],D:D))</f>
        <v>Credit Card</v>
      </c>
      <c r="T1750">
        <f>SUMIF(J:J,Table1[[#This Row],[Season]],F:F)</f>
        <v>58607</v>
      </c>
    </row>
    <row r="1751" spans="1:20" x14ac:dyDescent="0.3">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c r="S1751" t="str">
        <f>INDEX(Q:Q,MATCH(Table1[[#This Row],[Item Purchased]],D:D))</f>
        <v>Venmo</v>
      </c>
      <c r="T1751">
        <f>SUMIF(J:J,Table1[[#This Row],[Season]],F:F)</f>
        <v>60018</v>
      </c>
    </row>
    <row r="1752" spans="1:20" x14ac:dyDescent="0.3">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c r="S1752" t="str">
        <f>INDEX(Q:Q,MATCH(Table1[[#This Row],[Item Purchased]],D:D))</f>
        <v>Venmo</v>
      </c>
      <c r="T1752">
        <f>SUMIF(J:J,Table1[[#This Row],[Season]],F:F)</f>
        <v>60018</v>
      </c>
    </row>
    <row r="1753" spans="1:20" x14ac:dyDescent="0.3">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c r="S1753" t="str">
        <f>INDEX(Q:Q,MATCH(Table1[[#This Row],[Item Purchased]],D:D))</f>
        <v>Venmo</v>
      </c>
      <c r="T1753">
        <f>SUMIF(J:J,Table1[[#This Row],[Season]],F:F)</f>
        <v>58607</v>
      </c>
    </row>
    <row r="1754" spans="1:20" x14ac:dyDescent="0.3">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c r="S1754" t="str">
        <f>INDEX(Q:Q,MATCH(Table1[[#This Row],[Item Purchased]],D:D))</f>
        <v>Venmo</v>
      </c>
      <c r="T1754">
        <f>SUMIF(J:J,Table1[[#This Row],[Season]],F:F)</f>
        <v>58607</v>
      </c>
    </row>
    <row r="1755" spans="1:20" x14ac:dyDescent="0.3">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c r="S1755" t="str">
        <f>INDEX(Q:Q,MATCH(Table1[[#This Row],[Item Purchased]],D:D))</f>
        <v>Credit Card</v>
      </c>
      <c r="T1755">
        <f>SUMIF(J:J,Table1[[#This Row],[Season]],F:F)</f>
        <v>60018</v>
      </c>
    </row>
    <row r="1756" spans="1:20" x14ac:dyDescent="0.3">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c r="S1756" t="str">
        <f>INDEX(Q:Q,MATCH(Table1[[#This Row],[Item Purchased]],D:D))</f>
        <v>Debit Card</v>
      </c>
      <c r="T1756">
        <f>SUMIF(J:J,Table1[[#This Row],[Season]],F:F)</f>
        <v>60018</v>
      </c>
    </row>
    <row r="1757" spans="1:20" x14ac:dyDescent="0.3">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c r="S1757" t="e">
        <f>INDEX(Q:Q,MATCH(Table1[[#This Row],[Item Purchased]],D:D))</f>
        <v>#N/A</v>
      </c>
      <c r="T1757">
        <f>SUMIF(J:J,Table1[[#This Row],[Season]],F:F)</f>
        <v>58679</v>
      </c>
    </row>
    <row r="1758" spans="1:20" x14ac:dyDescent="0.3">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c r="S1758" t="str">
        <f>INDEX(Q:Q,MATCH(Table1[[#This Row],[Item Purchased]],D:D))</f>
        <v>Cash</v>
      </c>
      <c r="T1758">
        <f>SUMIF(J:J,Table1[[#This Row],[Season]],F:F)</f>
        <v>60018</v>
      </c>
    </row>
    <row r="1759" spans="1:20" x14ac:dyDescent="0.3">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c r="S1759" t="str">
        <f>INDEX(Q:Q,MATCH(Table1[[#This Row],[Item Purchased]],D:D))</f>
        <v>Debit Card</v>
      </c>
      <c r="T1759">
        <f>SUMIF(J:J,Table1[[#This Row],[Season]],F:F)</f>
        <v>60018</v>
      </c>
    </row>
    <row r="1760" spans="1:20" x14ac:dyDescent="0.3">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c r="S1760" t="str">
        <f>INDEX(Q:Q,MATCH(Table1[[#This Row],[Item Purchased]],D:D))</f>
        <v>Venmo</v>
      </c>
      <c r="T1760">
        <f>SUMIF(J:J,Table1[[#This Row],[Season]],F:F)</f>
        <v>58607</v>
      </c>
    </row>
    <row r="1761" spans="1:20" x14ac:dyDescent="0.3">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c r="S1761" t="str">
        <f>INDEX(Q:Q,MATCH(Table1[[#This Row],[Item Purchased]],D:D))</f>
        <v>Venmo</v>
      </c>
      <c r="T1761">
        <f>SUMIF(J:J,Table1[[#This Row],[Season]],F:F)</f>
        <v>58679</v>
      </c>
    </row>
    <row r="1762" spans="1:20" x14ac:dyDescent="0.3">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c r="S1762" t="str">
        <f>INDEX(Q:Q,MATCH(Table1[[#This Row],[Item Purchased]],D:D))</f>
        <v>Credit Card</v>
      </c>
      <c r="T1762">
        <f>SUMIF(J:J,Table1[[#This Row],[Season]],F:F)</f>
        <v>58679</v>
      </c>
    </row>
    <row r="1763" spans="1:20" x14ac:dyDescent="0.3">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c r="S1763" t="str">
        <f>INDEX(Q:Q,MATCH(Table1[[#This Row],[Item Purchased]],D:D))</f>
        <v>Venmo</v>
      </c>
      <c r="T1763">
        <f>SUMIF(J:J,Table1[[#This Row],[Season]],F:F)</f>
        <v>60018</v>
      </c>
    </row>
    <row r="1764" spans="1:20" x14ac:dyDescent="0.3">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c r="S1764" t="str">
        <f>INDEX(Q:Q,MATCH(Table1[[#This Row],[Item Purchased]],D:D))</f>
        <v>Bank Transfer</v>
      </c>
      <c r="T1764">
        <f>SUMIF(J:J,Table1[[#This Row],[Season]],F:F)</f>
        <v>55777</v>
      </c>
    </row>
    <row r="1765" spans="1:20" x14ac:dyDescent="0.3">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c r="S1765" t="str">
        <f>INDEX(Q:Q,MATCH(Table1[[#This Row],[Item Purchased]],D:D))</f>
        <v>Cash</v>
      </c>
      <c r="T1765">
        <f>SUMIF(J:J,Table1[[#This Row],[Season]],F:F)</f>
        <v>58607</v>
      </c>
    </row>
    <row r="1766" spans="1:20" x14ac:dyDescent="0.3">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c r="S1766" t="str">
        <f>INDEX(Q:Q,MATCH(Table1[[#This Row],[Item Purchased]],D:D))</f>
        <v>Debit Card</v>
      </c>
      <c r="T1766">
        <f>SUMIF(J:J,Table1[[#This Row],[Season]],F:F)</f>
        <v>55777</v>
      </c>
    </row>
    <row r="1767" spans="1:20" x14ac:dyDescent="0.3">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c r="S1767" t="str">
        <f>INDEX(Q:Q,MATCH(Table1[[#This Row],[Item Purchased]],D:D))</f>
        <v>Venmo</v>
      </c>
      <c r="T1767">
        <f>SUMIF(J:J,Table1[[#This Row],[Season]],F:F)</f>
        <v>58679</v>
      </c>
    </row>
    <row r="1768" spans="1:20" x14ac:dyDescent="0.3">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c r="S1768" t="str">
        <f>INDEX(Q:Q,MATCH(Table1[[#This Row],[Item Purchased]],D:D))</f>
        <v>Venmo</v>
      </c>
      <c r="T1768">
        <f>SUMIF(J:J,Table1[[#This Row],[Season]],F:F)</f>
        <v>58607</v>
      </c>
    </row>
    <row r="1769" spans="1:20" x14ac:dyDescent="0.3">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c r="S1769" t="str">
        <f>INDEX(Q:Q,MATCH(Table1[[#This Row],[Item Purchased]],D:D))</f>
        <v>Cash</v>
      </c>
      <c r="T1769">
        <f>SUMIF(J:J,Table1[[#This Row],[Season]],F:F)</f>
        <v>60018</v>
      </c>
    </row>
    <row r="1770" spans="1:20" x14ac:dyDescent="0.3">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c r="S1770" t="str">
        <f>INDEX(Q:Q,MATCH(Table1[[#This Row],[Item Purchased]],D:D))</f>
        <v>Bank Transfer</v>
      </c>
      <c r="T1770">
        <f>SUMIF(J:J,Table1[[#This Row],[Season]],F:F)</f>
        <v>55777</v>
      </c>
    </row>
    <row r="1771" spans="1:20" x14ac:dyDescent="0.3">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c r="S1771" t="str">
        <f>INDEX(Q:Q,MATCH(Table1[[#This Row],[Item Purchased]],D:D))</f>
        <v>Venmo</v>
      </c>
      <c r="T1771">
        <f>SUMIF(J:J,Table1[[#This Row],[Season]],F:F)</f>
        <v>58607</v>
      </c>
    </row>
    <row r="1772" spans="1:20" x14ac:dyDescent="0.3">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c r="S1772" t="e">
        <f>INDEX(Q:Q,MATCH(Table1[[#This Row],[Item Purchased]],D:D))</f>
        <v>#N/A</v>
      </c>
      <c r="T1772">
        <f>SUMIF(J:J,Table1[[#This Row],[Season]],F:F)</f>
        <v>60018</v>
      </c>
    </row>
    <row r="1773" spans="1:20" x14ac:dyDescent="0.3">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c r="S1773" t="str">
        <f>INDEX(Q:Q,MATCH(Table1[[#This Row],[Item Purchased]],D:D))</f>
        <v>Bank Transfer</v>
      </c>
      <c r="T1773">
        <f>SUMIF(J:J,Table1[[#This Row],[Season]],F:F)</f>
        <v>60018</v>
      </c>
    </row>
    <row r="1774" spans="1:20" x14ac:dyDescent="0.3">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c r="S1774" t="str">
        <f>INDEX(Q:Q,MATCH(Table1[[#This Row],[Item Purchased]],D:D))</f>
        <v>PayPal</v>
      </c>
      <c r="T1774">
        <f>SUMIF(J:J,Table1[[#This Row],[Season]],F:F)</f>
        <v>55777</v>
      </c>
    </row>
    <row r="1775" spans="1:20" x14ac:dyDescent="0.3">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c r="S1775" t="str">
        <f>INDEX(Q:Q,MATCH(Table1[[#This Row],[Item Purchased]],D:D))</f>
        <v>Debit Card</v>
      </c>
      <c r="T1775">
        <f>SUMIF(J:J,Table1[[#This Row],[Season]],F:F)</f>
        <v>55777</v>
      </c>
    </row>
    <row r="1776" spans="1:20" x14ac:dyDescent="0.3">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c r="S1776" t="str">
        <f>INDEX(Q:Q,MATCH(Table1[[#This Row],[Item Purchased]],D:D))</f>
        <v>Venmo</v>
      </c>
      <c r="T1776">
        <f>SUMIF(J:J,Table1[[#This Row],[Season]],F:F)</f>
        <v>58679</v>
      </c>
    </row>
    <row r="1777" spans="1:20" x14ac:dyDescent="0.3">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c r="S1777" t="str">
        <f>INDEX(Q:Q,MATCH(Table1[[#This Row],[Item Purchased]],D:D))</f>
        <v>Debit Card</v>
      </c>
      <c r="T1777">
        <f>SUMIF(J:J,Table1[[#This Row],[Season]],F:F)</f>
        <v>58679</v>
      </c>
    </row>
    <row r="1778" spans="1:20" x14ac:dyDescent="0.3">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c r="S1778" t="str">
        <f>INDEX(Q:Q,MATCH(Table1[[#This Row],[Item Purchased]],D:D))</f>
        <v>Debit Card</v>
      </c>
      <c r="T1778">
        <f>SUMIF(J:J,Table1[[#This Row],[Season]],F:F)</f>
        <v>55777</v>
      </c>
    </row>
    <row r="1779" spans="1:20" x14ac:dyDescent="0.3">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c r="S1779" t="str">
        <f>INDEX(Q:Q,MATCH(Table1[[#This Row],[Item Purchased]],D:D))</f>
        <v>Venmo</v>
      </c>
      <c r="T1779">
        <f>SUMIF(J:J,Table1[[#This Row],[Season]],F:F)</f>
        <v>58607</v>
      </c>
    </row>
    <row r="1780" spans="1:20" x14ac:dyDescent="0.3">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c r="S1780" t="e">
        <f>INDEX(Q:Q,MATCH(Table1[[#This Row],[Item Purchased]],D:D))</f>
        <v>#N/A</v>
      </c>
      <c r="T1780">
        <f>SUMIF(J:J,Table1[[#This Row],[Season]],F:F)</f>
        <v>58607</v>
      </c>
    </row>
    <row r="1781" spans="1:20" x14ac:dyDescent="0.3">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c r="S1781" t="str">
        <f>INDEX(Q:Q,MATCH(Table1[[#This Row],[Item Purchased]],D:D))</f>
        <v>Bank Transfer</v>
      </c>
      <c r="T1781">
        <f>SUMIF(J:J,Table1[[#This Row],[Season]],F:F)</f>
        <v>58607</v>
      </c>
    </row>
    <row r="1782" spans="1:20" x14ac:dyDescent="0.3">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c r="S1782" t="str">
        <f>INDEX(Q:Q,MATCH(Table1[[#This Row],[Item Purchased]],D:D))</f>
        <v>Cash</v>
      </c>
      <c r="T1782">
        <f>SUMIF(J:J,Table1[[#This Row],[Season]],F:F)</f>
        <v>55777</v>
      </c>
    </row>
    <row r="1783" spans="1:20" x14ac:dyDescent="0.3">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c r="S1783" t="str">
        <f>INDEX(Q:Q,MATCH(Table1[[#This Row],[Item Purchased]],D:D))</f>
        <v>Venmo</v>
      </c>
      <c r="T1783">
        <f>SUMIF(J:J,Table1[[#This Row],[Season]],F:F)</f>
        <v>60018</v>
      </c>
    </row>
    <row r="1784" spans="1:20" x14ac:dyDescent="0.3">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c r="S1784" t="str">
        <f>INDEX(Q:Q,MATCH(Table1[[#This Row],[Item Purchased]],D:D))</f>
        <v>Cash</v>
      </c>
      <c r="T1784">
        <f>SUMIF(J:J,Table1[[#This Row],[Season]],F:F)</f>
        <v>60018</v>
      </c>
    </row>
    <row r="1785" spans="1:20" x14ac:dyDescent="0.3">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c r="S1785" t="str">
        <f>INDEX(Q:Q,MATCH(Table1[[#This Row],[Item Purchased]],D:D))</f>
        <v>Cash</v>
      </c>
      <c r="T1785">
        <f>SUMIF(J:J,Table1[[#This Row],[Season]],F:F)</f>
        <v>58607</v>
      </c>
    </row>
    <row r="1786" spans="1:20" x14ac:dyDescent="0.3">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c r="S1786" t="e">
        <f>INDEX(Q:Q,MATCH(Table1[[#This Row],[Item Purchased]],D:D))</f>
        <v>#N/A</v>
      </c>
      <c r="T1786">
        <f>SUMIF(J:J,Table1[[#This Row],[Season]],F:F)</f>
        <v>55777</v>
      </c>
    </row>
    <row r="1787" spans="1:20" x14ac:dyDescent="0.3">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c r="S1787" t="str">
        <f>INDEX(Q:Q,MATCH(Table1[[#This Row],[Item Purchased]],D:D))</f>
        <v>Debit Card</v>
      </c>
      <c r="T1787">
        <f>SUMIF(J:J,Table1[[#This Row],[Season]],F:F)</f>
        <v>60018</v>
      </c>
    </row>
    <row r="1788" spans="1:20" x14ac:dyDescent="0.3">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c r="S1788" t="str">
        <f>INDEX(Q:Q,MATCH(Table1[[#This Row],[Item Purchased]],D:D))</f>
        <v>Debit Card</v>
      </c>
      <c r="T1788">
        <f>SUMIF(J:J,Table1[[#This Row],[Season]],F:F)</f>
        <v>58679</v>
      </c>
    </row>
    <row r="1789" spans="1:20" x14ac:dyDescent="0.3">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c r="S1789" t="str">
        <f>INDEX(Q:Q,MATCH(Table1[[#This Row],[Item Purchased]],D:D))</f>
        <v>Venmo</v>
      </c>
      <c r="T1789">
        <f>SUMIF(J:J,Table1[[#This Row],[Season]],F:F)</f>
        <v>60018</v>
      </c>
    </row>
    <row r="1790" spans="1:20" x14ac:dyDescent="0.3">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c r="S1790" t="str">
        <f>INDEX(Q:Q,MATCH(Table1[[#This Row],[Item Purchased]],D:D))</f>
        <v>Venmo</v>
      </c>
      <c r="T1790">
        <f>SUMIF(J:J,Table1[[#This Row],[Season]],F:F)</f>
        <v>55777</v>
      </c>
    </row>
    <row r="1791" spans="1:20" x14ac:dyDescent="0.3">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c r="S1791" t="str">
        <f>INDEX(Q:Q,MATCH(Table1[[#This Row],[Item Purchased]],D:D))</f>
        <v>Venmo</v>
      </c>
      <c r="T1791">
        <f>SUMIF(J:J,Table1[[#This Row],[Season]],F:F)</f>
        <v>58679</v>
      </c>
    </row>
    <row r="1792" spans="1:20" x14ac:dyDescent="0.3">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c r="S1792" t="str">
        <f>INDEX(Q:Q,MATCH(Table1[[#This Row],[Item Purchased]],D:D))</f>
        <v>Debit Card</v>
      </c>
      <c r="T1792">
        <f>SUMIF(J:J,Table1[[#This Row],[Season]],F:F)</f>
        <v>55777</v>
      </c>
    </row>
    <row r="1793" spans="1:20" x14ac:dyDescent="0.3">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c r="S1793" t="str">
        <f>INDEX(Q:Q,MATCH(Table1[[#This Row],[Item Purchased]],D:D))</f>
        <v>Cash</v>
      </c>
      <c r="T1793">
        <f>SUMIF(J:J,Table1[[#This Row],[Season]],F:F)</f>
        <v>58607</v>
      </c>
    </row>
    <row r="1794" spans="1:20" x14ac:dyDescent="0.3">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c r="S1794" t="str">
        <f>INDEX(Q:Q,MATCH(Table1[[#This Row],[Item Purchased]],D:D))</f>
        <v>Venmo</v>
      </c>
      <c r="T1794">
        <f>SUMIF(J:J,Table1[[#This Row],[Season]],F:F)</f>
        <v>60018</v>
      </c>
    </row>
    <row r="1795" spans="1:20" x14ac:dyDescent="0.3">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c r="S1795" t="str">
        <f>INDEX(Q:Q,MATCH(Table1[[#This Row],[Item Purchased]],D:D))</f>
        <v>Venmo</v>
      </c>
      <c r="T1795">
        <f>SUMIF(J:J,Table1[[#This Row],[Season]],F:F)</f>
        <v>60018</v>
      </c>
    </row>
    <row r="1796" spans="1:20" x14ac:dyDescent="0.3">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c r="S1796" t="e">
        <f>INDEX(Q:Q,MATCH(Table1[[#This Row],[Item Purchased]],D:D))</f>
        <v>#N/A</v>
      </c>
      <c r="T1796">
        <f>SUMIF(J:J,Table1[[#This Row],[Season]],F:F)</f>
        <v>58679</v>
      </c>
    </row>
    <row r="1797" spans="1:20" x14ac:dyDescent="0.3">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c r="S1797" t="str">
        <f>INDEX(Q:Q,MATCH(Table1[[#This Row],[Item Purchased]],D:D))</f>
        <v>Cash</v>
      </c>
      <c r="T1797">
        <f>SUMIF(J:J,Table1[[#This Row],[Season]],F:F)</f>
        <v>60018</v>
      </c>
    </row>
    <row r="1798" spans="1:20" x14ac:dyDescent="0.3">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c r="S1798" t="str">
        <f>INDEX(Q:Q,MATCH(Table1[[#This Row],[Item Purchased]],D:D))</f>
        <v>Credit Card</v>
      </c>
      <c r="T1798">
        <f>SUMIF(J:J,Table1[[#This Row],[Season]],F:F)</f>
        <v>58679</v>
      </c>
    </row>
    <row r="1799" spans="1:20" x14ac:dyDescent="0.3">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c r="S1799" t="e">
        <f>INDEX(Q:Q,MATCH(Table1[[#This Row],[Item Purchased]],D:D))</f>
        <v>#N/A</v>
      </c>
      <c r="T1799">
        <f>SUMIF(J:J,Table1[[#This Row],[Season]],F:F)</f>
        <v>58679</v>
      </c>
    </row>
    <row r="1800" spans="1:20" x14ac:dyDescent="0.3">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c r="S1800" t="str">
        <f>INDEX(Q:Q,MATCH(Table1[[#This Row],[Item Purchased]],D:D))</f>
        <v>Debit Card</v>
      </c>
      <c r="T1800">
        <f>SUMIF(J:J,Table1[[#This Row],[Season]],F:F)</f>
        <v>58607</v>
      </c>
    </row>
    <row r="1801" spans="1:20" x14ac:dyDescent="0.3">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c r="S1801" t="str">
        <f>INDEX(Q:Q,MATCH(Table1[[#This Row],[Item Purchased]],D:D))</f>
        <v>Venmo</v>
      </c>
      <c r="T1801">
        <f>SUMIF(J:J,Table1[[#This Row],[Season]],F:F)</f>
        <v>60018</v>
      </c>
    </row>
    <row r="1802" spans="1:20" x14ac:dyDescent="0.3">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c r="S1802" t="str">
        <f>INDEX(Q:Q,MATCH(Table1[[#This Row],[Item Purchased]],D:D))</f>
        <v>Debit Card</v>
      </c>
      <c r="T1802">
        <f>SUMIF(J:J,Table1[[#This Row],[Season]],F:F)</f>
        <v>58607</v>
      </c>
    </row>
    <row r="1803" spans="1:20" x14ac:dyDescent="0.3">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c r="S1803" t="str">
        <f>INDEX(Q:Q,MATCH(Table1[[#This Row],[Item Purchased]],D:D))</f>
        <v>Venmo</v>
      </c>
      <c r="T1803">
        <f>SUMIF(J:J,Table1[[#This Row],[Season]],F:F)</f>
        <v>58679</v>
      </c>
    </row>
    <row r="1804" spans="1:20" x14ac:dyDescent="0.3">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c r="S1804" t="str">
        <f>INDEX(Q:Q,MATCH(Table1[[#This Row],[Item Purchased]],D:D))</f>
        <v>PayPal</v>
      </c>
      <c r="T1804">
        <f>SUMIF(J:J,Table1[[#This Row],[Season]],F:F)</f>
        <v>58607</v>
      </c>
    </row>
    <row r="1805" spans="1:20" x14ac:dyDescent="0.3">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c r="S1805" t="str">
        <f>INDEX(Q:Q,MATCH(Table1[[#This Row],[Item Purchased]],D:D))</f>
        <v>Venmo</v>
      </c>
      <c r="T1805">
        <f>SUMIF(J:J,Table1[[#This Row],[Season]],F:F)</f>
        <v>55777</v>
      </c>
    </row>
    <row r="1806" spans="1:20" x14ac:dyDescent="0.3">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c r="S1806" t="str">
        <f>INDEX(Q:Q,MATCH(Table1[[#This Row],[Item Purchased]],D:D))</f>
        <v>Venmo</v>
      </c>
      <c r="T1806">
        <f>SUMIF(J:J,Table1[[#This Row],[Season]],F:F)</f>
        <v>58607</v>
      </c>
    </row>
    <row r="1807" spans="1:20" x14ac:dyDescent="0.3">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c r="S1807" t="str">
        <f>INDEX(Q:Q,MATCH(Table1[[#This Row],[Item Purchased]],D:D))</f>
        <v>Venmo</v>
      </c>
      <c r="T1807">
        <f>SUMIF(J:J,Table1[[#This Row],[Season]],F:F)</f>
        <v>58679</v>
      </c>
    </row>
    <row r="1808" spans="1:20" x14ac:dyDescent="0.3">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c r="S1808" t="str">
        <f>INDEX(Q:Q,MATCH(Table1[[#This Row],[Item Purchased]],D:D))</f>
        <v>Cash</v>
      </c>
      <c r="T1808">
        <f>SUMIF(J:J,Table1[[#This Row],[Season]],F:F)</f>
        <v>60018</v>
      </c>
    </row>
    <row r="1809" spans="1:20" x14ac:dyDescent="0.3">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c r="S1809" t="str">
        <f>INDEX(Q:Q,MATCH(Table1[[#This Row],[Item Purchased]],D:D))</f>
        <v>Venmo</v>
      </c>
      <c r="T1809">
        <f>SUMIF(J:J,Table1[[#This Row],[Season]],F:F)</f>
        <v>55777</v>
      </c>
    </row>
    <row r="1810" spans="1:20" x14ac:dyDescent="0.3">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c r="S1810" t="str">
        <f>INDEX(Q:Q,MATCH(Table1[[#This Row],[Item Purchased]],D:D))</f>
        <v>Debit Card</v>
      </c>
      <c r="T1810">
        <f>SUMIF(J:J,Table1[[#This Row],[Season]],F:F)</f>
        <v>58679</v>
      </c>
    </row>
    <row r="1811" spans="1:20" x14ac:dyDescent="0.3">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c r="S1811" t="e">
        <f>INDEX(Q:Q,MATCH(Table1[[#This Row],[Item Purchased]],D:D))</f>
        <v>#N/A</v>
      </c>
      <c r="T1811">
        <f>SUMIF(J:J,Table1[[#This Row],[Season]],F:F)</f>
        <v>60018</v>
      </c>
    </row>
    <row r="1812" spans="1:20" x14ac:dyDescent="0.3">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c r="S1812" t="str">
        <f>INDEX(Q:Q,MATCH(Table1[[#This Row],[Item Purchased]],D:D))</f>
        <v>Cash</v>
      </c>
      <c r="T1812">
        <f>SUMIF(J:J,Table1[[#This Row],[Season]],F:F)</f>
        <v>60018</v>
      </c>
    </row>
    <row r="1813" spans="1:20" x14ac:dyDescent="0.3">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c r="S1813" t="e">
        <f>INDEX(Q:Q,MATCH(Table1[[#This Row],[Item Purchased]],D:D))</f>
        <v>#N/A</v>
      </c>
      <c r="T1813">
        <f>SUMIF(J:J,Table1[[#This Row],[Season]],F:F)</f>
        <v>55777</v>
      </c>
    </row>
    <row r="1814" spans="1:20" x14ac:dyDescent="0.3">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c r="S1814" t="str">
        <f>INDEX(Q:Q,MATCH(Table1[[#This Row],[Item Purchased]],D:D))</f>
        <v>Venmo</v>
      </c>
      <c r="T1814">
        <f>SUMIF(J:J,Table1[[#This Row],[Season]],F:F)</f>
        <v>55777</v>
      </c>
    </row>
    <row r="1815" spans="1:20" x14ac:dyDescent="0.3">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c r="S1815" t="str">
        <f>INDEX(Q:Q,MATCH(Table1[[#This Row],[Item Purchased]],D:D))</f>
        <v>PayPal</v>
      </c>
      <c r="T1815">
        <f>SUMIF(J:J,Table1[[#This Row],[Season]],F:F)</f>
        <v>58679</v>
      </c>
    </row>
    <row r="1816" spans="1:20" x14ac:dyDescent="0.3">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c r="S1816" t="str">
        <f>INDEX(Q:Q,MATCH(Table1[[#This Row],[Item Purchased]],D:D))</f>
        <v>Cash</v>
      </c>
      <c r="T1816">
        <f>SUMIF(J:J,Table1[[#This Row],[Season]],F:F)</f>
        <v>55777</v>
      </c>
    </row>
    <row r="1817" spans="1:20" x14ac:dyDescent="0.3">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c r="S1817" t="str">
        <f>INDEX(Q:Q,MATCH(Table1[[#This Row],[Item Purchased]],D:D))</f>
        <v>PayPal</v>
      </c>
      <c r="T1817">
        <f>SUMIF(J:J,Table1[[#This Row],[Season]],F:F)</f>
        <v>58607</v>
      </c>
    </row>
    <row r="1818" spans="1:20" x14ac:dyDescent="0.3">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c r="S1818" t="str">
        <f>INDEX(Q:Q,MATCH(Table1[[#This Row],[Item Purchased]],D:D))</f>
        <v>Venmo</v>
      </c>
      <c r="T1818">
        <f>SUMIF(J:J,Table1[[#This Row],[Season]],F:F)</f>
        <v>55777</v>
      </c>
    </row>
    <row r="1819" spans="1:20" x14ac:dyDescent="0.3">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c r="S1819" t="str">
        <f>INDEX(Q:Q,MATCH(Table1[[#This Row],[Item Purchased]],D:D))</f>
        <v>Venmo</v>
      </c>
      <c r="T1819">
        <f>SUMIF(J:J,Table1[[#This Row],[Season]],F:F)</f>
        <v>55777</v>
      </c>
    </row>
    <row r="1820" spans="1:20" x14ac:dyDescent="0.3">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c r="S1820" t="str">
        <f>INDEX(Q:Q,MATCH(Table1[[#This Row],[Item Purchased]],D:D))</f>
        <v>Venmo</v>
      </c>
      <c r="T1820">
        <f>SUMIF(J:J,Table1[[#This Row],[Season]],F:F)</f>
        <v>60018</v>
      </c>
    </row>
    <row r="1821" spans="1:20" x14ac:dyDescent="0.3">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c r="S1821" t="str">
        <f>INDEX(Q:Q,MATCH(Table1[[#This Row],[Item Purchased]],D:D))</f>
        <v>Venmo</v>
      </c>
      <c r="T1821">
        <f>SUMIF(J:J,Table1[[#This Row],[Season]],F:F)</f>
        <v>58679</v>
      </c>
    </row>
    <row r="1822" spans="1:20" x14ac:dyDescent="0.3">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c r="S1822" t="str">
        <f>INDEX(Q:Q,MATCH(Table1[[#This Row],[Item Purchased]],D:D))</f>
        <v>Bank Transfer</v>
      </c>
      <c r="T1822">
        <f>SUMIF(J:J,Table1[[#This Row],[Season]],F:F)</f>
        <v>60018</v>
      </c>
    </row>
    <row r="1823" spans="1:20" x14ac:dyDescent="0.3">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c r="S1823" t="str">
        <f>INDEX(Q:Q,MATCH(Table1[[#This Row],[Item Purchased]],D:D))</f>
        <v>PayPal</v>
      </c>
      <c r="T1823">
        <f>SUMIF(J:J,Table1[[#This Row],[Season]],F:F)</f>
        <v>58679</v>
      </c>
    </row>
    <row r="1824" spans="1:20" x14ac:dyDescent="0.3">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c r="S1824" t="str">
        <f>INDEX(Q:Q,MATCH(Table1[[#This Row],[Item Purchased]],D:D))</f>
        <v>Bank Transfer</v>
      </c>
      <c r="T1824">
        <f>SUMIF(J:J,Table1[[#This Row],[Season]],F:F)</f>
        <v>55777</v>
      </c>
    </row>
    <row r="1825" spans="1:20" x14ac:dyDescent="0.3">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c r="S1825" t="str">
        <f>INDEX(Q:Q,MATCH(Table1[[#This Row],[Item Purchased]],D:D))</f>
        <v>Venmo</v>
      </c>
      <c r="T1825">
        <f>SUMIF(J:J,Table1[[#This Row],[Season]],F:F)</f>
        <v>60018</v>
      </c>
    </row>
    <row r="1826" spans="1:20" x14ac:dyDescent="0.3">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c r="S1826" t="str">
        <f>INDEX(Q:Q,MATCH(Table1[[#This Row],[Item Purchased]],D:D))</f>
        <v>Cash</v>
      </c>
      <c r="T1826">
        <f>SUMIF(J:J,Table1[[#This Row],[Season]],F:F)</f>
        <v>58607</v>
      </c>
    </row>
    <row r="1827" spans="1:20" x14ac:dyDescent="0.3">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c r="S1827" t="str">
        <f>INDEX(Q:Q,MATCH(Table1[[#This Row],[Item Purchased]],D:D))</f>
        <v>Venmo</v>
      </c>
      <c r="T1827">
        <f>SUMIF(J:J,Table1[[#This Row],[Season]],F:F)</f>
        <v>58607</v>
      </c>
    </row>
    <row r="1828" spans="1:20" x14ac:dyDescent="0.3">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c r="S1828" t="str">
        <f>INDEX(Q:Q,MATCH(Table1[[#This Row],[Item Purchased]],D:D))</f>
        <v>Venmo</v>
      </c>
      <c r="T1828">
        <f>SUMIF(J:J,Table1[[#This Row],[Season]],F:F)</f>
        <v>58607</v>
      </c>
    </row>
    <row r="1829" spans="1:20" x14ac:dyDescent="0.3">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c r="S1829" t="str">
        <f>INDEX(Q:Q,MATCH(Table1[[#This Row],[Item Purchased]],D:D))</f>
        <v>Venmo</v>
      </c>
      <c r="T1829">
        <f>SUMIF(J:J,Table1[[#This Row],[Season]],F:F)</f>
        <v>58679</v>
      </c>
    </row>
    <row r="1830" spans="1:20" x14ac:dyDescent="0.3">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c r="S1830" t="str">
        <f>INDEX(Q:Q,MATCH(Table1[[#This Row],[Item Purchased]],D:D))</f>
        <v>Debit Card</v>
      </c>
      <c r="T1830">
        <f>SUMIF(J:J,Table1[[#This Row],[Season]],F:F)</f>
        <v>58679</v>
      </c>
    </row>
    <row r="1831" spans="1:20" x14ac:dyDescent="0.3">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c r="S1831" t="str">
        <f>INDEX(Q:Q,MATCH(Table1[[#This Row],[Item Purchased]],D:D))</f>
        <v>Venmo</v>
      </c>
      <c r="T1831">
        <f>SUMIF(J:J,Table1[[#This Row],[Season]],F:F)</f>
        <v>58679</v>
      </c>
    </row>
    <row r="1832" spans="1:20" x14ac:dyDescent="0.3">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c r="S1832" t="str">
        <f>INDEX(Q:Q,MATCH(Table1[[#This Row],[Item Purchased]],D:D))</f>
        <v>Venmo</v>
      </c>
      <c r="T1832">
        <f>SUMIF(J:J,Table1[[#This Row],[Season]],F:F)</f>
        <v>58607</v>
      </c>
    </row>
    <row r="1833" spans="1:20" x14ac:dyDescent="0.3">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c r="S1833" t="str">
        <f>INDEX(Q:Q,MATCH(Table1[[#This Row],[Item Purchased]],D:D))</f>
        <v>Venmo</v>
      </c>
      <c r="T1833">
        <f>SUMIF(J:J,Table1[[#This Row],[Season]],F:F)</f>
        <v>55777</v>
      </c>
    </row>
    <row r="1834" spans="1:20" x14ac:dyDescent="0.3">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c r="S1834" t="str">
        <f>INDEX(Q:Q,MATCH(Table1[[#This Row],[Item Purchased]],D:D))</f>
        <v>Cash</v>
      </c>
      <c r="T1834">
        <f>SUMIF(J:J,Table1[[#This Row],[Season]],F:F)</f>
        <v>60018</v>
      </c>
    </row>
    <row r="1835" spans="1:20" x14ac:dyDescent="0.3">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c r="S1835" t="str">
        <f>INDEX(Q:Q,MATCH(Table1[[#This Row],[Item Purchased]],D:D))</f>
        <v>Cash</v>
      </c>
      <c r="T1835">
        <f>SUMIF(J:J,Table1[[#This Row],[Season]],F:F)</f>
        <v>58679</v>
      </c>
    </row>
    <row r="1836" spans="1:20" x14ac:dyDescent="0.3">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c r="S1836" t="str">
        <f>INDEX(Q:Q,MATCH(Table1[[#This Row],[Item Purchased]],D:D))</f>
        <v>Credit Card</v>
      </c>
      <c r="T1836">
        <f>SUMIF(J:J,Table1[[#This Row],[Season]],F:F)</f>
        <v>55777</v>
      </c>
    </row>
    <row r="1837" spans="1:20" x14ac:dyDescent="0.3">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c r="S1837" t="str">
        <f>INDEX(Q:Q,MATCH(Table1[[#This Row],[Item Purchased]],D:D))</f>
        <v>Bank Transfer</v>
      </c>
      <c r="T1837">
        <f>SUMIF(J:J,Table1[[#This Row],[Season]],F:F)</f>
        <v>60018</v>
      </c>
    </row>
    <row r="1838" spans="1:20" x14ac:dyDescent="0.3">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c r="S1838" t="str">
        <f>INDEX(Q:Q,MATCH(Table1[[#This Row],[Item Purchased]],D:D))</f>
        <v>Cash</v>
      </c>
      <c r="T1838">
        <f>SUMIF(J:J,Table1[[#This Row],[Season]],F:F)</f>
        <v>60018</v>
      </c>
    </row>
    <row r="1839" spans="1:20" x14ac:dyDescent="0.3">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c r="S1839" t="str">
        <f>INDEX(Q:Q,MATCH(Table1[[#This Row],[Item Purchased]],D:D))</f>
        <v>Venmo</v>
      </c>
      <c r="T1839">
        <f>SUMIF(J:J,Table1[[#This Row],[Season]],F:F)</f>
        <v>58607</v>
      </c>
    </row>
    <row r="1840" spans="1:20" x14ac:dyDescent="0.3">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c r="S1840" t="str">
        <f>INDEX(Q:Q,MATCH(Table1[[#This Row],[Item Purchased]],D:D))</f>
        <v>Debit Card</v>
      </c>
      <c r="T1840">
        <f>SUMIF(J:J,Table1[[#This Row],[Season]],F:F)</f>
        <v>60018</v>
      </c>
    </row>
    <row r="1841" spans="1:20" x14ac:dyDescent="0.3">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c r="S1841" t="str">
        <f>INDEX(Q:Q,MATCH(Table1[[#This Row],[Item Purchased]],D:D))</f>
        <v>Bank Transfer</v>
      </c>
      <c r="T1841">
        <f>SUMIF(J:J,Table1[[#This Row],[Season]],F:F)</f>
        <v>58607</v>
      </c>
    </row>
    <row r="1842" spans="1:20" x14ac:dyDescent="0.3">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c r="S1842" t="str">
        <f>INDEX(Q:Q,MATCH(Table1[[#This Row],[Item Purchased]],D:D))</f>
        <v>Bank Transfer</v>
      </c>
      <c r="T1842">
        <f>SUMIF(J:J,Table1[[#This Row],[Season]],F:F)</f>
        <v>58607</v>
      </c>
    </row>
    <row r="1843" spans="1:20" x14ac:dyDescent="0.3">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c r="S1843" t="str">
        <f>INDEX(Q:Q,MATCH(Table1[[#This Row],[Item Purchased]],D:D))</f>
        <v>Venmo</v>
      </c>
      <c r="T1843">
        <f>SUMIF(J:J,Table1[[#This Row],[Season]],F:F)</f>
        <v>58607</v>
      </c>
    </row>
    <row r="1844" spans="1:20" x14ac:dyDescent="0.3">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c r="S1844" t="str">
        <f>INDEX(Q:Q,MATCH(Table1[[#This Row],[Item Purchased]],D:D))</f>
        <v>Cash</v>
      </c>
      <c r="T1844">
        <f>SUMIF(J:J,Table1[[#This Row],[Season]],F:F)</f>
        <v>55777</v>
      </c>
    </row>
    <row r="1845" spans="1:20" x14ac:dyDescent="0.3">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c r="S1845" t="str">
        <f>INDEX(Q:Q,MATCH(Table1[[#This Row],[Item Purchased]],D:D))</f>
        <v>Debit Card</v>
      </c>
      <c r="T1845">
        <f>SUMIF(J:J,Table1[[#This Row],[Season]],F:F)</f>
        <v>60018</v>
      </c>
    </row>
    <row r="1846" spans="1:20" x14ac:dyDescent="0.3">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c r="S1846" t="str">
        <f>INDEX(Q:Q,MATCH(Table1[[#This Row],[Item Purchased]],D:D))</f>
        <v>PayPal</v>
      </c>
      <c r="T1846">
        <f>SUMIF(J:J,Table1[[#This Row],[Season]],F:F)</f>
        <v>58679</v>
      </c>
    </row>
    <row r="1847" spans="1:20" x14ac:dyDescent="0.3">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c r="S1847" t="str">
        <f>INDEX(Q:Q,MATCH(Table1[[#This Row],[Item Purchased]],D:D))</f>
        <v>Bank Transfer</v>
      </c>
      <c r="T1847">
        <f>SUMIF(J:J,Table1[[#This Row],[Season]],F:F)</f>
        <v>58607</v>
      </c>
    </row>
    <row r="1848" spans="1:20" x14ac:dyDescent="0.3">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c r="S1848" t="str">
        <f>INDEX(Q:Q,MATCH(Table1[[#This Row],[Item Purchased]],D:D))</f>
        <v>Bank Transfer</v>
      </c>
      <c r="T1848">
        <f>SUMIF(J:J,Table1[[#This Row],[Season]],F:F)</f>
        <v>55777</v>
      </c>
    </row>
    <row r="1849" spans="1:20" x14ac:dyDescent="0.3">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c r="S1849" t="str">
        <f>INDEX(Q:Q,MATCH(Table1[[#This Row],[Item Purchased]],D:D))</f>
        <v>Bank Transfer</v>
      </c>
      <c r="T1849">
        <f>SUMIF(J:J,Table1[[#This Row],[Season]],F:F)</f>
        <v>55777</v>
      </c>
    </row>
    <row r="1850" spans="1:20" x14ac:dyDescent="0.3">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c r="S1850" t="str">
        <f>INDEX(Q:Q,MATCH(Table1[[#This Row],[Item Purchased]],D:D))</f>
        <v>Cash</v>
      </c>
      <c r="T1850">
        <f>SUMIF(J:J,Table1[[#This Row],[Season]],F:F)</f>
        <v>58607</v>
      </c>
    </row>
    <row r="1851" spans="1:20" x14ac:dyDescent="0.3">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c r="S1851" t="str">
        <f>INDEX(Q:Q,MATCH(Table1[[#This Row],[Item Purchased]],D:D))</f>
        <v>Credit Card</v>
      </c>
      <c r="T1851">
        <f>SUMIF(J:J,Table1[[#This Row],[Season]],F:F)</f>
        <v>58607</v>
      </c>
    </row>
    <row r="1852" spans="1:20" x14ac:dyDescent="0.3">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c r="S1852" t="str">
        <f>INDEX(Q:Q,MATCH(Table1[[#This Row],[Item Purchased]],D:D))</f>
        <v>Debit Card</v>
      </c>
      <c r="T1852">
        <f>SUMIF(J:J,Table1[[#This Row],[Season]],F:F)</f>
        <v>58607</v>
      </c>
    </row>
    <row r="1853" spans="1:20" x14ac:dyDescent="0.3">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c r="S1853" t="str">
        <f>INDEX(Q:Q,MATCH(Table1[[#This Row],[Item Purchased]],D:D))</f>
        <v>Credit Card</v>
      </c>
      <c r="T1853">
        <f>SUMIF(J:J,Table1[[#This Row],[Season]],F:F)</f>
        <v>60018</v>
      </c>
    </row>
    <row r="1854" spans="1:20" x14ac:dyDescent="0.3">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c r="S1854" t="str">
        <f>INDEX(Q:Q,MATCH(Table1[[#This Row],[Item Purchased]],D:D))</f>
        <v>Venmo</v>
      </c>
      <c r="T1854">
        <f>SUMIF(J:J,Table1[[#This Row],[Season]],F:F)</f>
        <v>58607</v>
      </c>
    </row>
    <row r="1855" spans="1:20" x14ac:dyDescent="0.3">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c r="S1855" t="str">
        <f>INDEX(Q:Q,MATCH(Table1[[#This Row],[Item Purchased]],D:D))</f>
        <v>Venmo</v>
      </c>
      <c r="T1855">
        <f>SUMIF(J:J,Table1[[#This Row],[Season]],F:F)</f>
        <v>58679</v>
      </c>
    </row>
    <row r="1856" spans="1:20" x14ac:dyDescent="0.3">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c r="S1856" t="str">
        <f>INDEX(Q:Q,MATCH(Table1[[#This Row],[Item Purchased]],D:D))</f>
        <v>Venmo</v>
      </c>
      <c r="T1856">
        <f>SUMIF(J:J,Table1[[#This Row],[Season]],F:F)</f>
        <v>58679</v>
      </c>
    </row>
    <row r="1857" spans="1:20" x14ac:dyDescent="0.3">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c r="S1857" t="str">
        <f>INDEX(Q:Q,MATCH(Table1[[#This Row],[Item Purchased]],D:D))</f>
        <v>Bank Transfer</v>
      </c>
      <c r="T1857">
        <f>SUMIF(J:J,Table1[[#This Row],[Season]],F:F)</f>
        <v>58679</v>
      </c>
    </row>
    <row r="1858" spans="1:20" x14ac:dyDescent="0.3">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c r="S1858" t="str">
        <f>INDEX(Q:Q,MATCH(Table1[[#This Row],[Item Purchased]],D:D))</f>
        <v>Cash</v>
      </c>
      <c r="T1858">
        <f>SUMIF(J:J,Table1[[#This Row],[Season]],F:F)</f>
        <v>55777</v>
      </c>
    </row>
    <row r="1859" spans="1:20" x14ac:dyDescent="0.3">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c r="S1859" t="str">
        <f>INDEX(Q:Q,MATCH(Table1[[#This Row],[Item Purchased]],D:D))</f>
        <v>Venmo</v>
      </c>
      <c r="T1859">
        <f>SUMIF(J:J,Table1[[#This Row],[Season]],F:F)</f>
        <v>55777</v>
      </c>
    </row>
    <row r="1860" spans="1:20" x14ac:dyDescent="0.3">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c r="S1860" t="str">
        <f>INDEX(Q:Q,MATCH(Table1[[#This Row],[Item Purchased]],D:D))</f>
        <v>Bank Transfer</v>
      </c>
      <c r="T1860">
        <f>SUMIF(J:J,Table1[[#This Row],[Season]],F:F)</f>
        <v>58679</v>
      </c>
    </row>
    <row r="1861" spans="1:20" x14ac:dyDescent="0.3">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c r="S1861" t="e">
        <f>INDEX(Q:Q,MATCH(Table1[[#This Row],[Item Purchased]],D:D))</f>
        <v>#N/A</v>
      </c>
      <c r="T1861">
        <f>SUMIF(J:J,Table1[[#This Row],[Season]],F:F)</f>
        <v>55777</v>
      </c>
    </row>
    <row r="1862" spans="1:20" x14ac:dyDescent="0.3">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c r="S1862" t="str">
        <f>INDEX(Q:Q,MATCH(Table1[[#This Row],[Item Purchased]],D:D))</f>
        <v>Venmo</v>
      </c>
      <c r="T1862">
        <f>SUMIF(J:J,Table1[[#This Row],[Season]],F:F)</f>
        <v>55777</v>
      </c>
    </row>
    <row r="1863" spans="1:20" x14ac:dyDescent="0.3">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c r="S1863" t="str">
        <f>INDEX(Q:Q,MATCH(Table1[[#This Row],[Item Purchased]],D:D))</f>
        <v>Venmo</v>
      </c>
      <c r="T1863">
        <f>SUMIF(J:J,Table1[[#This Row],[Season]],F:F)</f>
        <v>60018</v>
      </c>
    </row>
    <row r="1864" spans="1:20" x14ac:dyDescent="0.3">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c r="S1864" t="str">
        <f>INDEX(Q:Q,MATCH(Table1[[#This Row],[Item Purchased]],D:D))</f>
        <v>Debit Card</v>
      </c>
      <c r="T1864">
        <f>SUMIF(J:J,Table1[[#This Row],[Season]],F:F)</f>
        <v>58607</v>
      </c>
    </row>
    <row r="1865" spans="1:20" x14ac:dyDescent="0.3">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c r="S1865" t="str">
        <f>INDEX(Q:Q,MATCH(Table1[[#This Row],[Item Purchased]],D:D))</f>
        <v>Bank Transfer</v>
      </c>
      <c r="T1865">
        <f>SUMIF(J:J,Table1[[#This Row],[Season]],F:F)</f>
        <v>58679</v>
      </c>
    </row>
    <row r="1866" spans="1:20" x14ac:dyDescent="0.3">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c r="S1866" t="e">
        <f>INDEX(Q:Q,MATCH(Table1[[#This Row],[Item Purchased]],D:D))</f>
        <v>#N/A</v>
      </c>
      <c r="T1866">
        <f>SUMIF(J:J,Table1[[#This Row],[Season]],F:F)</f>
        <v>60018</v>
      </c>
    </row>
    <row r="1867" spans="1:20" x14ac:dyDescent="0.3">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c r="S1867" t="str">
        <f>INDEX(Q:Q,MATCH(Table1[[#This Row],[Item Purchased]],D:D))</f>
        <v>Cash</v>
      </c>
      <c r="T1867">
        <f>SUMIF(J:J,Table1[[#This Row],[Season]],F:F)</f>
        <v>55777</v>
      </c>
    </row>
    <row r="1868" spans="1:20" x14ac:dyDescent="0.3">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c r="S1868" t="str">
        <f>INDEX(Q:Q,MATCH(Table1[[#This Row],[Item Purchased]],D:D))</f>
        <v>Venmo</v>
      </c>
      <c r="T1868">
        <f>SUMIF(J:J,Table1[[#This Row],[Season]],F:F)</f>
        <v>58607</v>
      </c>
    </row>
    <row r="1869" spans="1:20" x14ac:dyDescent="0.3">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c r="S1869" t="str">
        <f>INDEX(Q:Q,MATCH(Table1[[#This Row],[Item Purchased]],D:D))</f>
        <v>Credit Card</v>
      </c>
      <c r="T1869">
        <f>SUMIF(J:J,Table1[[#This Row],[Season]],F:F)</f>
        <v>60018</v>
      </c>
    </row>
    <row r="1870" spans="1:20" x14ac:dyDescent="0.3">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c r="S1870" t="str">
        <f>INDEX(Q:Q,MATCH(Table1[[#This Row],[Item Purchased]],D:D))</f>
        <v>Debit Card</v>
      </c>
      <c r="T1870">
        <f>SUMIF(J:J,Table1[[#This Row],[Season]],F:F)</f>
        <v>58679</v>
      </c>
    </row>
    <row r="1871" spans="1:20" x14ac:dyDescent="0.3">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c r="S1871" t="str">
        <f>INDEX(Q:Q,MATCH(Table1[[#This Row],[Item Purchased]],D:D))</f>
        <v>Venmo</v>
      </c>
      <c r="T1871">
        <f>SUMIF(J:J,Table1[[#This Row],[Season]],F:F)</f>
        <v>58679</v>
      </c>
    </row>
    <row r="1872" spans="1:20" x14ac:dyDescent="0.3">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c r="S1872" t="str">
        <f>INDEX(Q:Q,MATCH(Table1[[#This Row],[Item Purchased]],D:D))</f>
        <v>Venmo</v>
      </c>
      <c r="T1872">
        <f>SUMIF(J:J,Table1[[#This Row],[Season]],F:F)</f>
        <v>58679</v>
      </c>
    </row>
    <row r="1873" spans="1:20" x14ac:dyDescent="0.3">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c r="S1873" t="str">
        <f>INDEX(Q:Q,MATCH(Table1[[#This Row],[Item Purchased]],D:D))</f>
        <v>Cash</v>
      </c>
      <c r="T1873">
        <f>SUMIF(J:J,Table1[[#This Row],[Season]],F:F)</f>
        <v>60018</v>
      </c>
    </row>
    <row r="1874" spans="1:20" x14ac:dyDescent="0.3">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c r="S1874" t="str">
        <f>INDEX(Q:Q,MATCH(Table1[[#This Row],[Item Purchased]],D:D))</f>
        <v>Venmo</v>
      </c>
      <c r="T1874">
        <f>SUMIF(J:J,Table1[[#This Row],[Season]],F:F)</f>
        <v>55777</v>
      </c>
    </row>
    <row r="1875" spans="1:20" x14ac:dyDescent="0.3">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c r="S1875" t="str">
        <f>INDEX(Q:Q,MATCH(Table1[[#This Row],[Item Purchased]],D:D))</f>
        <v>Venmo</v>
      </c>
      <c r="T1875">
        <f>SUMIF(J:J,Table1[[#This Row],[Season]],F:F)</f>
        <v>60018</v>
      </c>
    </row>
    <row r="1876" spans="1:20" x14ac:dyDescent="0.3">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c r="S1876" t="str">
        <f>INDEX(Q:Q,MATCH(Table1[[#This Row],[Item Purchased]],D:D))</f>
        <v>Cash</v>
      </c>
      <c r="T1876">
        <f>SUMIF(J:J,Table1[[#This Row],[Season]],F:F)</f>
        <v>60018</v>
      </c>
    </row>
    <row r="1877" spans="1:20" x14ac:dyDescent="0.3">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c r="S1877" t="str">
        <f>INDEX(Q:Q,MATCH(Table1[[#This Row],[Item Purchased]],D:D))</f>
        <v>Venmo</v>
      </c>
      <c r="T1877">
        <f>SUMIF(J:J,Table1[[#This Row],[Season]],F:F)</f>
        <v>58607</v>
      </c>
    </row>
    <row r="1878" spans="1:20" x14ac:dyDescent="0.3">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c r="S1878" t="str">
        <f>INDEX(Q:Q,MATCH(Table1[[#This Row],[Item Purchased]],D:D))</f>
        <v>Credit Card</v>
      </c>
      <c r="T1878">
        <f>SUMIF(J:J,Table1[[#This Row],[Season]],F:F)</f>
        <v>60018</v>
      </c>
    </row>
    <row r="1879" spans="1:20" x14ac:dyDescent="0.3">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c r="S1879" t="str">
        <f>INDEX(Q:Q,MATCH(Table1[[#This Row],[Item Purchased]],D:D))</f>
        <v>Debit Card</v>
      </c>
      <c r="T1879">
        <f>SUMIF(J:J,Table1[[#This Row],[Season]],F:F)</f>
        <v>60018</v>
      </c>
    </row>
    <row r="1880" spans="1:20" x14ac:dyDescent="0.3">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c r="S1880" t="str">
        <f>INDEX(Q:Q,MATCH(Table1[[#This Row],[Item Purchased]],D:D))</f>
        <v>Venmo</v>
      </c>
      <c r="T1880">
        <f>SUMIF(J:J,Table1[[#This Row],[Season]],F:F)</f>
        <v>55777</v>
      </c>
    </row>
    <row r="1881" spans="1:20" x14ac:dyDescent="0.3">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c r="S1881" t="str">
        <f>INDEX(Q:Q,MATCH(Table1[[#This Row],[Item Purchased]],D:D))</f>
        <v>Venmo</v>
      </c>
      <c r="T1881">
        <f>SUMIF(J:J,Table1[[#This Row],[Season]],F:F)</f>
        <v>58679</v>
      </c>
    </row>
    <row r="1882" spans="1:20" x14ac:dyDescent="0.3">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c r="S1882" t="str">
        <f>INDEX(Q:Q,MATCH(Table1[[#This Row],[Item Purchased]],D:D))</f>
        <v>Venmo</v>
      </c>
      <c r="T1882">
        <f>SUMIF(J:J,Table1[[#This Row],[Season]],F:F)</f>
        <v>60018</v>
      </c>
    </row>
    <row r="1883" spans="1:20" x14ac:dyDescent="0.3">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c r="S1883" t="str">
        <f>INDEX(Q:Q,MATCH(Table1[[#This Row],[Item Purchased]],D:D))</f>
        <v>Venmo</v>
      </c>
      <c r="T1883">
        <f>SUMIF(J:J,Table1[[#This Row],[Season]],F:F)</f>
        <v>58607</v>
      </c>
    </row>
    <row r="1884" spans="1:20" x14ac:dyDescent="0.3">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c r="S1884" t="str">
        <f>INDEX(Q:Q,MATCH(Table1[[#This Row],[Item Purchased]],D:D))</f>
        <v>Bank Transfer</v>
      </c>
      <c r="T1884">
        <f>SUMIF(J:J,Table1[[#This Row],[Season]],F:F)</f>
        <v>58607</v>
      </c>
    </row>
    <row r="1885" spans="1:20" x14ac:dyDescent="0.3">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c r="S1885" t="e">
        <f>INDEX(Q:Q,MATCH(Table1[[#This Row],[Item Purchased]],D:D))</f>
        <v>#N/A</v>
      </c>
      <c r="T1885">
        <f>SUMIF(J:J,Table1[[#This Row],[Season]],F:F)</f>
        <v>58679</v>
      </c>
    </row>
    <row r="1886" spans="1:20" x14ac:dyDescent="0.3">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c r="S1886" t="str">
        <f>INDEX(Q:Q,MATCH(Table1[[#This Row],[Item Purchased]],D:D))</f>
        <v>PayPal</v>
      </c>
      <c r="T1886">
        <f>SUMIF(J:J,Table1[[#This Row],[Season]],F:F)</f>
        <v>55777</v>
      </c>
    </row>
    <row r="1887" spans="1:20" x14ac:dyDescent="0.3">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c r="S1887" t="str">
        <f>INDEX(Q:Q,MATCH(Table1[[#This Row],[Item Purchased]],D:D))</f>
        <v>Cash</v>
      </c>
      <c r="T1887">
        <f>SUMIF(J:J,Table1[[#This Row],[Season]],F:F)</f>
        <v>58607</v>
      </c>
    </row>
    <row r="1888" spans="1:20" x14ac:dyDescent="0.3">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c r="S1888" t="str">
        <f>INDEX(Q:Q,MATCH(Table1[[#This Row],[Item Purchased]],D:D))</f>
        <v>Debit Card</v>
      </c>
      <c r="T1888">
        <f>SUMIF(J:J,Table1[[#This Row],[Season]],F:F)</f>
        <v>58679</v>
      </c>
    </row>
    <row r="1889" spans="1:20" x14ac:dyDescent="0.3">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c r="S1889" t="str">
        <f>INDEX(Q:Q,MATCH(Table1[[#This Row],[Item Purchased]],D:D))</f>
        <v>Venmo</v>
      </c>
      <c r="T1889">
        <f>SUMIF(J:J,Table1[[#This Row],[Season]],F:F)</f>
        <v>60018</v>
      </c>
    </row>
    <row r="1890" spans="1:20" x14ac:dyDescent="0.3">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c r="S1890" t="str">
        <f>INDEX(Q:Q,MATCH(Table1[[#This Row],[Item Purchased]],D:D))</f>
        <v>Venmo</v>
      </c>
      <c r="T1890">
        <f>SUMIF(J:J,Table1[[#This Row],[Season]],F:F)</f>
        <v>58607</v>
      </c>
    </row>
    <row r="1891" spans="1:20" x14ac:dyDescent="0.3">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c r="S1891" t="str">
        <f>INDEX(Q:Q,MATCH(Table1[[#This Row],[Item Purchased]],D:D))</f>
        <v>Credit Card</v>
      </c>
      <c r="T1891">
        <f>SUMIF(J:J,Table1[[#This Row],[Season]],F:F)</f>
        <v>58679</v>
      </c>
    </row>
    <row r="1892" spans="1:20" x14ac:dyDescent="0.3">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c r="S1892" t="str">
        <f>INDEX(Q:Q,MATCH(Table1[[#This Row],[Item Purchased]],D:D))</f>
        <v>Venmo</v>
      </c>
      <c r="T1892">
        <f>SUMIF(J:J,Table1[[#This Row],[Season]],F:F)</f>
        <v>58679</v>
      </c>
    </row>
    <row r="1893" spans="1:20" x14ac:dyDescent="0.3">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c r="S1893" t="str">
        <f>INDEX(Q:Q,MATCH(Table1[[#This Row],[Item Purchased]],D:D))</f>
        <v>Cash</v>
      </c>
      <c r="T1893">
        <f>SUMIF(J:J,Table1[[#This Row],[Season]],F:F)</f>
        <v>55777</v>
      </c>
    </row>
    <row r="1894" spans="1:20" x14ac:dyDescent="0.3">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c r="S1894" t="str">
        <f>INDEX(Q:Q,MATCH(Table1[[#This Row],[Item Purchased]],D:D))</f>
        <v>Debit Card</v>
      </c>
      <c r="T1894">
        <f>SUMIF(J:J,Table1[[#This Row],[Season]],F:F)</f>
        <v>60018</v>
      </c>
    </row>
    <row r="1895" spans="1:20" x14ac:dyDescent="0.3">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c r="S1895" t="str">
        <f>INDEX(Q:Q,MATCH(Table1[[#This Row],[Item Purchased]],D:D))</f>
        <v>Debit Card</v>
      </c>
      <c r="T1895">
        <f>SUMIF(J:J,Table1[[#This Row],[Season]],F:F)</f>
        <v>55777</v>
      </c>
    </row>
    <row r="1896" spans="1:20" x14ac:dyDescent="0.3">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c r="S1896" t="str">
        <f>INDEX(Q:Q,MATCH(Table1[[#This Row],[Item Purchased]],D:D))</f>
        <v>Venmo</v>
      </c>
      <c r="T1896">
        <f>SUMIF(J:J,Table1[[#This Row],[Season]],F:F)</f>
        <v>60018</v>
      </c>
    </row>
    <row r="1897" spans="1:20" x14ac:dyDescent="0.3">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c r="S1897" t="str">
        <f>INDEX(Q:Q,MATCH(Table1[[#This Row],[Item Purchased]],D:D))</f>
        <v>Cash</v>
      </c>
      <c r="T1897">
        <f>SUMIF(J:J,Table1[[#This Row],[Season]],F:F)</f>
        <v>60018</v>
      </c>
    </row>
    <row r="1898" spans="1:20" x14ac:dyDescent="0.3">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c r="S1898" t="str">
        <f>INDEX(Q:Q,MATCH(Table1[[#This Row],[Item Purchased]],D:D))</f>
        <v>Bank Transfer</v>
      </c>
      <c r="T1898">
        <f>SUMIF(J:J,Table1[[#This Row],[Season]],F:F)</f>
        <v>60018</v>
      </c>
    </row>
    <row r="1899" spans="1:20" x14ac:dyDescent="0.3">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c r="S1899" t="str">
        <f>INDEX(Q:Q,MATCH(Table1[[#This Row],[Item Purchased]],D:D))</f>
        <v>Venmo</v>
      </c>
      <c r="T1899">
        <f>SUMIF(J:J,Table1[[#This Row],[Season]],F:F)</f>
        <v>58607</v>
      </c>
    </row>
    <row r="1900" spans="1:20" x14ac:dyDescent="0.3">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c r="S1900" t="str">
        <f>INDEX(Q:Q,MATCH(Table1[[#This Row],[Item Purchased]],D:D))</f>
        <v>Cash</v>
      </c>
      <c r="T1900">
        <f>SUMIF(J:J,Table1[[#This Row],[Season]],F:F)</f>
        <v>60018</v>
      </c>
    </row>
    <row r="1901" spans="1:20" x14ac:dyDescent="0.3">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c r="S1901" t="str">
        <f>INDEX(Q:Q,MATCH(Table1[[#This Row],[Item Purchased]],D:D))</f>
        <v>PayPal</v>
      </c>
      <c r="T1901">
        <f>SUMIF(J:J,Table1[[#This Row],[Season]],F:F)</f>
        <v>58607</v>
      </c>
    </row>
    <row r="1902" spans="1:20" x14ac:dyDescent="0.3">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c r="S1902" t="str">
        <f>INDEX(Q:Q,MATCH(Table1[[#This Row],[Item Purchased]],D:D))</f>
        <v>Cash</v>
      </c>
      <c r="T1902">
        <f>SUMIF(J:J,Table1[[#This Row],[Season]],F:F)</f>
        <v>55777</v>
      </c>
    </row>
    <row r="1903" spans="1:20" x14ac:dyDescent="0.3">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c r="S1903" t="str">
        <f>INDEX(Q:Q,MATCH(Table1[[#This Row],[Item Purchased]],D:D))</f>
        <v>Venmo</v>
      </c>
      <c r="T1903">
        <f>SUMIF(J:J,Table1[[#This Row],[Season]],F:F)</f>
        <v>58607</v>
      </c>
    </row>
    <row r="1904" spans="1:20" x14ac:dyDescent="0.3">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c r="S1904" t="str">
        <f>INDEX(Q:Q,MATCH(Table1[[#This Row],[Item Purchased]],D:D))</f>
        <v>Bank Transfer</v>
      </c>
      <c r="T1904">
        <f>SUMIF(J:J,Table1[[#This Row],[Season]],F:F)</f>
        <v>58679</v>
      </c>
    </row>
    <row r="1905" spans="1:20" x14ac:dyDescent="0.3">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c r="S1905" t="str">
        <f>INDEX(Q:Q,MATCH(Table1[[#This Row],[Item Purchased]],D:D))</f>
        <v>Cash</v>
      </c>
      <c r="T1905">
        <f>SUMIF(J:J,Table1[[#This Row],[Season]],F:F)</f>
        <v>55777</v>
      </c>
    </row>
    <row r="1906" spans="1:20" x14ac:dyDescent="0.3">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c r="S1906" t="str">
        <f>INDEX(Q:Q,MATCH(Table1[[#This Row],[Item Purchased]],D:D))</f>
        <v>Venmo</v>
      </c>
      <c r="T1906">
        <f>SUMIF(J:J,Table1[[#This Row],[Season]],F:F)</f>
        <v>58679</v>
      </c>
    </row>
    <row r="1907" spans="1:20" x14ac:dyDescent="0.3">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c r="S1907" t="str">
        <f>INDEX(Q:Q,MATCH(Table1[[#This Row],[Item Purchased]],D:D))</f>
        <v>Venmo</v>
      </c>
      <c r="T1907">
        <f>SUMIF(J:J,Table1[[#This Row],[Season]],F:F)</f>
        <v>55777</v>
      </c>
    </row>
    <row r="1908" spans="1:20" x14ac:dyDescent="0.3">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c r="S1908" t="e">
        <f>INDEX(Q:Q,MATCH(Table1[[#This Row],[Item Purchased]],D:D))</f>
        <v>#N/A</v>
      </c>
      <c r="T1908">
        <f>SUMIF(J:J,Table1[[#This Row],[Season]],F:F)</f>
        <v>58679</v>
      </c>
    </row>
    <row r="1909" spans="1:20" x14ac:dyDescent="0.3">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c r="S1909" t="str">
        <f>INDEX(Q:Q,MATCH(Table1[[#This Row],[Item Purchased]],D:D))</f>
        <v>Credit Card</v>
      </c>
      <c r="T1909">
        <f>SUMIF(J:J,Table1[[#This Row],[Season]],F:F)</f>
        <v>60018</v>
      </c>
    </row>
    <row r="1910" spans="1:20" x14ac:dyDescent="0.3">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c r="S1910" t="str">
        <f>INDEX(Q:Q,MATCH(Table1[[#This Row],[Item Purchased]],D:D))</f>
        <v>Bank Transfer</v>
      </c>
      <c r="T1910">
        <f>SUMIF(J:J,Table1[[#This Row],[Season]],F:F)</f>
        <v>58607</v>
      </c>
    </row>
    <row r="1911" spans="1:20" x14ac:dyDescent="0.3">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c r="S1911" t="str">
        <f>INDEX(Q:Q,MATCH(Table1[[#This Row],[Item Purchased]],D:D))</f>
        <v>Venmo</v>
      </c>
      <c r="T1911">
        <f>SUMIF(J:J,Table1[[#This Row],[Season]],F:F)</f>
        <v>58679</v>
      </c>
    </row>
    <row r="1912" spans="1:20" x14ac:dyDescent="0.3">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c r="S1912" t="str">
        <f>INDEX(Q:Q,MATCH(Table1[[#This Row],[Item Purchased]],D:D))</f>
        <v>Bank Transfer</v>
      </c>
      <c r="T1912">
        <f>SUMIF(J:J,Table1[[#This Row],[Season]],F:F)</f>
        <v>60018</v>
      </c>
    </row>
    <row r="1913" spans="1:20" x14ac:dyDescent="0.3">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c r="S1913" t="str">
        <f>INDEX(Q:Q,MATCH(Table1[[#This Row],[Item Purchased]],D:D))</f>
        <v>Cash</v>
      </c>
      <c r="T1913">
        <f>SUMIF(J:J,Table1[[#This Row],[Season]],F:F)</f>
        <v>58679</v>
      </c>
    </row>
    <row r="1914" spans="1:20" x14ac:dyDescent="0.3">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c r="S1914" t="str">
        <f>INDEX(Q:Q,MATCH(Table1[[#This Row],[Item Purchased]],D:D))</f>
        <v>Venmo</v>
      </c>
      <c r="T1914">
        <f>SUMIF(J:J,Table1[[#This Row],[Season]],F:F)</f>
        <v>58607</v>
      </c>
    </row>
    <row r="1915" spans="1:20" x14ac:dyDescent="0.3">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c r="S1915" t="str">
        <f>INDEX(Q:Q,MATCH(Table1[[#This Row],[Item Purchased]],D:D))</f>
        <v>Credit Card</v>
      </c>
      <c r="T1915">
        <f>SUMIF(J:J,Table1[[#This Row],[Season]],F:F)</f>
        <v>58607</v>
      </c>
    </row>
    <row r="1916" spans="1:20" x14ac:dyDescent="0.3">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c r="S1916" t="str">
        <f>INDEX(Q:Q,MATCH(Table1[[#This Row],[Item Purchased]],D:D))</f>
        <v>PayPal</v>
      </c>
      <c r="T1916">
        <f>SUMIF(J:J,Table1[[#This Row],[Season]],F:F)</f>
        <v>60018</v>
      </c>
    </row>
    <row r="1917" spans="1:20" x14ac:dyDescent="0.3">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c r="S1917" t="e">
        <f>INDEX(Q:Q,MATCH(Table1[[#This Row],[Item Purchased]],D:D))</f>
        <v>#N/A</v>
      </c>
      <c r="T1917">
        <f>SUMIF(J:J,Table1[[#This Row],[Season]],F:F)</f>
        <v>60018</v>
      </c>
    </row>
    <row r="1918" spans="1:20" x14ac:dyDescent="0.3">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c r="S1918" t="str">
        <f>INDEX(Q:Q,MATCH(Table1[[#This Row],[Item Purchased]],D:D))</f>
        <v>Venmo</v>
      </c>
      <c r="T1918">
        <f>SUMIF(J:J,Table1[[#This Row],[Season]],F:F)</f>
        <v>58607</v>
      </c>
    </row>
    <row r="1919" spans="1:20" x14ac:dyDescent="0.3">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c r="S1919" t="str">
        <f>INDEX(Q:Q,MATCH(Table1[[#This Row],[Item Purchased]],D:D))</f>
        <v>Credit Card</v>
      </c>
      <c r="T1919">
        <f>SUMIF(J:J,Table1[[#This Row],[Season]],F:F)</f>
        <v>58607</v>
      </c>
    </row>
    <row r="1920" spans="1:20" x14ac:dyDescent="0.3">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c r="S1920" t="str">
        <f>INDEX(Q:Q,MATCH(Table1[[#This Row],[Item Purchased]],D:D))</f>
        <v>Credit Card</v>
      </c>
      <c r="T1920">
        <f>SUMIF(J:J,Table1[[#This Row],[Season]],F:F)</f>
        <v>55777</v>
      </c>
    </row>
    <row r="1921" spans="1:20" x14ac:dyDescent="0.3">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c r="S1921" t="e">
        <f>INDEX(Q:Q,MATCH(Table1[[#This Row],[Item Purchased]],D:D))</f>
        <v>#N/A</v>
      </c>
      <c r="T1921">
        <f>SUMIF(J:J,Table1[[#This Row],[Season]],F:F)</f>
        <v>55777</v>
      </c>
    </row>
    <row r="1922" spans="1:20" x14ac:dyDescent="0.3">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c r="S1922" t="str">
        <f>INDEX(Q:Q,MATCH(Table1[[#This Row],[Item Purchased]],D:D))</f>
        <v>Venmo</v>
      </c>
      <c r="T1922">
        <f>SUMIF(J:J,Table1[[#This Row],[Season]],F:F)</f>
        <v>58679</v>
      </c>
    </row>
    <row r="1923" spans="1:20" x14ac:dyDescent="0.3">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c r="S1923" t="str">
        <f>INDEX(Q:Q,MATCH(Table1[[#This Row],[Item Purchased]],D:D))</f>
        <v>Bank Transfer</v>
      </c>
      <c r="T1923">
        <f>SUMIF(J:J,Table1[[#This Row],[Season]],F:F)</f>
        <v>60018</v>
      </c>
    </row>
    <row r="1924" spans="1:20" x14ac:dyDescent="0.3">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c r="S1924" t="str">
        <f>INDEX(Q:Q,MATCH(Table1[[#This Row],[Item Purchased]],D:D))</f>
        <v>Debit Card</v>
      </c>
      <c r="T1924">
        <f>SUMIF(J:J,Table1[[#This Row],[Season]],F:F)</f>
        <v>55777</v>
      </c>
    </row>
    <row r="1925" spans="1:20" x14ac:dyDescent="0.3">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c r="S1925" t="str">
        <f>INDEX(Q:Q,MATCH(Table1[[#This Row],[Item Purchased]],D:D))</f>
        <v>Bank Transfer</v>
      </c>
      <c r="T1925">
        <f>SUMIF(J:J,Table1[[#This Row],[Season]],F:F)</f>
        <v>55777</v>
      </c>
    </row>
    <row r="1926" spans="1:20" x14ac:dyDescent="0.3">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c r="S1926" t="str">
        <f>INDEX(Q:Q,MATCH(Table1[[#This Row],[Item Purchased]],D:D))</f>
        <v>Debit Card</v>
      </c>
      <c r="T1926">
        <f>SUMIF(J:J,Table1[[#This Row],[Season]],F:F)</f>
        <v>60018</v>
      </c>
    </row>
    <row r="1927" spans="1:20" x14ac:dyDescent="0.3">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c r="S1927" t="str">
        <f>INDEX(Q:Q,MATCH(Table1[[#This Row],[Item Purchased]],D:D))</f>
        <v>Venmo</v>
      </c>
      <c r="T1927">
        <f>SUMIF(J:J,Table1[[#This Row],[Season]],F:F)</f>
        <v>58607</v>
      </c>
    </row>
    <row r="1928" spans="1:20" x14ac:dyDescent="0.3">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c r="S1928" t="e">
        <f>INDEX(Q:Q,MATCH(Table1[[#This Row],[Item Purchased]],D:D))</f>
        <v>#N/A</v>
      </c>
      <c r="T1928">
        <f>SUMIF(J:J,Table1[[#This Row],[Season]],F:F)</f>
        <v>58679</v>
      </c>
    </row>
    <row r="1929" spans="1:20" x14ac:dyDescent="0.3">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c r="S1929" t="str">
        <f>INDEX(Q:Q,MATCH(Table1[[#This Row],[Item Purchased]],D:D))</f>
        <v>Cash</v>
      </c>
      <c r="T1929">
        <f>SUMIF(J:J,Table1[[#This Row],[Season]],F:F)</f>
        <v>55777</v>
      </c>
    </row>
    <row r="1930" spans="1:20" x14ac:dyDescent="0.3">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c r="S1930" t="str">
        <f>INDEX(Q:Q,MATCH(Table1[[#This Row],[Item Purchased]],D:D))</f>
        <v>Venmo</v>
      </c>
      <c r="T1930">
        <f>SUMIF(J:J,Table1[[#This Row],[Season]],F:F)</f>
        <v>55777</v>
      </c>
    </row>
    <row r="1931" spans="1:20" x14ac:dyDescent="0.3">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c r="S1931" t="str">
        <f>INDEX(Q:Q,MATCH(Table1[[#This Row],[Item Purchased]],D:D))</f>
        <v>Cash</v>
      </c>
      <c r="T1931">
        <f>SUMIF(J:J,Table1[[#This Row],[Season]],F:F)</f>
        <v>60018</v>
      </c>
    </row>
    <row r="1932" spans="1:20" x14ac:dyDescent="0.3">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c r="S1932" t="str">
        <f>INDEX(Q:Q,MATCH(Table1[[#This Row],[Item Purchased]],D:D))</f>
        <v>Cash</v>
      </c>
      <c r="T1932">
        <f>SUMIF(J:J,Table1[[#This Row],[Season]],F:F)</f>
        <v>58679</v>
      </c>
    </row>
    <row r="1933" spans="1:20" x14ac:dyDescent="0.3">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c r="S1933" t="str">
        <f>INDEX(Q:Q,MATCH(Table1[[#This Row],[Item Purchased]],D:D))</f>
        <v>Cash</v>
      </c>
      <c r="T1933">
        <f>SUMIF(J:J,Table1[[#This Row],[Season]],F:F)</f>
        <v>58679</v>
      </c>
    </row>
    <row r="1934" spans="1:20" x14ac:dyDescent="0.3">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c r="S1934" t="str">
        <f>INDEX(Q:Q,MATCH(Table1[[#This Row],[Item Purchased]],D:D))</f>
        <v>Venmo</v>
      </c>
      <c r="T1934">
        <f>SUMIF(J:J,Table1[[#This Row],[Season]],F:F)</f>
        <v>58679</v>
      </c>
    </row>
    <row r="1935" spans="1:20" x14ac:dyDescent="0.3">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c r="S1935" t="str">
        <f>INDEX(Q:Q,MATCH(Table1[[#This Row],[Item Purchased]],D:D))</f>
        <v>Bank Transfer</v>
      </c>
      <c r="T1935">
        <f>SUMIF(J:J,Table1[[#This Row],[Season]],F:F)</f>
        <v>55777</v>
      </c>
    </row>
    <row r="1936" spans="1:20" x14ac:dyDescent="0.3">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c r="S1936" t="str">
        <f>INDEX(Q:Q,MATCH(Table1[[#This Row],[Item Purchased]],D:D))</f>
        <v>Debit Card</v>
      </c>
      <c r="T1936">
        <f>SUMIF(J:J,Table1[[#This Row],[Season]],F:F)</f>
        <v>58607</v>
      </c>
    </row>
    <row r="1937" spans="1:20" x14ac:dyDescent="0.3">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c r="S1937" t="str">
        <f>INDEX(Q:Q,MATCH(Table1[[#This Row],[Item Purchased]],D:D))</f>
        <v>Venmo</v>
      </c>
      <c r="T1937">
        <f>SUMIF(J:J,Table1[[#This Row],[Season]],F:F)</f>
        <v>58679</v>
      </c>
    </row>
    <row r="1938" spans="1:20" x14ac:dyDescent="0.3">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c r="S1938" t="str">
        <f>INDEX(Q:Q,MATCH(Table1[[#This Row],[Item Purchased]],D:D))</f>
        <v>Cash</v>
      </c>
      <c r="T1938">
        <f>SUMIF(J:J,Table1[[#This Row],[Season]],F:F)</f>
        <v>55777</v>
      </c>
    </row>
    <row r="1939" spans="1:20" x14ac:dyDescent="0.3">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c r="S1939" t="str">
        <f>INDEX(Q:Q,MATCH(Table1[[#This Row],[Item Purchased]],D:D))</f>
        <v>Venmo</v>
      </c>
      <c r="T1939">
        <f>SUMIF(J:J,Table1[[#This Row],[Season]],F:F)</f>
        <v>55777</v>
      </c>
    </row>
    <row r="1940" spans="1:20" x14ac:dyDescent="0.3">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c r="S1940" t="str">
        <f>INDEX(Q:Q,MATCH(Table1[[#This Row],[Item Purchased]],D:D))</f>
        <v>Cash</v>
      </c>
      <c r="T1940">
        <f>SUMIF(J:J,Table1[[#This Row],[Season]],F:F)</f>
        <v>58679</v>
      </c>
    </row>
    <row r="1941" spans="1:20" x14ac:dyDescent="0.3">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c r="S1941" t="str">
        <f>INDEX(Q:Q,MATCH(Table1[[#This Row],[Item Purchased]],D:D))</f>
        <v>Debit Card</v>
      </c>
      <c r="T1941">
        <f>SUMIF(J:J,Table1[[#This Row],[Season]],F:F)</f>
        <v>58607</v>
      </c>
    </row>
    <row r="1942" spans="1:20" x14ac:dyDescent="0.3">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c r="S1942" t="str">
        <f>INDEX(Q:Q,MATCH(Table1[[#This Row],[Item Purchased]],D:D))</f>
        <v>Venmo</v>
      </c>
      <c r="T1942">
        <f>SUMIF(J:J,Table1[[#This Row],[Season]],F:F)</f>
        <v>60018</v>
      </c>
    </row>
    <row r="1943" spans="1:20" x14ac:dyDescent="0.3">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c r="S1943" t="str">
        <f>INDEX(Q:Q,MATCH(Table1[[#This Row],[Item Purchased]],D:D))</f>
        <v>PayPal</v>
      </c>
      <c r="T1943">
        <f>SUMIF(J:J,Table1[[#This Row],[Season]],F:F)</f>
        <v>58607</v>
      </c>
    </row>
    <row r="1944" spans="1:20" x14ac:dyDescent="0.3">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c r="S1944" t="str">
        <f>INDEX(Q:Q,MATCH(Table1[[#This Row],[Item Purchased]],D:D))</f>
        <v>Cash</v>
      </c>
      <c r="T1944">
        <f>SUMIF(J:J,Table1[[#This Row],[Season]],F:F)</f>
        <v>60018</v>
      </c>
    </row>
    <row r="1945" spans="1:20" x14ac:dyDescent="0.3">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c r="S1945" t="str">
        <f>INDEX(Q:Q,MATCH(Table1[[#This Row],[Item Purchased]],D:D))</f>
        <v>Venmo</v>
      </c>
      <c r="T1945">
        <f>SUMIF(J:J,Table1[[#This Row],[Season]],F:F)</f>
        <v>55777</v>
      </c>
    </row>
    <row r="1946" spans="1:20" x14ac:dyDescent="0.3">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c r="S1946" t="str">
        <f>INDEX(Q:Q,MATCH(Table1[[#This Row],[Item Purchased]],D:D))</f>
        <v>Venmo</v>
      </c>
      <c r="T1946">
        <f>SUMIF(J:J,Table1[[#This Row],[Season]],F:F)</f>
        <v>58607</v>
      </c>
    </row>
    <row r="1947" spans="1:20" x14ac:dyDescent="0.3">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c r="S1947" t="str">
        <f>INDEX(Q:Q,MATCH(Table1[[#This Row],[Item Purchased]],D:D))</f>
        <v>Venmo</v>
      </c>
      <c r="T1947">
        <f>SUMIF(J:J,Table1[[#This Row],[Season]],F:F)</f>
        <v>58607</v>
      </c>
    </row>
    <row r="1948" spans="1:20" x14ac:dyDescent="0.3">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c r="S1948" t="str">
        <f>INDEX(Q:Q,MATCH(Table1[[#This Row],[Item Purchased]],D:D))</f>
        <v>Cash</v>
      </c>
      <c r="T1948">
        <f>SUMIF(J:J,Table1[[#This Row],[Season]],F:F)</f>
        <v>55777</v>
      </c>
    </row>
    <row r="1949" spans="1:20" x14ac:dyDescent="0.3">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c r="S1949" t="str">
        <f>INDEX(Q:Q,MATCH(Table1[[#This Row],[Item Purchased]],D:D))</f>
        <v>Bank Transfer</v>
      </c>
      <c r="T1949">
        <f>SUMIF(J:J,Table1[[#This Row],[Season]],F:F)</f>
        <v>55777</v>
      </c>
    </row>
    <row r="1950" spans="1:20" x14ac:dyDescent="0.3">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c r="S1950" t="str">
        <f>INDEX(Q:Q,MATCH(Table1[[#This Row],[Item Purchased]],D:D))</f>
        <v>Venmo</v>
      </c>
      <c r="T1950">
        <f>SUMIF(J:J,Table1[[#This Row],[Season]],F:F)</f>
        <v>58607</v>
      </c>
    </row>
    <row r="1951" spans="1:20" x14ac:dyDescent="0.3">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c r="S1951" t="str">
        <f>INDEX(Q:Q,MATCH(Table1[[#This Row],[Item Purchased]],D:D))</f>
        <v>Debit Card</v>
      </c>
      <c r="T1951">
        <f>SUMIF(J:J,Table1[[#This Row],[Season]],F:F)</f>
        <v>58607</v>
      </c>
    </row>
    <row r="1952" spans="1:20" x14ac:dyDescent="0.3">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c r="S1952" t="e">
        <f>INDEX(Q:Q,MATCH(Table1[[#This Row],[Item Purchased]],D:D))</f>
        <v>#N/A</v>
      </c>
      <c r="T1952">
        <f>SUMIF(J:J,Table1[[#This Row],[Season]],F:F)</f>
        <v>55777</v>
      </c>
    </row>
    <row r="1953" spans="1:20" x14ac:dyDescent="0.3">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c r="S1953" t="str">
        <f>INDEX(Q:Q,MATCH(Table1[[#This Row],[Item Purchased]],D:D))</f>
        <v>Debit Card</v>
      </c>
      <c r="T1953">
        <f>SUMIF(J:J,Table1[[#This Row],[Season]],F:F)</f>
        <v>55777</v>
      </c>
    </row>
    <row r="1954" spans="1:20" x14ac:dyDescent="0.3">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c r="S1954" t="str">
        <f>INDEX(Q:Q,MATCH(Table1[[#This Row],[Item Purchased]],D:D))</f>
        <v>PayPal</v>
      </c>
      <c r="T1954">
        <f>SUMIF(J:J,Table1[[#This Row],[Season]],F:F)</f>
        <v>55777</v>
      </c>
    </row>
    <row r="1955" spans="1:20" x14ac:dyDescent="0.3">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c r="S1955" t="str">
        <f>INDEX(Q:Q,MATCH(Table1[[#This Row],[Item Purchased]],D:D))</f>
        <v>Credit Card</v>
      </c>
      <c r="T1955">
        <f>SUMIF(J:J,Table1[[#This Row],[Season]],F:F)</f>
        <v>58679</v>
      </c>
    </row>
    <row r="1956" spans="1:20" x14ac:dyDescent="0.3">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c r="S1956" t="str">
        <f>INDEX(Q:Q,MATCH(Table1[[#This Row],[Item Purchased]],D:D))</f>
        <v>Debit Card</v>
      </c>
      <c r="T1956">
        <f>SUMIF(J:J,Table1[[#This Row],[Season]],F:F)</f>
        <v>58607</v>
      </c>
    </row>
    <row r="1957" spans="1:20" x14ac:dyDescent="0.3">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c r="S1957" t="str">
        <f>INDEX(Q:Q,MATCH(Table1[[#This Row],[Item Purchased]],D:D))</f>
        <v>Venmo</v>
      </c>
      <c r="T1957">
        <f>SUMIF(J:J,Table1[[#This Row],[Season]],F:F)</f>
        <v>58607</v>
      </c>
    </row>
    <row r="1958" spans="1:20" x14ac:dyDescent="0.3">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c r="S1958" t="str">
        <f>INDEX(Q:Q,MATCH(Table1[[#This Row],[Item Purchased]],D:D))</f>
        <v>Venmo</v>
      </c>
      <c r="T1958">
        <f>SUMIF(J:J,Table1[[#This Row],[Season]],F:F)</f>
        <v>58607</v>
      </c>
    </row>
    <row r="1959" spans="1:20" x14ac:dyDescent="0.3">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c r="S1959" t="str">
        <f>INDEX(Q:Q,MATCH(Table1[[#This Row],[Item Purchased]],D:D))</f>
        <v>Debit Card</v>
      </c>
      <c r="T1959">
        <f>SUMIF(J:J,Table1[[#This Row],[Season]],F:F)</f>
        <v>58679</v>
      </c>
    </row>
    <row r="1960" spans="1:20" x14ac:dyDescent="0.3">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c r="S1960" t="str">
        <f>INDEX(Q:Q,MATCH(Table1[[#This Row],[Item Purchased]],D:D))</f>
        <v>PayPal</v>
      </c>
      <c r="T1960">
        <f>SUMIF(J:J,Table1[[#This Row],[Season]],F:F)</f>
        <v>58607</v>
      </c>
    </row>
    <row r="1961" spans="1:20" x14ac:dyDescent="0.3">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c r="S1961" t="str">
        <f>INDEX(Q:Q,MATCH(Table1[[#This Row],[Item Purchased]],D:D))</f>
        <v>PayPal</v>
      </c>
      <c r="T1961">
        <f>SUMIF(J:J,Table1[[#This Row],[Season]],F:F)</f>
        <v>60018</v>
      </c>
    </row>
    <row r="1962" spans="1:20" x14ac:dyDescent="0.3">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c r="S1962" t="str">
        <f>INDEX(Q:Q,MATCH(Table1[[#This Row],[Item Purchased]],D:D))</f>
        <v>Cash</v>
      </c>
      <c r="T1962">
        <f>SUMIF(J:J,Table1[[#This Row],[Season]],F:F)</f>
        <v>55777</v>
      </c>
    </row>
    <row r="1963" spans="1:20" x14ac:dyDescent="0.3">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c r="S1963" t="str">
        <f>INDEX(Q:Q,MATCH(Table1[[#This Row],[Item Purchased]],D:D))</f>
        <v>Venmo</v>
      </c>
      <c r="T1963">
        <f>SUMIF(J:J,Table1[[#This Row],[Season]],F:F)</f>
        <v>55777</v>
      </c>
    </row>
    <row r="1964" spans="1:20" x14ac:dyDescent="0.3">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c r="S1964" t="str">
        <f>INDEX(Q:Q,MATCH(Table1[[#This Row],[Item Purchased]],D:D))</f>
        <v>Venmo</v>
      </c>
      <c r="T1964">
        <f>SUMIF(J:J,Table1[[#This Row],[Season]],F:F)</f>
        <v>60018</v>
      </c>
    </row>
    <row r="1965" spans="1:20" x14ac:dyDescent="0.3">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c r="S1965" t="str">
        <f>INDEX(Q:Q,MATCH(Table1[[#This Row],[Item Purchased]],D:D))</f>
        <v>PayPal</v>
      </c>
      <c r="T1965">
        <f>SUMIF(J:J,Table1[[#This Row],[Season]],F:F)</f>
        <v>58679</v>
      </c>
    </row>
    <row r="1966" spans="1:20" x14ac:dyDescent="0.3">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c r="S1966" t="str">
        <f>INDEX(Q:Q,MATCH(Table1[[#This Row],[Item Purchased]],D:D))</f>
        <v>Cash</v>
      </c>
      <c r="T1966">
        <f>SUMIF(J:J,Table1[[#This Row],[Season]],F:F)</f>
        <v>55777</v>
      </c>
    </row>
    <row r="1967" spans="1:20" x14ac:dyDescent="0.3">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c r="S1967" t="str">
        <f>INDEX(Q:Q,MATCH(Table1[[#This Row],[Item Purchased]],D:D))</f>
        <v>Venmo</v>
      </c>
      <c r="T1967">
        <f>SUMIF(J:J,Table1[[#This Row],[Season]],F:F)</f>
        <v>60018</v>
      </c>
    </row>
    <row r="1968" spans="1:20" x14ac:dyDescent="0.3">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c r="S1968" t="str">
        <f>INDEX(Q:Q,MATCH(Table1[[#This Row],[Item Purchased]],D:D))</f>
        <v>Debit Card</v>
      </c>
      <c r="T1968">
        <f>SUMIF(J:J,Table1[[#This Row],[Season]],F:F)</f>
        <v>58607</v>
      </c>
    </row>
    <row r="1969" spans="1:20" x14ac:dyDescent="0.3">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c r="S1969" t="str">
        <f>INDEX(Q:Q,MATCH(Table1[[#This Row],[Item Purchased]],D:D))</f>
        <v>Debit Card</v>
      </c>
      <c r="T1969">
        <f>SUMIF(J:J,Table1[[#This Row],[Season]],F:F)</f>
        <v>60018</v>
      </c>
    </row>
    <row r="1970" spans="1:20" x14ac:dyDescent="0.3">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c r="S1970" t="str">
        <f>INDEX(Q:Q,MATCH(Table1[[#This Row],[Item Purchased]],D:D))</f>
        <v>Bank Transfer</v>
      </c>
      <c r="T1970">
        <f>SUMIF(J:J,Table1[[#This Row],[Season]],F:F)</f>
        <v>58679</v>
      </c>
    </row>
    <row r="1971" spans="1:20" x14ac:dyDescent="0.3">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c r="S1971" t="str">
        <f>INDEX(Q:Q,MATCH(Table1[[#This Row],[Item Purchased]],D:D))</f>
        <v>Debit Card</v>
      </c>
      <c r="T1971">
        <f>SUMIF(J:J,Table1[[#This Row],[Season]],F:F)</f>
        <v>58607</v>
      </c>
    </row>
    <row r="1972" spans="1:20" x14ac:dyDescent="0.3">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c r="S1972" t="e">
        <f>INDEX(Q:Q,MATCH(Table1[[#This Row],[Item Purchased]],D:D))</f>
        <v>#N/A</v>
      </c>
      <c r="T1972">
        <f>SUMIF(J:J,Table1[[#This Row],[Season]],F:F)</f>
        <v>58679</v>
      </c>
    </row>
    <row r="1973" spans="1:20" x14ac:dyDescent="0.3">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c r="S1973" t="str">
        <f>INDEX(Q:Q,MATCH(Table1[[#This Row],[Item Purchased]],D:D))</f>
        <v>Venmo</v>
      </c>
      <c r="T1973">
        <f>SUMIF(J:J,Table1[[#This Row],[Season]],F:F)</f>
        <v>58679</v>
      </c>
    </row>
    <row r="1974" spans="1:20" x14ac:dyDescent="0.3">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c r="S1974" t="e">
        <f>INDEX(Q:Q,MATCH(Table1[[#This Row],[Item Purchased]],D:D))</f>
        <v>#N/A</v>
      </c>
      <c r="T1974">
        <f>SUMIF(J:J,Table1[[#This Row],[Season]],F:F)</f>
        <v>55777</v>
      </c>
    </row>
    <row r="1975" spans="1:20" x14ac:dyDescent="0.3">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c r="S1975" t="str">
        <f>INDEX(Q:Q,MATCH(Table1[[#This Row],[Item Purchased]],D:D))</f>
        <v>Credit Card</v>
      </c>
      <c r="T1975">
        <f>SUMIF(J:J,Table1[[#This Row],[Season]],F:F)</f>
        <v>60018</v>
      </c>
    </row>
    <row r="1976" spans="1:20" x14ac:dyDescent="0.3">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c r="S1976" t="str">
        <f>INDEX(Q:Q,MATCH(Table1[[#This Row],[Item Purchased]],D:D))</f>
        <v>Debit Card</v>
      </c>
      <c r="T1976">
        <f>SUMIF(J:J,Table1[[#This Row],[Season]],F:F)</f>
        <v>58607</v>
      </c>
    </row>
    <row r="1977" spans="1:20" x14ac:dyDescent="0.3">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c r="S1977" t="str">
        <f>INDEX(Q:Q,MATCH(Table1[[#This Row],[Item Purchased]],D:D))</f>
        <v>Debit Card</v>
      </c>
      <c r="T1977">
        <f>SUMIF(J:J,Table1[[#This Row],[Season]],F:F)</f>
        <v>60018</v>
      </c>
    </row>
    <row r="1978" spans="1:20" x14ac:dyDescent="0.3">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c r="S1978" t="str">
        <f>INDEX(Q:Q,MATCH(Table1[[#This Row],[Item Purchased]],D:D))</f>
        <v>Cash</v>
      </c>
      <c r="T1978">
        <f>SUMIF(J:J,Table1[[#This Row],[Season]],F:F)</f>
        <v>58679</v>
      </c>
    </row>
    <row r="1979" spans="1:20" x14ac:dyDescent="0.3">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c r="S1979" t="str">
        <f>INDEX(Q:Q,MATCH(Table1[[#This Row],[Item Purchased]],D:D))</f>
        <v>Bank Transfer</v>
      </c>
      <c r="T1979">
        <f>SUMIF(J:J,Table1[[#This Row],[Season]],F:F)</f>
        <v>55777</v>
      </c>
    </row>
    <row r="1980" spans="1:20" x14ac:dyDescent="0.3">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c r="S1980" t="str">
        <f>INDEX(Q:Q,MATCH(Table1[[#This Row],[Item Purchased]],D:D))</f>
        <v>Venmo</v>
      </c>
      <c r="T1980">
        <f>SUMIF(J:J,Table1[[#This Row],[Season]],F:F)</f>
        <v>58679</v>
      </c>
    </row>
    <row r="1981" spans="1:20" x14ac:dyDescent="0.3">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c r="S1981" t="str">
        <f>INDEX(Q:Q,MATCH(Table1[[#This Row],[Item Purchased]],D:D))</f>
        <v>Cash</v>
      </c>
      <c r="T1981">
        <f>SUMIF(J:J,Table1[[#This Row],[Season]],F:F)</f>
        <v>58679</v>
      </c>
    </row>
    <row r="1982" spans="1:20" x14ac:dyDescent="0.3">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c r="S1982" t="str">
        <f>INDEX(Q:Q,MATCH(Table1[[#This Row],[Item Purchased]],D:D))</f>
        <v>Bank Transfer</v>
      </c>
      <c r="T1982">
        <f>SUMIF(J:J,Table1[[#This Row],[Season]],F:F)</f>
        <v>58607</v>
      </c>
    </row>
    <row r="1983" spans="1:20" x14ac:dyDescent="0.3">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c r="S1983" t="str">
        <f>INDEX(Q:Q,MATCH(Table1[[#This Row],[Item Purchased]],D:D))</f>
        <v>PayPal</v>
      </c>
      <c r="T1983">
        <f>SUMIF(J:J,Table1[[#This Row],[Season]],F:F)</f>
        <v>55777</v>
      </c>
    </row>
    <row r="1984" spans="1:20" x14ac:dyDescent="0.3">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c r="S1984" t="str">
        <f>INDEX(Q:Q,MATCH(Table1[[#This Row],[Item Purchased]],D:D))</f>
        <v>Venmo</v>
      </c>
      <c r="T1984">
        <f>SUMIF(J:J,Table1[[#This Row],[Season]],F:F)</f>
        <v>55777</v>
      </c>
    </row>
    <row r="1985" spans="1:20" x14ac:dyDescent="0.3">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c r="S1985" t="str">
        <f>INDEX(Q:Q,MATCH(Table1[[#This Row],[Item Purchased]],D:D))</f>
        <v>Bank Transfer</v>
      </c>
      <c r="T1985">
        <f>SUMIF(J:J,Table1[[#This Row],[Season]],F:F)</f>
        <v>55777</v>
      </c>
    </row>
    <row r="1986" spans="1:20" x14ac:dyDescent="0.3">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c r="S1986" t="str">
        <f>INDEX(Q:Q,MATCH(Table1[[#This Row],[Item Purchased]],D:D))</f>
        <v>Credit Card</v>
      </c>
      <c r="T1986">
        <f>SUMIF(J:J,Table1[[#This Row],[Season]],F:F)</f>
        <v>55777</v>
      </c>
    </row>
    <row r="1987" spans="1:20" x14ac:dyDescent="0.3">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c r="S1987" t="str">
        <f>INDEX(Q:Q,MATCH(Table1[[#This Row],[Item Purchased]],D:D))</f>
        <v>Debit Card</v>
      </c>
      <c r="T1987">
        <f>SUMIF(J:J,Table1[[#This Row],[Season]],F:F)</f>
        <v>58679</v>
      </c>
    </row>
    <row r="1988" spans="1:20" x14ac:dyDescent="0.3">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c r="S1988" t="str">
        <f>INDEX(Q:Q,MATCH(Table1[[#This Row],[Item Purchased]],D:D))</f>
        <v>Debit Card</v>
      </c>
      <c r="T1988">
        <f>SUMIF(J:J,Table1[[#This Row],[Season]],F:F)</f>
        <v>55777</v>
      </c>
    </row>
    <row r="1989" spans="1:20" x14ac:dyDescent="0.3">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c r="S1989" t="e">
        <f>INDEX(Q:Q,MATCH(Table1[[#This Row],[Item Purchased]],D:D))</f>
        <v>#N/A</v>
      </c>
      <c r="T1989">
        <f>SUMIF(J:J,Table1[[#This Row],[Season]],F:F)</f>
        <v>55777</v>
      </c>
    </row>
    <row r="1990" spans="1:20" x14ac:dyDescent="0.3">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c r="S1990" t="str">
        <f>INDEX(Q:Q,MATCH(Table1[[#This Row],[Item Purchased]],D:D))</f>
        <v>Cash</v>
      </c>
      <c r="T1990">
        <f>SUMIF(J:J,Table1[[#This Row],[Season]],F:F)</f>
        <v>58607</v>
      </c>
    </row>
    <row r="1991" spans="1:20" x14ac:dyDescent="0.3">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c r="S1991" t="str">
        <f>INDEX(Q:Q,MATCH(Table1[[#This Row],[Item Purchased]],D:D))</f>
        <v>Cash</v>
      </c>
      <c r="T1991">
        <f>SUMIF(J:J,Table1[[#This Row],[Season]],F:F)</f>
        <v>58679</v>
      </c>
    </row>
    <row r="1992" spans="1:20" x14ac:dyDescent="0.3">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c r="S1992" t="e">
        <f>INDEX(Q:Q,MATCH(Table1[[#This Row],[Item Purchased]],D:D))</f>
        <v>#N/A</v>
      </c>
      <c r="T1992">
        <f>SUMIF(J:J,Table1[[#This Row],[Season]],F:F)</f>
        <v>58679</v>
      </c>
    </row>
    <row r="1993" spans="1:20" x14ac:dyDescent="0.3">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c r="S1993" t="str">
        <f>INDEX(Q:Q,MATCH(Table1[[#This Row],[Item Purchased]],D:D))</f>
        <v>Venmo</v>
      </c>
      <c r="T1993">
        <f>SUMIF(J:J,Table1[[#This Row],[Season]],F:F)</f>
        <v>55777</v>
      </c>
    </row>
    <row r="1994" spans="1:20" x14ac:dyDescent="0.3">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c r="S1994" t="str">
        <f>INDEX(Q:Q,MATCH(Table1[[#This Row],[Item Purchased]],D:D))</f>
        <v>Venmo</v>
      </c>
      <c r="T1994">
        <f>SUMIF(J:J,Table1[[#This Row],[Season]],F:F)</f>
        <v>58607</v>
      </c>
    </row>
    <row r="1995" spans="1:20" x14ac:dyDescent="0.3">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c r="S1995" t="str">
        <f>INDEX(Q:Q,MATCH(Table1[[#This Row],[Item Purchased]],D:D))</f>
        <v>Venmo</v>
      </c>
      <c r="T1995">
        <f>SUMIF(J:J,Table1[[#This Row],[Season]],F:F)</f>
        <v>58679</v>
      </c>
    </row>
    <row r="1996" spans="1:20" x14ac:dyDescent="0.3">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c r="S1996" t="str">
        <f>INDEX(Q:Q,MATCH(Table1[[#This Row],[Item Purchased]],D:D))</f>
        <v>Venmo</v>
      </c>
      <c r="T1996">
        <f>SUMIF(J:J,Table1[[#This Row],[Season]],F:F)</f>
        <v>60018</v>
      </c>
    </row>
    <row r="1997" spans="1:20" x14ac:dyDescent="0.3">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c r="S1997" t="str">
        <f>INDEX(Q:Q,MATCH(Table1[[#This Row],[Item Purchased]],D:D))</f>
        <v>Venmo</v>
      </c>
      <c r="T1997">
        <f>SUMIF(J:J,Table1[[#This Row],[Season]],F:F)</f>
        <v>58679</v>
      </c>
    </row>
    <row r="1998" spans="1:20" x14ac:dyDescent="0.3">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c r="S1998" t="str">
        <f>INDEX(Q:Q,MATCH(Table1[[#This Row],[Item Purchased]],D:D))</f>
        <v>Venmo</v>
      </c>
      <c r="T1998">
        <f>SUMIF(J:J,Table1[[#This Row],[Season]],F:F)</f>
        <v>55777</v>
      </c>
    </row>
    <row r="1999" spans="1:20" x14ac:dyDescent="0.3">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c r="S1999" t="e">
        <f>INDEX(Q:Q,MATCH(Table1[[#This Row],[Item Purchased]],D:D))</f>
        <v>#N/A</v>
      </c>
      <c r="T1999">
        <f>SUMIF(J:J,Table1[[#This Row],[Season]],F:F)</f>
        <v>60018</v>
      </c>
    </row>
    <row r="2000" spans="1:20" x14ac:dyDescent="0.3">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c r="S2000" t="str">
        <f>INDEX(Q:Q,MATCH(Table1[[#This Row],[Item Purchased]],D:D))</f>
        <v>Cash</v>
      </c>
      <c r="T2000">
        <f>SUMIF(J:J,Table1[[#This Row],[Season]],F:F)</f>
        <v>60018</v>
      </c>
    </row>
    <row r="2001" spans="1:20" x14ac:dyDescent="0.3">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c r="S2001" t="str">
        <f>INDEX(Q:Q,MATCH(Table1[[#This Row],[Item Purchased]],D:D))</f>
        <v>Venmo</v>
      </c>
      <c r="T2001">
        <f>SUMIF(J:J,Table1[[#This Row],[Season]],F:F)</f>
        <v>58607</v>
      </c>
    </row>
    <row r="2002" spans="1:20" x14ac:dyDescent="0.3">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c r="S2002" t="e">
        <f>INDEX(Q:Q,MATCH(Table1[[#This Row],[Item Purchased]],D:D))</f>
        <v>#N/A</v>
      </c>
      <c r="T2002">
        <f>SUMIF(J:J,Table1[[#This Row],[Season]],F:F)</f>
        <v>58607</v>
      </c>
    </row>
    <row r="2003" spans="1:20" x14ac:dyDescent="0.3">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c r="S2003" t="str">
        <f>INDEX(Q:Q,MATCH(Table1[[#This Row],[Item Purchased]],D:D))</f>
        <v>Venmo</v>
      </c>
      <c r="T2003">
        <f>SUMIF(J:J,Table1[[#This Row],[Season]],F:F)</f>
        <v>58607</v>
      </c>
    </row>
    <row r="2004" spans="1:20" x14ac:dyDescent="0.3">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c r="S2004" t="str">
        <f>INDEX(Q:Q,MATCH(Table1[[#This Row],[Item Purchased]],D:D))</f>
        <v>Bank Transfer</v>
      </c>
      <c r="T2004">
        <f>SUMIF(J:J,Table1[[#This Row],[Season]],F:F)</f>
        <v>55777</v>
      </c>
    </row>
    <row r="2005" spans="1:20" x14ac:dyDescent="0.3">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c r="S2005" t="str">
        <f>INDEX(Q:Q,MATCH(Table1[[#This Row],[Item Purchased]],D:D))</f>
        <v>Venmo</v>
      </c>
      <c r="T2005">
        <f>SUMIF(J:J,Table1[[#This Row],[Season]],F:F)</f>
        <v>58679</v>
      </c>
    </row>
    <row r="2006" spans="1:20" x14ac:dyDescent="0.3">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c r="S2006" t="str">
        <f>INDEX(Q:Q,MATCH(Table1[[#This Row],[Item Purchased]],D:D))</f>
        <v>PayPal</v>
      </c>
      <c r="T2006">
        <f>SUMIF(J:J,Table1[[#This Row],[Season]],F:F)</f>
        <v>60018</v>
      </c>
    </row>
    <row r="2007" spans="1:20" x14ac:dyDescent="0.3">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c r="S2007" t="str">
        <f>INDEX(Q:Q,MATCH(Table1[[#This Row],[Item Purchased]],D:D))</f>
        <v>Bank Transfer</v>
      </c>
      <c r="T2007">
        <f>SUMIF(J:J,Table1[[#This Row],[Season]],F:F)</f>
        <v>58607</v>
      </c>
    </row>
    <row r="2008" spans="1:20" x14ac:dyDescent="0.3">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c r="S2008" t="str">
        <f>INDEX(Q:Q,MATCH(Table1[[#This Row],[Item Purchased]],D:D))</f>
        <v>Bank Transfer</v>
      </c>
      <c r="T2008">
        <f>SUMIF(J:J,Table1[[#This Row],[Season]],F:F)</f>
        <v>60018</v>
      </c>
    </row>
    <row r="2009" spans="1:20" x14ac:dyDescent="0.3">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c r="S2009" t="str">
        <f>INDEX(Q:Q,MATCH(Table1[[#This Row],[Item Purchased]],D:D))</f>
        <v>Bank Transfer</v>
      </c>
      <c r="T2009">
        <f>SUMIF(J:J,Table1[[#This Row],[Season]],F:F)</f>
        <v>55777</v>
      </c>
    </row>
    <row r="2010" spans="1:20" x14ac:dyDescent="0.3">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c r="S2010" t="str">
        <f>INDEX(Q:Q,MATCH(Table1[[#This Row],[Item Purchased]],D:D))</f>
        <v>Credit Card</v>
      </c>
      <c r="T2010">
        <f>SUMIF(J:J,Table1[[#This Row],[Season]],F:F)</f>
        <v>58679</v>
      </c>
    </row>
    <row r="2011" spans="1:20" x14ac:dyDescent="0.3">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c r="S2011" t="str">
        <f>INDEX(Q:Q,MATCH(Table1[[#This Row],[Item Purchased]],D:D))</f>
        <v>Venmo</v>
      </c>
      <c r="T2011">
        <f>SUMIF(J:J,Table1[[#This Row],[Season]],F:F)</f>
        <v>55777</v>
      </c>
    </row>
    <row r="2012" spans="1:20" x14ac:dyDescent="0.3">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c r="S2012" t="str">
        <f>INDEX(Q:Q,MATCH(Table1[[#This Row],[Item Purchased]],D:D))</f>
        <v>Venmo</v>
      </c>
      <c r="T2012">
        <f>SUMIF(J:J,Table1[[#This Row],[Season]],F:F)</f>
        <v>55777</v>
      </c>
    </row>
    <row r="2013" spans="1:20" x14ac:dyDescent="0.3">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c r="S2013" t="str">
        <f>INDEX(Q:Q,MATCH(Table1[[#This Row],[Item Purchased]],D:D))</f>
        <v>Bank Transfer</v>
      </c>
      <c r="T2013">
        <f>SUMIF(J:J,Table1[[#This Row],[Season]],F:F)</f>
        <v>58679</v>
      </c>
    </row>
    <row r="2014" spans="1:20" x14ac:dyDescent="0.3">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c r="S2014" t="str">
        <f>INDEX(Q:Q,MATCH(Table1[[#This Row],[Item Purchased]],D:D))</f>
        <v>Cash</v>
      </c>
      <c r="T2014">
        <f>SUMIF(J:J,Table1[[#This Row],[Season]],F:F)</f>
        <v>60018</v>
      </c>
    </row>
    <row r="2015" spans="1:20" x14ac:dyDescent="0.3">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c r="S2015" t="e">
        <f>INDEX(Q:Q,MATCH(Table1[[#This Row],[Item Purchased]],D:D))</f>
        <v>#N/A</v>
      </c>
      <c r="T2015">
        <f>SUMIF(J:J,Table1[[#This Row],[Season]],F:F)</f>
        <v>58607</v>
      </c>
    </row>
    <row r="2016" spans="1:20" x14ac:dyDescent="0.3">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c r="S2016" t="str">
        <f>INDEX(Q:Q,MATCH(Table1[[#This Row],[Item Purchased]],D:D))</f>
        <v>Credit Card</v>
      </c>
      <c r="T2016">
        <f>SUMIF(J:J,Table1[[#This Row],[Season]],F:F)</f>
        <v>55777</v>
      </c>
    </row>
    <row r="2017" spans="1:20" x14ac:dyDescent="0.3">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c r="S2017" t="e">
        <f>INDEX(Q:Q,MATCH(Table1[[#This Row],[Item Purchased]],D:D))</f>
        <v>#N/A</v>
      </c>
      <c r="T2017">
        <f>SUMIF(J:J,Table1[[#This Row],[Season]],F:F)</f>
        <v>55777</v>
      </c>
    </row>
    <row r="2018" spans="1:20" x14ac:dyDescent="0.3">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c r="S2018" t="str">
        <f>INDEX(Q:Q,MATCH(Table1[[#This Row],[Item Purchased]],D:D))</f>
        <v>PayPal</v>
      </c>
      <c r="T2018">
        <f>SUMIF(J:J,Table1[[#This Row],[Season]],F:F)</f>
        <v>58607</v>
      </c>
    </row>
    <row r="2019" spans="1:20" x14ac:dyDescent="0.3">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c r="S2019" t="str">
        <f>INDEX(Q:Q,MATCH(Table1[[#This Row],[Item Purchased]],D:D))</f>
        <v>Venmo</v>
      </c>
      <c r="T2019">
        <f>SUMIF(J:J,Table1[[#This Row],[Season]],F:F)</f>
        <v>58607</v>
      </c>
    </row>
    <row r="2020" spans="1:20" x14ac:dyDescent="0.3">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c r="S2020" t="e">
        <f>INDEX(Q:Q,MATCH(Table1[[#This Row],[Item Purchased]],D:D))</f>
        <v>#N/A</v>
      </c>
      <c r="T2020">
        <f>SUMIF(J:J,Table1[[#This Row],[Season]],F:F)</f>
        <v>60018</v>
      </c>
    </row>
    <row r="2021" spans="1:20" x14ac:dyDescent="0.3">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c r="S2021" t="str">
        <f>INDEX(Q:Q,MATCH(Table1[[#This Row],[Item Purchased]],D:D))</f>
        <v>Bank Transfer</v>
      </c>
      <c r="T2021">
        <f>SUMIF(J:J,Table1[[#This Row],[Season]],F:F)</f>
        <v>58607</v>
      </c>
    </row>
    <row r="2022" spans="1:20" x14ac:dyDescent="0.3">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c r="S2022" t="str">
        <f>INDEX(Q:Q,MATCH(Table1[[#This Row],[Item Purchased]],D:D))</f>
        <v>Venmo</v>
      </c>
      <c r="T2022">
        <f>SUMIF(J:J,Table1[[#This Row],[Season]],F:F)</f>
        <v>58607</v>
      </c>
    </row>
    <row r="2023" spans="1:20" x14ac:dyDescent="0.3">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c r="S2023" t="str">
        <f>INDEX(Q:Q,MATCH(Table1[[#This Row],[Item Purchased]],D:D))</f>
        <v>Cash</v>
      </c>
      <c r="T2023">
        <f>SUMIF(J:J,Table1[[#This Row],[Season]],F:F)</f>
        <v>58607</v>
      </c>
    </row>
    <row r="2024" spans="1:20" x14ac:dyDescent="0.3">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c r="S2024" t="str">
        <f>INDEX(Q:Q,MATCH(Table1[[#This Row],[Item Purchased]],D:D))</f>
        <v>Cash</v>
      </c>
      <c r="T2024">
        <f>SUMIF(J:J,Table1[[#This Row],[Season]],F:F)</f>
        <v>58607</v>
      </c>
    </row>
    <row r="2025" spans="1:20" x14ac:dyDescent="0.3">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c r="S2025" t="str">
        <f>INDEX(Q:Q,MATCH(Table1[[#This Row],[Item Purchased]],D:D))</f>
        <v>Venmo</v>
      </c>
      <c r="T2025">
        <f>SUMIF(J:J,Table1[[#This Row],[Season]],F:F)</f>
        <v>58607</v>
      </c>
    </row>
    <row r="2026" spans="1:20" x14ac:dyDescent="0.3">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c r="S2026" t="str">
        <f>INDEX(Q:Q,MATCH(Table1[[#This Row],[Item Purchased]],D:D))</f>
        <v>Venmo</v>
      </c>
      <c r="T2026">
        <f>SUMIF(J:J,Table1[[#This Row],[Season]],F:F)</f>
        <v>60018</v>
      </c>
    </row>
    <row r="2027" spans="1:20" x14ac:dyDescent="0.3">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c r="S2027" t="str">
        <f>INDEX(Q:Q,MATCH(Table1[[#This Row],[Item Purchased]],D:D))</f>
        <v>Bank Transfer</v>
      </c>
      <c r="T2027">
        <f>SUMIF(J:J,Table1[[#This Row],[Season]],F:F)</f>
        <v>55777</v>
      </c>
    </row>
    <row r="2028" spans="1:20" x14ac:dyDescent="0.3">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c r="S2028" t="str">
        <f>INDEX(Q:Q,MATCH(Table1[[#This Row],[Item Purchased]],D:D))</f>
        <v>Bank Transfer</v>
      </c>
      <c r="T2028">
        <f>SUMIF(J:J,Table1[[#This Row],[Season]],F:F)</f>
        <v>58607</v>
      </c>
    </row>
    <row r="2029" spans="1:20" x14ac:dyDescent="0.3">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c r="S2029" t="str">
        <f>INDEX(Q:Q,MATCH(Table1[[#This Row],[Item Purchased]],D:D))</f>
        <v>PayPal</v>
      </c>
      <c r="T2029">
        <f>SUMIF(J:J,Table1[[#This Row],[Season]],F:F)</f>
        <v>60018</v>
      </c>
    </row>
    <row r="2030" spans="1:20" x14ac:dyDescent="0.3">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c r="S2030" t="str">
        <f>INDEX(Q:Q,MATCH(Table1[[#This Row],[Item Purchased]],D:D))</f>
        <v>PayPal</v>
      </c>
      <c r="T2030">
        <f>SUMIF(J:J,Table1[[#This Row],[Season]],F:F)</f>
        <v>60018</v>
      </c>
    </row>
    <row r="2031" spans="1:20" x14ac:dyDescent="0.3">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c r="S2031" t="str">
        <f>INDEX(Q:Q,MATCH(Table1[[#This Row],[Item Purchased]],D:D))</f>
        <v>Bank Transfer</v>
      </c>
      <c r="T2031">
        <f>SUMIF(J:J,Table1[[#This Row],[Season]],F:F)</f>
        <v>58679</v>
      </c>
    </row>
    <row r="2032" spans="1:20" x14ac:dyDescent="0.3">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c r="S2032" t="str">
        <f>INDEX(Q:Q,MATCH(Table1[[#This Row],[Item Purchased]],D:D))</f>
        <v>Venmo</v>
      </c>
      <c r="T2032">
        <f>SUMIF(J:J,Table1[[#This Row],[Season]],F:F)</f>
        <v>55777</v>
      </c>
    </row>
    <row r="2033" spans="1:20" x14ac:dyDescent="0.3">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c r="S2033" t="str">
        <f>INDEX(Q:Q,MATCH(Table1[[#This Row],[Item Purchased]],D:D))</f>
        <v>Venmo</v>
      </c>
      <c r="T2033">
        <f>SUMIF(J:J,Table1[[#This Row],[Season]],F:F)</f>
        <v>58679</v>
      </c>
    </row>
    <row r="2034" spans="1:20" x14ac:dyDescent="0.3">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c r="S2034" t="str">
        <f>INDEX(Q:Q,MATCH(Table1[[#This Row],[Item Purchased]],D:D))</f>
        <v>Venmo</v>
      </c>
      <c r="T2034">
        <f>SUMIF(J:J,Table1[[#This Row],[Season]],F:F)</f>
        <v>58607</v>
      </c>
    </row>
    <row r="2035" spans="1:20" x14ac:dyDescent="0.3">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c r="S2035" t="str">
        <f>INDEX(Q:Q,MATCH(Table1[[#This Row],[Item Purchased]],D:D))</f>
        <v>Cash</v>
      </c>
      <c r="T2035">
        <f>SUMIF(J:J,Table1[[#This Row],[Season]],F:F)</f>
        <v>55777</v>
      </c>
    </row>
    <row r="2036" spans="1:20" x14ac:dyDescent="0.3">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c r="S2036" t="str">
        <f>INDEX(Q:Q,MATCH(Table1[[#This Row],[Item Purchased]],D:D))</f>
        <v>PayPal</v>
      </c>
      <c r="T2036">
        <f>SUMIF(J:J,Table1[[#This Row],[Season]],F:F)</f>
        <v>58679</v>
      </c>
    </row>
    <row r="2037" spans="1:20" x14ac:dyDescent="0.3">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c r="S2037" t="str">
        <f>INDEX(Q:Q,MATCH(Table1[[#This Row],[Item Purchased]],D:D))</f>
        <v>Venmo</v>
      </c>
      <c r="T2037">
        <f>SUMIF(J:J,Table1[[#This Row],[Season]],F:F)</f>
        <v>55777</v>
      </c>
    </row>
    <row r="2038" spans="1:20" x14ac:dyDescent="0.3">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c r="S2038" t="str">
        <f>INDEX(Q:Q,MATCH(Table1[[#This Row],[Item Purchased]],D:D))</f>
        <v>Venmo</v>
      </c>
      <c r="T2038">
        <f>SUMIF(J:J,Table1[[#This Row],[Season]],F:F)</f>
        <v>58607</v>
      </c>
    </row>
    <row r="2039" spans="1:20" x14ac:dyDescent="0.3">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c r="S2039" t="e">
        <f>INDEX(Q:Q,MATCH(Table1[[#This Row],[Item Purchased]],D:D))</f>
        <v>#N/A</v>
      </c>
      <c r="T2039">
        <f>SUMIF(J:J,Table1[[#This Row],[Season]],F:F)</f>
        <v>55777</v>
      </c>
    </row>
    <row r="2040" spans="1:20" x14ac:dyDescent="0.3">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c r="S2040" t="str">
        <f>INDEX(Q:Q,MATCH(Table1[[#This Row],[Item Purchased]],D:D))</f>
        <v>Venmo</v>
      </c>
      <c r="T2040">
        <f>SUMIF(J:J,Table1[[#This Row],[Season]],F:F)</f>
        <v>58679</v>
      </c>
    </row>
    <row r="2041" spans="1:20" x14ac:dyDescent="0.3">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c r="S2041" t="str">
        <f>INDEX(Q:Q,MATCH(Table1[[#This Row],[Item Purchased]],D:D))</f>
        <v>Venmo</v>
      </c>
      <c r="T2041">
        <f>SUMIF(J:J,Table1[[#This Row],[Season]],F:F)</f>
        <v>58679</v>
      </c>
    </row>
    <row r="2042" spans="1:20" x14ac:dyDescent="0.3">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c r="S2042" t="str">
        <f>INDEX(Q:Q,MATCH(Table1[[#This Row],[Item Purchased]],D:D))</f>
        <v>Cash</v>
      </c>
      <c r="T2042">
        <f>SUMIF(J:J,Table1[[#This Row],[Season]],F:F)</f>
        <v>58679</v>
      </c>
    </row>
    <row r="2043" spans="1:20" x14ac:dyDescent="0.3">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c r="S2043" t="str">
        <f>INDEX(Q:Q,MATCH(Table1[[#This Row],[Item Purchased]],D:D))</f>
        <v>Debit Card</v>
      </c>
      <c r="T2043">
        <f>SUMIF(J:J,Table1[[#This Row],[Season]],F:F)</f>
        <v>58607</v>
      </c>
    </row>
    <row r="2044" spans="1:20" x14ac:dyDescent="0.3">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c r="S2044" t="str">
        <f>INDEX(Q:Q,MATCH(Table1[[#This Row],[Item Purchased]],D:D))</f>
        <v>PayPal</v>
      </c>
      <c r="T2044">
        <f>SUMIF(J:J,Table1[[#This Row],[Season]],F:F)</f>
        <v>58679</v>
      </c>
    </row>
    <row r="2045" spans="1:20" x14ac:dyDescent="0.3">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c r="S2045" t="str">
        <f>INDEX(Q:Q,MATCH(Table1[[#This Row],[Item Purchased]],D:D))</f>
        <v>Debit Card</v>
      </c>
      <c r="T2045">
        <f>SUMIF(J:J,Table1[[#This Row],[Season]],F:F)</f>
        <v>55777</v>
      </c>
    </row>
    <row r="2046" spans="1:20" x14ac:dyDescent="0.3">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c r="S2046" t="str">
        <f>INDEX(Q:Q,MATCH(Table1[[#This Row],[Item Purchased]],D:D))</f>
        <v>Cash</v>
      </c>
      <c r="T2046">
        <f>SUMIF(J:J,Table1[[#This Row],[Season]],F:F)</f>
        <v>58679</v>
      </c>
    </row>
    <row r="2047" spans="1:20" x14ac:dyDescent="0.3">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c r="S2047" t="str">
        <f>INDEX(Q:Q,MATCH(Table1[[#This Row],[Item Purchased]],D:D))</f>
        <v>Cash</v>
      </c>
      <c r="T2047">
        <f>SUMIF(J:J,Table1[[#This Row],[Season]],F:F)</f>
        <v>60018</v>
      </c>
    </row>
    <row r="2048" spans="1:20" x14ac:dyDescent="0.3">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c r="S2048" t="str">
        <f>INDEX(Q:Q,MATCH(Table1[[#This Row],[Item Purchased]],D:D))</f>
        <v>Cash</v>
      </c>
      <c r="T2048">
        <f>SUMIF(J:J,Table1[[#This Row],[Season]],F:F)</f>
        <v>58607</v>
      </c>
    </row>
    <row r="2049" spans="1:20" x14ac:dyDescent="0.3">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c r="S2049" t="str">
        <f>INDEX(Q:Q,MATCH(Table1[[#This Row],[Item Purchased]],D:D))</f>
        <v>Cash</v>
      </c>
      <c r="T2049">
        <f>SUMIF(J:J,Table1[[#This Row],[Season]],F:F)</f>
        <v>55777</v>
      </c>
    </row>
    <row r="2050" spans="1:20" x14ac:dyDescent="0.3">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c r="S2050" t="str">
        <f>INDEX(Q:Q,MATCH(Table1[[#This Row],[Item Purchased]],D:D))</f>
        <v>Venmo</v>
      </c>
      <c r="T2050">
        <f>SUMIF(J:J,Table1[[#This Row],[Season]],F:F)</f>
        <v>58607</v>
      </c>
    </row>
    <row r="2051" spans="1:20" x14ac:dyDescent="0.3">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c r="S2051" t="str">
        <f>INDEX(Q:Q,MATCH(Table1[[#This Row],[Item Purchased]],D:D))</f>
        <v>Venmo</v>
      </c>
      <c r="T2051">
        <f>SUMIF(J:J,Table1[[#This Row],[Season]],F:F)</f>
        <v>60018</v>
      </c>
    </row>
    <row r="2052" spans="1:20" x14ac:dyDescent="0.3">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c r="S2052" t="str">
        <f>INDEX(Q:Q,MATCH(Table1[[#This Row],[Item Purchased]],D:D))</f>
        <v>Venmo</v>
      </c>
      <c r="T2052">
        <f>SUMIF(J:J,Table1[[#This Row],[Season]],F:F)</f>
        <v>55777</v>
      </c>
    </row>
    <row r="2053" spans="1:20" x14ac:dyDescent="0.3">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c r="S2053" t="str">
        <f>INDEX(Q:Q,MATCH(Table1[[#This Row],[Item Purchased]],D:D))</f>
        <v>Venmo</v>
      </c>
      <c r="T2053">
        <f>SUMIF(J:J,Table1[[#This Row],[Season]],F:F)</f>
        <v>58679</v>
      </c>
    </row>
    <row r="2054" spans="1:20" x14ac:dyDescent="0.3">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c r="S2054" t="e">
        <f>INDEX(Q:Q,MATCH(Table1[[#This Row],[Item Purchased]],D:D))</f>
        <v>#N/A</v>
      </c>
      <c r="T2054">
        <f>SUMIF(J:J,Table1[[#This Row],[Season]],F:F)</f>
        <v>58607</v>
      </c>
    </row>
    <row r="2055" spans="1:20" x14ac:dyDescent="0.3">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c r="S2055" t="str">
        <f>INDEX(Q:Q,MATCH(Table1[[#This Row],[Item Purchased]],D:D))</f>
        <v>Venmo</v>
      </c>
      <c r="T2055">
        <f>SUMIF(J:J,Table1[[#This Row],[Season]],F:F)</f>
        <v>58679</v>
      </c>
    </row>
    <row r="2056" spans="1:20" x14ac:dyDescent="0.3">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c r="S2056" t="str">
        <f>INDEX(Q:Q,MATCH(Table1[[#This Row],[Item Purchased]],D:D))</f>
        <v>Venmo</v>
      </c>
      <c r="T2056">
        <f>SUMIF(J:J,Table1[[#This Row],[Season]],F:F)</f>
        <v>58679</v>
      </c>
    </row>
    <row r="2057" spans="1:20" x14ac:dyDescent="0.3">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c r="S2057" t="str">
        <f>INDEX(Q:Q,MATCH(Table1[[#This Row],[Item Purchased]],D:D))</f>
        <v>Cash</v>
      </c>
      <c r="T2057">
        <f>SUMIF(J:J,Table1[[#This Row],[Season]],F:F)</f>
        <v>60018</v>
      </c>
    </row>
    <row r="2058" spans="1:20" x14ac:dyDescent="0.3">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c r="S2058" t="e">
        <f>INDEX(Q:Q,MATCH(Table1[[#This Row],[Item Purchased]],D:D))</f>
        <v>#N/A</v>
      </c>
      <c r="T2058">
        <f>SUMIF(J:J,Table1[[#This Row],[Season]],F:F)</f>
        <v>58679</v>
      </c>
    </row>
    <row r="2059" spans="1:20" x14ac:dyDescent="0.3">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c r="S2059" t="str">
        <f>INDEX(Q:Q,MATCH(Table1[[#This Row],[Item Purchased]],D:D))</f>
        <v>Venmo</v>
      </c>
      <c r="T2059">
        <f>SUMIF(J:J,Table1[[#This Row],[Season]],F:F)</f>
        <v>58679</v>
      </c>
    </row>
    <row r="2060" spans="1:20" x14ac:dyDescent="0.3">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c r="S2060" t="str">
        <f>INDEX(Q:Q,MATCH(Table1[[#This Row],[Item Purchased]],D:D))</f>
        <v>Bank Transfer</v>
      </c>
      <c r="T2060">
        <f>SUMIF(J:J,Table1[[#This Row],[Season]],F:F)</f>
        <v>58607</v>
      </c>
    </row>
    <row r="2061" spans="1:20" x14ac:dyDescent="0.3">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c r="S2061" t="str">
        <f>INDEX(Q:Q,MATCH(Table1[[#This Row],[Item Purchased]],D:D))</f>
        <v>PayPal</v>
      </c>
      <c r="T2061">
        <f>SUMIF(J:J,Table1[[#This Row],[Season]],F:F)</f>
        <v>58679</v>
      </c>
    </row>
    <row r="2062" spans="1:20" x14ac:dyDescent="0.3">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c r="S2062" t="e">
        <f>INDEX(Q:Q,MATCH(Table1[[#This Row],[Item Purchased]],D:D))</f>
        <v>#N/A</v>
      </c>
      <c r="T2062">
        <f>SUMIF(J:J,Table1[[#This Row],[Season]],F:F)</f>
        <v>60018</v>
      </c>
    </row>
    <row r="2063" spans="1:20" x14ac:dyDescent="0.3">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c r="S2063" t="str">
        <f>INDEX(Q:Q,MATCH(Table1[[#This Row],[Item Purchased]],D:D))</f>
        <v>Venmo</v>
      </c>
      <c r="T2063">
        <f>SUMIF(J:J,Table1[[#This Row],[Season]],F:F)</f>
        <v>55777</v>
      </c>
    </row>
    <row r="2064" spans="1:20" x14ac:dyDescent="0.3">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c r="S2064" t="str">
        <f>INDEX(Q:Q,MATCH(Table1[[#This Row],[Item Purchased]],D:D))</f>
        <v>Debit Card</v>
      </c>
      <c r="T2064">
        <f>SUMIF(J:J,Table1[[#This Row],[Season]],F:F)</f>
        <v>60018</v>
      </c>
    </row>
    <row r="2065" spans="1:20" x14ac:dyDescent="0.3">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c r="S2065" t="str">
        <f>INDEX(Q:Q,MATCH(Table1[[#This Row],[Item Purchased]],D:D))</f>
        <v>PayPal</v>
      </c>
      <c r="T2065">
        <f>SUMIF(J:J,Table1[[#This Row],[Season]],F:F)</f>
        <v>60018</v>
      </c>
    </row>
    <row r="2066" spans="1:20" x14ac:dyDescent="0.3">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c r="S2066" t="str">
        <f>INDEX(Q:Q,MATCH(Table1[[#This Row],[Item Purchased]],D:D))</f>
        <v>PayPal</v>
      </c>
      <c r="T2066">
        <f>SUMIF(J:J,Table1[[#This Row],[Season]],F:F)</f>
        <v>55777</v>
      </c>
    </row>
    <row r="2067" spans="1:20" x14ac:dyDescent="0.3">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c r="S2067" t="str">
        <f>INDEX(Q:Q,MATCH(Table1[[#This Row],[Item Purchased]],D:D))</f>
        <v>Venmo</v>
      </c>
      <c r="T2067">
        <f>SUMIF(J:J,Table1[[#This Row],[Season]],F:F)</f>
        <v>58679</v>
      </c>
    </row>
    <row r="2068" spans="1:20" x14ac:dyDescent="0.3">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c r="S2068" t="str">
        <f>INDEX(Q:Q,MATCH(Table1[[#This Row],[Item Purchased]],D:D))</f>
        <v>Venmo</v>
      </c>
      <c r="T2068">
        <f>SUMIF(J:J,Table1[[#This Row],[Season]],F:F)</f>
        <v>60018</v>
      </c>
    </row>
    <row r="2069" spans="1:20" x14ac:dyDescent="0.3">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c r="S2069" t="str">
        <f>INDEX(Q:Q,MATCH(Table1[[#This Row],[Item Purchased]],D:D))</f>
        <v>Cash</v>
      </c>
      <c r="T2069">
        <f>SUMIF(J:J,Table1[[#This Row],[Season]],F:F)</f>
        <v>60018</v>
      </c>
    </row>
    <row r="2070" spans="1:20" x14ac:dyDescent="0.3">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c r="S2070" t="str">
        <f>INDEX(Q:Q,MATCH(Table1[[#This Row],[Item Purchased]],D:D))</f>
        <v>Cash</v>
      </c>
      <c r="T2070">
        <f>SUMIF(J:J,Table1[[#This Row],[Season]],F:F)</f>
        <v>55777</v>
      </c>
    </row>
    <row r="2071" spans="1:20" x14ac:dyDescent="0.3">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c r="S2071" t="str">
        <f>INDEX(Q:Q,MATCH(Table1[[#This Row],[Item Purchased]],D:D))</f>
        <v>Venmo</v>
      </c>
      <c r="T2071">
        <f>SUMIF(J:J,Table1[[#This Row],[Season]],F:F)</f>
        <v>60018</v>
      </c>
    </row>
    <row r="2072" spans="1:20" x14ac:dyDescent="0.3">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c r="S2072" t="str">
        <f>INDEX(Q:Q,MATCH(Table1[[#This Row],[Item Purchased]],D:D))</f>
        <v>Cash</v>
      </c>
      <c r="T2072">
        <f>SUMIF(J:J,Table1[[#This Row],[Season]],F:F)</f>
        <v>58679</v>
      </c>
    </row>
    <row r="2073" spans="1:20" x14ac:dyDescent="0.3">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c r="S2073" t="str">
        <f>INDEX(Q:Q,MATCH(Table1[[#This Row],[Item Purchased]],D:D))</f>
        <v>Debit Card</v>
      </c>
      <c r="T2073">
        <f>SUMIF(J:J,Table1[[#This Row],[Season]],F:F)</f>
        <v>60018</v>
      </c>
    </row>
    <row r="2074" spans="1:20" x14ac:dyDescent="0.3">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c r="S2074" t="e">
        <f>INDEX(Q:Q,MATCH(Table1[[#This Row],[Item Purchased]],D:D))</f>
        <v>#N/A</v>
      </c>
      <c r="T2074">
        <f>SUMIF(J:J,Table1[[#This Row],[Season]],F:F)</f>
        <v>58607</v>
      </c>
    </row>
    <row r="2075" spans="1:20" x14ac:dyDescent="0.3">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c r="S2075" t="e">
        <f>INDEX(Q:Q,MATCH(Table1[[#This Row],[Item Purchased]],D:D))</f>
        <v>#N/A</v>
      </c>
      <c r="T2075">
        <f>SUMIF(J:J,Table1[[#This Row],[Season]],F:F)</f>
        <v>58607</v>
      </c>
    </row>
    <row r="2076" spans="1:20" x14ac:dyDescent="0.3">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c r="S2076" t="str">
        <f>INDEX(Q:Q,MATCH(Table1[[#This Row],[Item Purchased]],D:D))</f>
        <v>Bank Transfer</v>
      </c>
      <c r="T2076">
        <f>SUMIF(J:J,Table1[[#This Row],[Season]],F:F)</f>
        <v>55777</v>
      </c>
    </row>
    <row r="2077" spans="1:20" x14ac:dyDescent="0.3">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c r="S2077" t="str">
        <f>INDEX(Q:Q,MATCH(Table1[[#This Row],[Item Purchased]],D:D))</f>
        <v>Venmo</v>
      </c>
      <c r="T2077">
        <f>SUMIF(J:J,Table1[[#This Row],[Season]],F:F)</f>
        <v>60018</v>
      </c>
    </row>
    <row r="2078" spans="1:20" x14ac:dyDescent="0.3">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c r="S2078" t="str">
        <f>INDEX(Q:Q,MATCH(Table1[[#This Row],[Item Purchased]],D:D))</f>
        <v>Debit Card</v>
      </c>
      <c r="T2078">
        <f>SUMIF(J:J,Table1[[#This Row],[Season]],F:F)</f>
        <v>60018</v>
      </c>
    </row>
    <row r="2079" spans="1:20" x14ac:dyDescent="0.3">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c r="S2079" t="str">
        <f>INDEX(Q:Q,MATCH(Table1[[#This Row],[Item Purchased]],D:D))</f>
        <v>Bank Transfer</v>
      </c>
      <c r="T2079">
        <f>SUMIF(J:J,Table1[[#This Row],[Season]],F:F)</f>
        <v>60018</v>
      </c>
    </row>
    <row r="2080" spans="1:20" x14ac:dyDescent="0.3">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c r="S2080" t="str">
        <f>INDEX(Q:Q,MATCH(Table1[[#This Row],[Item Purchased]],D:D))</f>
        <v>Debit Card</v>
      </c>
      <c r="T2080">
        <f>SUMIF(J:J,Table1[[#This Row],[Season]],F:F)</f>
        <v>58679</v>
      </c>
    </row>
    <row r="2081" spans="1:20" x14ac:dyDescent="0.3">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c r="S2081" t="str">
        <f>INDEX(Q:Q,MATCH(Table1[[#This Row],[Item Purchased]],D:D))</f>
        <v>Cash</v>
      </c>
      <c r="T2081">
        <f>SUMIF(J:J,Table1[[#This Row],[Season]],F:F)</f>
        <v>55777</v>
      </c>
    </row>
    <row r="2082" spans="1:20" x14ac:dyDescent="0.3">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c r="S2082" t="str">
        <f>INDEX(Q:Q,MATCH(Table1[[#This Row],[Item Purchased]],D:D))</f>
        <v>Venmo</v>
      </c>
      <c r="T2082">
        <f>SUMIF(J:J,Table1[[#This Row],[Season]],F:F)</f>
        <v>60018</v>
      </c>
    </row>
    <row r="2083" spans="1:20" x14ac:dyDescent="0.3">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c r="S2083" t="str">
        <f>INDEX(Q:Q,MATCH(Table1[[#This Row],[Item Purchased]],D:D))</f>
        <v>Debit Card</v>
      </c>
      <c r="T2083">
        <f>SUMIF(J:J,Table1[[#This Row],[Season]],F:F)</f>
        <v>58679</v>
      </c>
    </row>
    <row r="2084" spans="1:20" x14ac:dyDescent="0.3">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c r="S2084" t="str">
        <f>INDEX(Q:Q,MATCH(Table1[[#This Row],[Item Purchased]],D:D))</f>
        <v>Cash</v>
      </c>
      <c r="T2084">
        <f>SUMIF(J:J,Table1[[#This Row],[Season]],F:F)</f>
        <v>55777</v>
      </c>
    </row>
    <row r="2085" spans="1:20" x14ac:dyDescent="0.3">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c r="S2085" t="str">
        <f>INDEX(Q:Q,MATCH(Table1[[#This Row],[Item Purchased]],D:D))</f>
        <v>Bank Transfer</v>
      </c>
      <c r="T2085">
        <f>SUMIF(J:J,Table1[[#This Row],[Season]],F:F)</f>
        <v>60018</v>
      </c>
    </row>
    <row r="2086" spans="1:20" x14ac:dyDescent="0.3">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c r="S2086" t="str">
        <f>INDEX(Q:Q,MATCH(Table1[[#This Row],[Item Purchased]],D:D))</f>
        <v>Venmo</v>
      </c>
      <c r="T2086">
        <f>SUMIF(J:J,Table1[[#This Row],[Season]],F:F)</f>
        <v>55777</v>
      </c>
    </row>
    <row r="2087" spans="1:20" x14ac:dyDescent="0.3">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c r="S2087" t="str">
        <f>INDEX(Q:Q,MATCH(Table1[[#This Row],[Item Purchased]],D:D))</f>
        <v>Cash</v>
      </c>
      <c r="T2087">
        <f>SUMIF(J:J,Table1[[#This Row],[Season]],F:F)</f>
        <v>60018</v>
      </c>
    </row>
    <row r="2088" spans="1:20" x14ac:dyDescent="0.3">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c r="S2088" t="str">
        <f>INDEX(Q:Q,MATCH(Table1[[#This Row],[Item Purchased]],D:D))</f>
        <v>Debit Card</v>
      </c>
      <c r="T2088">
        <f>SUMIF(J:J,Table1[[#This Row],[Season]],F:F)</f>
        <v>55777</v>
      </c>
    </row>
    <row r="2089" spans="1:20" x14ac:dyDescent="0.3">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c r="S2089" t="str">
        <f>INDEX(Q:Q,MATCH(Table1[[#This Row],[Item Purchased]],D:D))</f>
        <v>Venmo</v>
      </c>
      <c r="T2089">
        <f>SUMIF(J:J,Table1[[#This Row],[Season]],F:F)</f>
        <v>55777</v>
      </c>
    </row>
    <row r="2090" spans="1:20" x14ac:dyDescent="0.3">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c r="S2090" t="str">
        <f>INDEX(Q:Q,MATCH(Table1[[#This Row],[Item Purchased]],D:D))</f>
        <v>Bank Transfer</v>
      </c>
      <c r="T2090">
        <f>SUMIF(J:J,Table1[[#This Row],[Season]],F:F)</f>
        <v>58679</v>
      </c>
    </row>
    <row r="2091" spans="1:20" x14ac:dyDescent="0.3">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c r="S2091" t="str">
        <f>INDEX(Q:Q,MATCH(Table1[[#This Row],[Item Purchased]],D:D))</f>
        <v>Debit Card</v>
      </c>
      <c r="T2091">
        <f>SUMIF(J:J,Table1[[#This Row],[Season]],F:F)</f>
        <v>58679</v>
      </c>
    </row>
    <row r="2092" spans="1:20" x14ac:dyDescent="0.3">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c r="S2092" t="str">
        <f>INDEX(Q:Q,MATCH(Table1[[#This Row],[Item Purchased]],D:D))</f>
        <v>Venmo</v>
      </c>
      <c r="T2092">
        <f>SUMIF(J:J,Table1[[#This Row],[Season]],F:F)</f>
        <v>58607</v>
      </c>
    </row>
    <row r="2093" spans="1:20" x14ac:dyDescent="0.3">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c r="S2093" t="str">
        <f>INDEX(Q:Q,MATCH(Table1[[#This Row],[Item Purchased]],D:D))</f>
        <v>Cash</v>
      </c>
      <c r="T2093">
        <f>SUMIF(J:J,Table1[[#This Row],[Season]],F:F)</f>
        <v>60018</v>
      </c>
    </row>
    <row r="2094" spans="1:20" x14ac:dyDescent="0.3">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c r="S2094" t="str">
        <f>INDEX(Q:Q,MATCH(Table1[[#This Row],[Item Purchased]],D:D))</f>
        <v>Bank Transfer</v>
      </c>
      <c r="T2094">
        <f>SUMIF(J:J,Table1[[#This Row],[Season]],F:F)</f>
        <v>60018</v>
      </c>
    </row>
    <row r="2095" spans="1:20" x14ac:dyDescent="0.3">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c r="S2095" t="str">
        <f>INDEX(Q:Q,MATCH(Table1[[#This Row],[Item Purchased]],D:D))</f>
        <v>Debit Card</v>
      </c>
      <c r="T2095">
        <f>SUMIF(J:J,Table1[[#This Row],[Season]],F:F)</f>
        <v>58679</v>
      </c>
    </row>
    <row r="2096" spans="1:20" x14ac:dyDescent="0.3">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c r="S2096" t="str">
        <f>INDEX(Q:Q,MATCH(Table1[[#This Row],[Item Purchased]],D:D))</f>
        <v>Venmo</v>
      </c>
      <c r="T2096">
        <f>SUMIF(J:J,Table1[[#This Row],[Season]],F:F)</f>
        <v>58679</v>
      </c>
    </row>
    <row r="2097" spans="1:20" x14ac:dyDescent="0.3">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c r="S2097" t="str">
        <f>INDEX(Q:Q,MATCH(Table1[[#This Row],[Item Purchased]],D:D))</f>
        <v>Venmo</v>
      </c>
      <c r="T2097">
        <f>SUMIF(J:J,Table1[[#This Row],[Season]],F:F)</f>
        <v>60018</v>
      </c>
    </row>
    <row r="2098" spans="1:20" x14ac:dyDescent="0.3">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c r="S2098" t="str">
        <f>INDEX(Q:Q,MATCH(Table1[[#This Row],[Item Purchased]],D:D))</f>
        <v>Debit Card</v>
      </c>
      <c r="T2098">
        <f>SUMIF(J:J,Table1[[#This Row],[Season]],F:F)</f>
        <v>55777</v>
      </c>
    </row>
    <row r="2099" spans="1:20" x14ac:dyDescent="0.3">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c r="S2099" t="str">
        <f>INDEX(Q:Q,MATCH(Table1[[#This Row],[Item Purchased]],D:D))</f>
        <v>Venmo</v>
      </c>
      <c r="T2099">
        <f>SUMIF(J:J,Table1[[#This Row],[Season]],F:F)</f>
        <v>58607</v>
      </c>
    </row>
    <row r="2100" spans="1:20" x14ac:dyDescent="0.3">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c r="S2100" t="str">
        <f>INDEX(Q:Q,MATCH(Table1[[#This Row],[Item Purchased]],D:D))</f>
        <v>Venmo</v>
      </c>
      <c r="T2100">
        <f>SUMIF(J:J,Table1[[#This Row],[Season]],F:F)</f>
        <v>55777</v>
      </c>
    </row>
    <row r="2101" spans="1:20" x14ac:dyDescent="0.3">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c r="S2101" t="str">
        <f>INDEX(Q:Q,MATCH(Table1[[#This Row],[Item Purchased]],D:D))</f>
        <v>Venmo</v>
      </c>
      <c r="T2101">
        <f>SUMIF(J:J,Table1[[#This Row],[Season]],F:F)</f>
        <v>55777</v>
      </c>
    </row>
    <row r="2102" spans="1:20" x14ac:dyDescent="0.3">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c r="S2102" t="str">
        <f>INDEX(Q:Q,MATCH(Table1[[#This Row],[Item Purchased]],D:D))</f>
        <v>Venmo</v>
      </c>
      <c r="T2102">
        <f>SUMIF(J:J,Table1[[#This Row],[Season]],F:F)</f>
        <v>58679</v>
      </c>
    </row>
    <row r="2103" spans="1:20" x14ac:dyDescent="0.3">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c r="S2103" t="str">
        <f>INDEX(Q:Q,MATCH(Table1[[#This Row],[Item Purchased]],D:D))</f>
        <v>Bank Transfer</v>
      </c>
      <c r="T2103">
        <f>SUMIF(J:J,Table1[[#This Row],[Season]],F:F)</f>
        <v>58607</v>
      </c>
    </row>
    <row r="2104" spans="1:20" x14ac:dyDescent="0.3">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c r="S2104" t="str">
        <f>INDEX(Q:Q,MATCH(Table1[[#This Row],[Item Purchased]],D:D))</f>
        <v>Venmo</v>
      </c>
      <c r="T2104">
        <f>SUMIF(J:J,Table1[[#This Row],[Season]],F:F)</f>
        <v>58679</v>
      </c>
    </row>
    <row r="2105" spans="1:20" x14ac:dyDescent="0.3">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c r="S2105" t="str">
        <f>INDEX(Q:Q,MATCH(Table1[[#This Row],[Item Purchased]],D:D))</f>
        <v>Cash</v>
      </c>
      <c r="T2105">
        <f>SUMIF(J:J,Table1[[#This Row],[Season]],F:F)</f>
        <v>55777</v>
      </c>
    </row>
    <row r="2106" spans="1:20" x14ac:dyDescent="0.3">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c r="S2106" t="str">
        <f>INDEX(Q:Q,MATCH(Table1[[#This Row],[Item Purchased]],D:D))</f>
        <v>PayPal</v>
      </c>
      <c r="T2106">
        <f>SUMIF(J:J,Table1[[#This Row],[Season]],F:F)</f>
        <v>58679</v>
      </c>
    </row>
    <row r="2107" spans="1:20" x14ac:dyDescent="0.3">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c r="S2107" t="str">
        <f>INDEX(Q:Q,MATCH(Table1[[#This Row],[Item Purchased]],D:D))</f>
        <v>Debit Card</v>
      </c>
      <c r="T2107">
        <f>SUMIF(J:J,Table1[[#This Row],[Season]],F:F)</f>
        <v>58679</v>
      </c>
    </row>
    <row r="2108" spans="1:20" x14ac:dyDescent="0.3">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c r="S2108" t="str">
        <f>INDEX(Q:Q,MATCH(Table1[[#This Row],[Item Purchased]],D:D))</f>
        <v>Cash</v>
      </c>
      <c r="T2108">
        <f>SUMIF(J:J,Table1[[#This Row],[Season]],F:F)</f>
        <v>60018</v>
      </c>
    </row>
    <row r="2109" spans="1:20" x14ac:dyDescent="0.3">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c r="S2109" t="str">
        <f>INDEX(Q:Q,MATCH(Table1[[#This Row],[Item Purchased]],D:D))</f>
        <v>Cash</v>
      </c>
      <c r="T2109">
        <f>SUMIF(J:J,Table1[[#This Row],[Season]],F:F)</f>
        <v>58607</v>
      </c>
    </row>
    <row r="2110" spans="1:20" x14ac:dyDescent="0.3">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c r="S2110" t="str">
        <f>INDEX(Q:Q,MATCH(Table1[[#This Row],[Item Purchased]],D:D))</f>
        <v>Venmo</v>
      </c>
      <c r="T2110">
        <f>SUMIF(J:J,Table1[[#This Row],[Season]],F:F)</f>
        <v>58607</v>
      </c>
    </row>
    <row r="2111" spans="1:20" x14ac:dyDescent="0.3">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c r="S2111" t="str">
        <f>INDEX(Q:Q,MATCH(Table1[[#This Row],[Item Purchased]],D:D))</f>
        <v>Cash</v>
      </c>
      <c r="T2111">
        <f>SUMIF(J:J,Table1[[#This Row],[Season]],F:F)</f>
        <v>60018</v>
      </c>
    </row>
    <row r="2112" spans="1:20" x14ac:dyDescent="0.3">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c r="S2112" t="str">
        <f>INDEX(Q:Q,MATCH(Table1[[#This Row],[Item Purchased]],D:D))</f>
        <v>Venmo</v>
      </c>
      <c r="T2112">
        <f>SUMIF(J:J,Table1[[#This Row],[Season]],F:F)</f>
        <v>58679</v>
      </c>
    </row>
    <row r="2113" spans="1:20" x14ac:dyDescent="0.3">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c r="S2113" t="str">
        <f>INDEX(Q:Q,MATCH(Table1[[#This Row],[Item Purchased]],D:D))</f>
        <v>Venmo</v>
      </c>
      <c r="T2113">
        <f>SUMIF(J:J,Table1[[#This Row],[Season]],F:F)</f>
        <v>58679</v>
      </c>
    </row>
    <row r="2114" spans="1:20" x14ac:dyDescent="0.3">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c r="S2114" t="e">
        <f>INDEX(Q:Q,MATCH(Table1[[#This Row],[Item Purchased]],D:D))</f>
        <v>#N/A</v>
      </c>
      <c r="T2114">
        <f>SUMIF(J:J,Table1[[#This Row],[Season]],F:F)</f>
        <v>60018</v>
      </c>
    </row>
    <row r="2115" spans="1:20" x14ac:dyDescent="0.3">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c r="S2115" t="str">
        <f>INDEX(Q:Q,MATCH(Table1[[#This Row],[Item Purchased]],D:D))</f>
        <v>Debit Card</v>
      </c>
      <c r="T2115">
        <f>SUMIF(J:J,Table1[[#This Row],[Season]],F:F)</f>
        <v>58679</v>
      </c>
    </row>
    <row r="2116" spans="1:20" x14ac:dyDescent="0.3">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c r="S2116" t="str">
        <f>INDEX(Q:Q,MATCH(Table1[[#This Row],[Item Purchased]],D:D))</f>
        <v>Bank Transfer</v>
      </c>
      <c r="T2116">
        <f>SUMIF(J:J,Table1[[#This Row],[Season]],F:F)</f>
        <v>58607</v>
      </c>
    </row>
    <row r="2117" spans="1:20" x14ac:dyDescent="0.3">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c r="S2117" t="str">
        <f>INDEX(Q:Q,MATCH(Table1[[#This Row],[Item Purchased]],D:D))</f>
        <v>Bank Transfer</v>
      </c>
      <c r="T2117">
        <f>SUMIF(J:J,Table1[[#This Row],[Season]],F:F)</f>
        <v>58607</v>
      </c>
    </row>
    <row r="2118" spans="1:20" x14ac:dyDescent="0.3">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c r="S2118" t="str">
        <f>INDEX(Q:Q,MATCH(Table1[[#This Row],[Item Purchased]],D:D))</f>
        <v>Debit Card</v>
      </c>
      <c r="T2118">
        <f>SUMIF(J:J,Table1[[#This Row],[Season]],F:F)</f>
        <v>55777</v>
      </c>
    </row>
    <row r="2119" spans="1:20" x14ac:dyDescent="0.3">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c r="S2119" t="str">
        <f>INDEX(Q:Q,MATCH(Table1[[#This Row],[Item Purchased]],D:D))</f>
        <v>Debit Card</v>
      </c>
      <c r="T2119">
        <f>SUMIF(J:J,Table1[[#This Row],[Season]],F:F)</f>
        <v>55777</v>
      </c>
    </row>
    <row r="2120" spans="1:20" x14ac:dyDescent="0.3">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c r="S2120" t="str">
        <f>INDEX(Q:Q,MATCH(Table1[[#This Row],[Item Purchased]],D:D))</f>
        <v>Venmo</v>
      </c>
      <c r="T2120">
        <f>SUMIF(J:J,Table1[[#This Row],[Season]],F:F)</f>
        <v>60018</v>
      </c>
    </row>
    <row r="2121" spans="1:20" x14ac:dyDescent="0.3">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c r="S2121" t="str">
        <f>INDEX(Q:Q,MATCH(Table1[[#This Row],[Item Purchased]],D:D))</f>
        <v>Cash</v>
      </c>
      <c r="T2121">
        <f>SUMIF(J:J,Table1[[#This Row],[Season]],F:F)</f>
        <v>58679</v>
      </c>
    </row>
    <row r="2122" spans="1:20" x14ac:dyDescent="0.3">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c r="S2122" t="str">
        <f>INDEX(Q:Q,MATCH(Table1[[#This Row],[Item Purchased]],D:D))</f>
        <v>Bank Transfer</v>
      </c>
      <c r="T2122">
        <f>SUMIF(J:J,Table1[[#This Row],[Season]],F:F)</f>
        <v>60018</v>
      </c>
    </row>
    <row r="2123" spans="1:20" x14ac:dyDescent="0.3">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c r="S2123" t="e">
        <f>INDEX(Q:Q,MATCH(Table1[[#This Row],[Item Purchased]],D:D))</f>
        <v>#N/A</v>
      </c>
      <c r="T2123">
        <f>SUMIF(J:J,Table1[[#This Row],[Season]],F:F)</f>
        <v>58607</v>
      </c>
    </row>
    <row r="2124" spans="1:20" x14ac:dyDescent="0.3">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c r="S2124" t="str">
        <f>INDEX(Q:Q,MATCH(Table1[[#This Row],[Item Purchased]],D:D))</f>
        <v>Debit Card</v>
      </c>
      <c r="T2124">
        <f>SUMIF(J:J,Table1[[#This Row],[Season]],F:F)</f>
        <v>60018</v>
      </c>
    </row>
    <row r="2125" spans="1:20" x14ac:dyDescent="0.3">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c r="S2125" t="str">
        <f>INDEX(Q:Q,MATCH(Table1[[#This Row],[Item Purchased]],D:D))</f>
        <v>Debit Card</v>
      </c>
      <c r="T2125">
        <f>SUMIF(J:J,Table1[[#This Row],[Season]],F:F)</f>
        <v>58679</v>
      </c>
    </row>
    <row r="2126" spans="1:20" x14ac:dyDescent="0.3">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c r="S2126" t="str">
        <f>INDEX(Q:Q,MATCH(Table1[[#This Row],[Item Purchased]],D:D))</f>
        <v>Credit Card</v>
      </c>
      <c r="T2126">
        <f>SUMIF(J:J,Table1[[#This Row],[Season]],F:F)</f>
        <v>60018</v>
      </c>
    </row>
    <row r="2127" spans="1:20" x14ac:dyDescent="0.3">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c r="S2127" t="str">
        <f>INDEX(Q:Q,MATCH(Table1[[#This Row],[Item Purchased]],D:D))</f>
        <v>Debit Card</v>
      </c>
      <c r="T2127">
        <f>SUMIF(J:J,Table1[[#This Row],[Season]],F:F)</f>
        <v>60018</v>
      </c>
    </row>
    <row r="2128" spans="1:20" x14ac:dyDescent="0.3">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c r="S2128" t="str">
        <f>INDEX(Q:Q,MATCH(Table1[[#This Row],[Item Purchased]],D:D))</f>
        <v>PayPal</v>
      </c>
      <c r="T2128">
        <f>SUMIF(J:J,Table1[[#This Row],[Season]],F:F)</f>
        <v>58607</v>
      </c>
    </row>
    <row r="2129" spans="1:20" x14ac:dyDescent="0.3">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c r="S2129" t="str">
        <f>INDEX(Q:Q,MATCH(Table1[[#This Row],[Item Purchased]],D:D))</f>
        <v>Venmo</v>
      </c>
      <c r="T2129">
        <f>SUMIF(J:J,Table1[[#This Row],[Season]],F:F)</f>
        <v>58679</v>
      </c>
    </row>
    <row r="2130" spans="1:20" x14ac:dyDescent="0.3">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c r="S2130" t="str">
        <f>INDEX(Q:Q,MATCH(Table1[[#This Row],[Item Purchased]],D:D))</f>
        <v>Debit Card</v>
      </c>
      <c r="T2130">
        <f>SUMIF(J:J,Table1[[#This Row],[Season]],F:F)</f>
        <v>60018</v>
      </c>
    </row>
    <row r="2131" spans="1:20" x14ac:dyDescent="0.3">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c r="S2131" t="str">
        <f>INDEX(Q:Q,MATCH(Table1[[#This Row],[Item Purchased]],D:D))</f>
        <v>Credit Card</v>
      </c>
      <c r="T2131">
        <f>SUMIF(J:J,Table1[[#This Row],[Season]],F:F)</f>
        <v>60018</v>
      </c>
    </row>
    <row r="2132" spans="1:20" x14ac:dyDescent="0.3">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c r="S2132" t="e">
        <f>INDEX(Q:Q,MATCH(Table1[[#This Row],[Item Purchased]],D:D))</f>
        <v>#N/A</v>
      </c>
      <c r="T2132">
        <f>SUMIF(J:J,Table1[[#This Row],[Season]],F:F)</f>
        <v>55777</v>
      </c>
    </row>
    <row r="2133" spans="1:20" x14ac:dyDescent="0.3">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c r="S2133" t="str">
        <f>INDEX(Q:Q,MATCH(Table1[[#This Row],[Item Purchased]],D:D))</f>
        <v>PayPal</v>
      </c>
      <c r="T2133">
        <f>SUMIF(J:J,Table1[[#This Row],[Season]],F:F)</f>
        <v>60018</v>
      </c>
    </row>
    <row r="2134" spans="1:20" x14ac:dyDescent="0.3">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c r="S2134" t="str">
        <f>INDEX(Q:Q,MATCH(Table1[[#This Row],[Item Purchased]],D:D))</f>
        <v>Credit Card</v>
      </c>
      <c r="T2134">
        <f>SUMIF(J:J,Table1[[#This Row],[Season]],F:F)</f>
        <v>60018</v>
      </c>
    </row>
    <row r="2135" spans="1:20" x14ac:dyDescent="0.3">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c r="S2135" t="str">
        <f>INDEX(Q:Q,MATCH(Table1[[#This Row],[Item Purchased]],D:D))</f>
        <v>Venmo</v>
      </c>
      <c r="T2135">
        <f>SUMIF(J:J,Table1[[#This Row],[Season]],F:F)</f>
        <v>55777</v>
      </c>
    </row>
    <row r="2136" spans="1:20" x14ac:dyDescent="0.3">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c r="S2136" t="str">
        <f>INDEX(Q:Q,MATCH(Table1[[#This Row],[Item Purchased]],D:D))</f>
        <v>Bank Transfer</v>
      </c>
      <c r="T2136">
        <f>SUMIF(J:J,Table1[[#This Row],[Season]],F:F)</f>
        <v>58607</v>
      </c>
    </row>
    <row r="2137" spans="1:20" x14ac:dyDescent="0.3">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c r="S2137" t="str">
        <f>INDEX(Q:Q,MATCH(Table1[[#This Row],[Item Purchased]],D:D))</f>
        <v>Venmo</v>
      </c>
      <c r="T2137">
        <f>SUMIF(J:J,Table1[[#This Row],[Season]],F:F)</f>
        <v>58607</v>
      </c>
    </row>
    <row r="2138" spans="1:20" x14ac:dyDescent="0.3">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c r="S2138" t="str">
        <f>INDEX(Q:Q,MATCH(Table1[[#This Row],[Item Purchased]],D:D))</f>
        <v>Venmo</v>
      </c>
      <c r="T2138">
        <f>SUMIF(J:J,Table1[[#This Row],[Season]],F:F)</f>
        <v>55777</v>
      </c>
    </row>
    <row r="2139" spans="1:20" x14ac:dyDescent="0.3">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c r="S2139" t="str">
        <f>INDEX(Q:Q,MATCH(Table1[[#This Row],[Item Purchased]],D:D))</f>
        <v>Venmo</v>
      </c>
      <c r="T2139">
        <f>SUMIF(J:J,Table1[[#This Row],[Season]],F:F)</f>
        <v>58607</v>
      </c>
    </row>
    <row r="2140" spans="1:20" x14ac:dyDescent="0.3">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c r="S2140" t="str">
        <f>INDEX(Q:Q,MATCH(Table1[[#This Row],[Item Purchased]],D:D))</f>
        <v>Venmo</v>
      </c>
      <c r="T2140">
        <f>SUMIF(J:J,Table1[[#This Row],[Season]],F:F)</f>
        <v>60018</v>
      </c>
    </row>
    <row r="2141" spans="1:20" x14ac:dyDescent="0.3">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c r="S2141" t="str">
        <f>INDEX(Q:Q,MATCH(Table1[[#This Row],[Item Purchased]],D:D))</f>
        <v>Venmo</v>
      </c>
      <c r="T2141">
        <f>SUMIF(J:J,Table1[[#This Row],[Season]],F:F)</f>
        <v>58607</v>
      </c>
    </row>
    <row r="2142" spans="1:20" x14ac:dyDescent="0.3">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c r="S2142" t="str">
        <f>INDEX(Q:Q,MATCH(Table1[[#This Row],[Item Purchased]],D:D))</f>
        <v>Cash</v>
      </c>
      <c r="T2142">
        <f>SUMIF(J:J,Table1[[#This Row],[Season]],F:F)</f>
        <v>60018</v>
      </c>
    </row>
    <row r="2143" spans="1:20" x14ac:dyDescent="0.3">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c r="S2143" t="str">
        <f>INDEX(Q:Q,MATCH(Table1[[#This Row],[Item Purchased]],D:D))</f>
        <v>Debit Card</v>
      </c>
      <c r="T2143">
        <f>SUMIF(J:J,Table1[[#This Row],[Season]],F:F)</f>
        <v>58607</v>
      </c>
    </row>
    <row r="2144" spans="1:20" x14ac:dyDescent="0.3">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c r="S2144" t="str">
        <f>INDEX(Q:Q,MATCH(Table1[[#This Row],[Item Purchased]],D:D))</f>
        <v>Venmo</v>
      </c>
      <c r="T2144">
        <f>SUMIF(J:J,Table1[[#This Row],[Season]],F:F)</f>
        <v>58607</v>
      </c>
    </row>
    <row r="2145" spans="1:20" x14ac:dyDescent="0.3">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c r="S2145" t="str">
        <f>INDEX(Q:Q,MATCH(Table1[[#This Row],[Item Purchased]],D:D))</f>
        <v>Bank Transfer</v>
      </c>
      <c r="T2145">
        <f>SUMIF(J:J,Table1[[#This Row],[Season]],F:F)</f>
        <v>60018</v>
      </c>
    </row>
    <row r="2146" spans="1:20" x14ac:dyDescent="0.3">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c r="S2146" t="str">
        <f>INDEX(Q:Q,MATCH(Table1[[#This Row],[Item Purchased]],D:D))</f>
        <v>PayPal</v>
      </c>
      <c r="T2146">
        <f>SUMIF(J:J,Table1[[#This Row],[Season]],F:F)</f>
        <v>58607</v>
      </c>
    </row>
    <row r="2147" spans="1:20" x14ac:dyDescent="0.3">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c r="S2147" t="str">
        <f>INDEX(Q:Q,MATCH(Table1[[#This Row],[Item Purchased]],D:D))</f>
        <v>Credit Card</v>
      </c>
      <c r="T2147">
        <f>SUMIF(J:J,Table1[[#This Row],[Season]],F:F)</f>
        <v>58607</v>
      </c>
    </row>
    <row r="2148" spans="1:20" x14ac:dyDescent="0.3">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c r="S2148" t="str">
        <f>INDEX(Q:Q,MATCH(Table1[[#This Row],[Item Purchased]],D:D))</f>
        <v>Venmo</v>
      </c>
      <c r="T2148">
        <f>SUMIF(J:J,Table1[[#This Row],[Season]],F:F)</f>
        <v>55777</v>
      </c>
    </row>
    <row r="2149" spans="1:20" x14ac:dyDescent="0.3">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c r="S2149" t="str">
        <f>INDEX(Q:Q,MATCH(Table1[[#This Row],[Item Purchased]],D:D))</f>
        <v>Credit Card</v>
      </c>
      <c r="T2149">
        <f>SUMIF(J:J,Table1[[#This Row],[Season]],F:F)</f>
        <v>60018</v>
      </c>
    </row>
    <row r="2150" spans="1:20" x14ac:dyDescent="0.3">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c r="S2150" t="str">
        <f>INDEX(Q:Q,MATCH(Table1[[#This Row],[Item Purchased]],D:D))</f>
        <v>Venmo</v>
      </c>
      <c r="T2150">
        <f>SUMIF(J:J,Table1[[#This Row],[Season]],F:F)</f>
        <v>58607</v>
      </c>
    </row>
    <row r="2151" spans="1:20" x14ac:dyDescent="0.3">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c r="S2151" t="str">
        <f>INDEX(Q:Q,MATCH(Table1[[#This Row],[Item Purchased]],D:D))</f>
        <v>Bank Transfer</v>
      </c>
      <c r="T2151">
        <f>SUMIF(J:J,Table1[[#This Row],[Season]],F:F)</f>
        <v>58607</v>
      </c>
    </row>
    <row r="2152" spans="1:20" x14ac:dyDescent="0.3">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c r="S2152" t="str">
        <f>INDEX(Q:Q,MATCH(Table1[[#This Row],[Item Purchased]],D:D))</f>
        <v>Bank Transfer</v>
      </c>
      <c r="T2152">
        <f>SUMIF(J:J,Table1[[#This Row],[Season]],F:F)</f>
        <v>58679</v>
      </c>
    </row>
    <row r="2153" spans="1:20" x14ac:dyDescent="0.3">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c r="S2153" t="str">
        <f>INDEX(Q:Q,MATCH(Table1[[#This Row],[Item Purchased]],D:D))</f>
        <v>Cash</v>
      </c>
      <c r="T2153">
        <f>SUMIF(J:J,Table1[[#This Row],[Season]],F:F)</f>
        <v>60018</v>
      </c>
    </row>
    <row r="2154" spans="1:20" x14ac:dyDescent="0.3">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c r="S2154" t="str">
        <f>INDEX(Q:Q,MATCH(Table1[[#This Row],[Item Purchased]],D:D))</f>
        <v>PayPal</v>
      </c>
      <c r="T2154">
        <f>SUMIF(J:J,Table1[[#This Row],[Season]],F:F)</f>
        <v>55777</v>
      </c>
    </row>
    <row r="2155" spans="1:20" x14ac:dyDescent="0.3">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c r="S2155" t="str">
        <f>INDEX(Q:Q,MATCH(Table1[[#This Row],[Item Purchased]],D:D))</f>
        <v>Bank Transfer</v>
      </c>
      <c r="T2155">
        <f>SUMIF(J:J,Table1[[#This Row],[Season]],F:F)</f>
        <v>60018</v>
      </c>
    </row>
    <row r="2156" spans="1:20" x14ac:dyDescent="0.3">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c r="S2156" t="str">
        <f>INDEX(Q:Q,MATCH(Table1[[#This Row],[Item Purchased]],D:D))</f>
        <v>Bank Transfer</v>
      </c>
      <c r="T2156">
        <f>SUMIF(J:J,Table1[[#This Row],[Season]],F:F)</f>
        <v>58679</v>
      </c>
    </row>
    <row r="2157" spans="1:20" x14ac:dyDescent="0.3">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c r="S2157" t="str">
        <f>INDEX(Q:Q,MATCH(Table1[[#This Row],[Item Purchased]],D:D))</f>
        <v>Cash</v>
      </c>
      <c r="T2157">
        <f>SUMIF(J:J,Table1[[#This Row],[Season]],F:F)</f>
        <v>60018</v>
      </c>
    </row>
    <row r="2158" spans="1:20" x14ac:dyDescent="0.3">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c r="S2158" t="str">
        <f>INDEX(Q:Q,MATCH(Table1[[#This Row],[Item Purchased]],D:D))</f>
        <v>Credit Card</v>
      </c>
      <c r="T2158">
        <f>SUMIF(J:J,Table1[[#This Row],[Season]],F:F)</f>
        <v>58607</v>
      </c>
    </row>
    <row r="2159" spans="1:20" x14ac:dyDescent="0.3">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c r="S2159" t="str">
        <f>INDEX(Q:Q,MATCH(Table1[[#This Row],[Item Purchased]],D:D))</f>
        <v>Cash</v>
      </c>
      <c r="T2159">
        <f>SUMIF(J:J,Table1[[#This Row],[Season]],F:F)</f>
        <v>58607</v>
      </c>
    </row>
    <row r="2160" spans="1:20" x14ac:dyDescent="0.3">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c r="S2160" t="str">
        <f>INDEX(Q:Q,MATCH(Table1[[#This Row],[Item Purchased]],D:D))</f>
        <v>Debit Card</v>
      </c>
      <c r="T2160">
        <f>SUMIF(J:J,Table1[[#This Row],[Season]],F:F)</f>
        <v>58679</v>
      </c>
    </row>
    <row r="2161" spans="1:20" x14ac:dyDescent="0.3">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c r="S2161" t="str">
        <f>INDEX(Q:Q,MATCH(Table1[[#This Row],[Item Purchased]],D:D))</f>
        <v>Bank Transfer</v>
      </c>
      <c r="T2161">
        <f>SUMIF(J:J,Table1[[#This Row],[Season]],F:F)</f>
        <v>60018</v>
      </c>
    </row>
    <row r="2162" spans="1:20" x14ac:dyDescent="0.3">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c r="S2162" t="str">
        <f>INDEX(Q:Q,MATCH(Table1[[#This Row],[Item Purchased]],D:D))</f>
        <v>Venmo</v>
      </c>
      <c r="T2162">
        <f>SUMIF(J:J,Table1[[#This Row],[Season]],F:F)</f>
        <v>58607</v>
      </c>
    </row>
    <row r="2163" spans="1:20" x14ac:dyDescent="0.3">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c r="S2163" t="str">
        <f>INDEX(Q:Q,MATCH(Table1[[#This Row],[Item Purchased]],D:D))</f>
        <v>Debit Card</v>
      </c>
      <c r="T2163">
        <f>SUMIF(J:J,Table1[[#This Row],[Season]],F:F)</f>
        <v>55777</v>
      </c>
    </row>
    <row r="2164" spans="1:20" x14ac:dyDescent="0.3">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c r="S2164" t="str">
        <f>INDEX(Q:Q,MATCH(Table1[[#This Row],[Item Purchased]],D:D))</f>
        <v>PayPal</v>
      </c>
      <c r="T2164">
        <f>SUMIF(J:J,Table1[[#This Row],[Season]],F:F)</f>
        <v>55777</v>
      </c>
    </row>
    <row r="2165" spans="1:20" x14ac:dyDescent="0.3">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c r="S2165" t="str">
        <f>INDEX(Q:Q,MATCH(Table1[[#This Row],[Item Purchased]],D:D))</f>
        <v>PayPal</v>
      </c>
      <c r="T2165">
        <f>SUMIF(J:J,Table1[[#This Row],[Season]],F:F)</f>
        <v>58679</v>
      </c>
    </row>
    <row r="2166" spans="1:20" x14ac:dyDescent="0.3">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c r="S2166" t="str">
        <f>INDEX(Q:Q,MATCH(Table1[[#This Row],[Item Purchased]],D:D))</f>
        <v>Bank Transfer</v>
      </c>
      <c r="T2166">
        <f>SUMIF(J:J,Table1[[#This Row],[Season]],F:F)</f>
        <v>58607</v>
      </c>
    </row>
    <row r="2167" spans="1:20" x14ac:dyDescent="0.3">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c r="S2167" t="str">
        <f>INDEX(Q:Q,MATCH(Table1[[#This Row],[Item Purchased]],D:D))</f>
        <v>Cash</v>
      </c>
      <c r="T2167">
        <f>SUMIF(J:J,Table1[[#This Row],[Season]],F:F)</f>
        <v>55777</v>
      </c>
    </row>
    <row r="2168" spans="1:20" x14ac:dyDescent="0.3">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c r="S2168" t="str">
        <f>INDEX(Q:Q,MATCH(Table1[[#This Row],[Item Purchased]],D:D))</f>
        <v>Debit Card</v>
      </c>
      <c r="T2168">
        <f>SUMIF(J:J,Table1[[#This Row],[Season]],F:F)</f>
        <v>58679</v>
      </c>
    </row>
    <row r="2169" spans="1:20" x14ac:dyDescent="0.3">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c r="S2169" t="str">
        <f>INDEX(Q:Q,MATCH(Table1[[#This Row],[Item Purchased]],D:D))</f>
        <v>Credit Card</v>
      </c>
      <c r="T2169">
        <f>SUMIF(J:J,Table1[[#This Row],[Season]],F:F)</f>
        <v>58607</v>
      </c>
    </row>
    <row r="2170" spans="1:20" x14ac:dyDescent="0.3">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c r="S2170" t="str">
        <f>INDEX(Q:Q,MATCH(Table1[[#This Row],[Item Purchased]],D:D))</f>
        <v>Cash</v>
      </c>
      <c r="T2170">
        <f>SUMIF(J:J,Table1[[#This Row],[Season]],F:F)</f>
        <v>58679</v>
      </c>
    </row>
    <row r="2171" spans="1:20" x14ac:dyDescent="0.3">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c r="S2171" t="str">
        <f>INDEX(Q:Q,MATCH(Table1[[#This Row],[Item Purchased]],D:D))</f>
        <v>Debit Card</v>
      </c>
      <c r="T2171">
        <f>SUMIF(J:J,Table1[[#This Row],[Season]],F:F)</f>
        <v>60018</v>
      </c>
    </row>
    <row r="2172" spans="1:20" x14ac:dyDescent="0.3">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c r="S2172" t="str">
        <f>INDEX(Q:Q,MATCH(Table1[[#This Row],[Item Purchased]],D:D))</f>
        <v>Venmo</v>
      </c>
      <c r="T2172">
        <f>SUMIF(J:J,Table1[[#This Row],[Season]],F:F)</f>
        <v>60018</v>
      </c>
    </row>
    <row r="2173" spans="1:20" x14ac:dyDescent="0.3">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c r="S2173" t="str">
        <f>INDEX(Q:Q,MATCH(Table1[[#This Row],[Item Purchased]],D:D))</f>
        <v>PayPal</v>
      </c>
      <c r="T2173">
        <f>SUMIF(J:J,Table1[[#This Row],[Season]],F:F)</f>
        <v>55777</v>
      </c>
    </row>
    <row r="2174" spans="1:20" x14ac:dyDescent="0.3">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c r="S2174" t="str">
        <f>INDEX(Q:Q,MATCH(Table1[[#This Row],[Item Purchased]],D:D))</f>
        <v>Credit Card</v>
      </c>
      <c r="T2174">
        <f>SUMIF(J:J,Table1[[#This Row],[Season]],F:F)</f>
        <v>60018</v>
      </c>
    </row>
    <row r="2175" spans="1:20" x14ac:dyDescent="0.3">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c r="S2175" t="str">
        <f>INDEX(Q:Q,MATCH(Table1[[#This Row],[Item Purchased]],D:D))</f>
        <v>Debit Card</v>
      </c>
      <c r="T2175">
        <f>SUMIF(J:J,Table1[[#This Row],[Season]],F:F)</f>
        <v>55777</v>
      </c>
    </row>
    <row r="2176" spans="1:20" x14ac:dyDescent="0.3">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c r="S2176" t="e">
        <f>INDEX(Q:Q,MATCH(Table1[[#This Row],[Item Purchased]],D:D))</f>
        <v>#N/A</v>
      </c>
      <c r="T2176">
        <f>SUMIF(J:J,Table1[[#This Row],[Season]],F:F)</f>
        <v>58679</v>
      </c>
    </row>
    <row r="2177" spans="1:20" x14ac:dyDescent="0.3">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c r="S2177" t="str">
        <f>INDEX(Q:Q,MATCH(Table1[[#This Row],[Item Purchased]],D:D))</f>
        <v>Debit Card</v>
      </c>
      <c r="T2177">
        <f>SUMIF(J:J,Table1[[#This Row],[Season]],F:F)</f>
        <v>58679</v>
      </c>
    </row>
    <row r="2178" spans="1:20" x14ac:dyDescent="0.3">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c r="S2178" t="e">
        <f>INDEX(Q:Q,MATCH(Table1[[#This Row],[Item Purchased]],D:D))</f>
        <v>#N/A</v>
      </c>
      <c r="T2178">
        <f>SUMIF(J:J,Table1[[#This Row],[Season]],F:F)</f>
        <v>58607</v>
      </c>
    </row>
    <row r="2179" spans="1:20" x14ac:dyDescent="0.3">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c r="S2179" t="str">
        <f>INDEX(Q:Q,MATCH(Table1[[#This Row],[Item Purchased]],D:D))</f>
        <v>Debit Card</v>
      </c>
      <c r="T2179">
        <f>SUMIF(J:J,Table1[[#This Row],[Season]],F:F)</f>
        <v>58607</v>
      </c>
    </row>
    <row r="2180" spans="1:20" x14ac:dyDescent="0.3">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c r="S2180" t="str">
        <f>INDEX(Q:Q,MATCH(Table1[[#This Row],[Item Purchased]],D:D))</f>
        <v>Cash</v>
      </c>
      <c r="T2180">
        <f>SUMIF(J:J,Table1[[#This Row],[Season]],F:F)</f>
        <v>55777</v>
      </c>
    </row>
    <row r="2181" spans="1:20" x14ac:dyDescent="0.3">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c r="S2181" t="str">
        <f>INDEX(Q:Q,MATCH(Table1[[#This Row],[Item Purchased]],D:D))</f>
        <v>Venmo</v>
      </c>
      <c r="T2181">
        <f>SUMIF(J:J,Table1[[#This Row],[Season]],F:F)</f>
        <v>60018</v>
      </c>
    </row>
    <row r="2182" spans="1:20" x14ac:dyDescent="0.3">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c r="S2182" t="str">
        <f>INDEX(Q:Q,MATCH(Table1[[#This Row],[Item Purchased]],D:D))</f>
        <v>Debit Card</v>
      </c>
      <c r="T2182">
        <f>SUMIF(J:J,Table1[[#This Row],[Season]],F:F)</f>
        <v>55777</v>
      </c>
    </row>
    <row r="2183" spans="1:20" x14ac:dyDescent="0.3">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c r="S2183" t="str">
        <f>INDEX(Q:Q,MATCH(Table1[[#This Row],[Item Purchased]],D:D))</f>
        <v>Cash</v>
      </c>
      <c r="T2183">
        <f>SUMIF(J:J,Table1[[#This Row],[Season]],F:F)</f>
        <v>60018</v>
      </c>
    </row>
    <row r="2184" spans="1:20" x14ac:dyDescent="0.3">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c r="S2184" t="str">
        <f>INDEX(Q:Q,MATCH(Table1[[#This Row],[Item Purchased]],D:D))</f>
        <v>Venmo</v>
      </c>
      <c r="T2184">
        <f>SUMIF(J:J,Table1[[#This Row],[Season]],F:F)</f>
        <v>58607</v>
      </c>
    </row>
    <row r="2185" spans="1:20" x14ac:dyDescent="0.3">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c r="S2185" t="str">
        <f>INDEX(Q:Q,MATCH(Table1[[#This Row],[Item Purchased]],D:D))</f>
        <v>PayPal</v>
      </c>
      <c r="T2185">
        <f>SUMIF(J:J,Table1[[#This Row],[Season]],F:F)</f>
        <v>58679</v>
      </c>
    </row>
    <row r="2186" spans="1:20" x14ac:dyDescent="0.3">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c r="S2186" t="str">
        <f>INDEX(Q:Q,MATCH(Table1[[#This Row],[Item Purchased]],D:D))</f>
        <v>PayPal</v>
      </c>
      <c r="T2186">
        <f>SUMIF(J:J,Table1[[#This Row],[Season]],F:F)</f>
        <v>58679</v>
      </c>
    </row>
    <row r="2187" spans="1:20" x14ac:dyDescent="0.3">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c r="S2187" t="str">
        <f>INDEX(Q:Q,MATCH(Table1[[#This Row],[Item Purchased]],D:D))</f>
        <v>PayPal</v>
      </c>
      <c r="T2187">
        <f>SUMIF(J:J,Table1[[#This Row],[Season]],F:F)</f>
        <v>58607</v>
      </c>
    </row>
    <row r="2188" spans="1:20" x14ac:dyDescent="0.3">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c r="S2188" t="str">
        <f>INDEX(Q:Q,MATCH(Table1[[#This Row],[Item Purchased]],D:D))</f>
        <v>Bank Transfer</v>
      </c>
      <c r="T2188">
        <f>SUMIF(J:J,Table1[[#This Row],[Season]],F:F)</f>
        <v>58607</v>
      </c>
    </row>
    <row r="2189" spans="1:20" x14ac:dyDescent="0.3">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c r="S2189" t="str">
        <f>INDEX(Q:Q,MATCH(Table1[[#This Row],[Item Purchased]],D:D))</f>
        <v>Venmo</v>
      </c>
      <c r="T2189">
        <f>SUMIF(J:J,Table1[[#This Row],[Season]],F:F)</f>
        <v>58679</v>
      </c>
    </row>
    <row r="2190" spans="1:20" x14ac:dyDescent="0.3">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c r="S2190" t="str">
        <f>INDEX(Q:Q,MATCH(Table1[[#This Row],[Item Purchased]],D:D))</f>
        <v>Debit Card</v>
      </c>
      <c r="T2190">
        <f>SUMIF(J:J,Table1[[#This Row],[Season]],F:F)</f>
        <v>58607</v>
      </c>
    </row>
    <row r="2191" spans="1:20" x14ac:dyDescent="0.3">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c r="S2191" t="str">
        <f>INDEX(Q:Q,MATCH(Table1[[#This Row],[Item Purchased]],D:D))</f>
        <v>Venmo</v>
      </c>
      <c r="T2191">
        <f>SUMIF(J:J,Table1[[#This Row],[Season]],F:F)</f>
        <v>60018</v>
      </c>
    </row>
    <row r="2192" spans="1:20" x14ac:dyDescent="0.3">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c r="S2192" t="e">
        <f>INDEX(Q:Q,MATCH(Table1[[#This Row],[Item Purchased]],D:D))</f>
        <v>#N/A</v>
      </c>
      <c r="T2192">
        <f>SUMIF(J:J,Table1[[#This Row],[Season]],F:F)</f>
        <v>58679</v>
      </c>
    </row>
    <row r="2193" spans="1:20" x14ac:dyDescent="0.3">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c r="S2193" t="str">
        <f>INDEX(Q:Q,MATCH(Table1[[#This Row],[Item Purchased]],D:D))</f>
        <v>Venmo</v>
      </c>
      <c r="T2193">
        <f>SUMIF(J:J,Table1[[#This Row],[Season]],F:F)</f>
        <v>55777</v>
      </c>
    </row>
    <row r="2194" spans="1:20" x14ac:dyDescent="0.3">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c r="S2194" t="str">
        <f>INDEX(Q:Q,MATCH(Table1[[#This Row],[Item Purchased]],D:D))</f>
        <v>Bank Transfer</v>
      </c>
      <c r="T2194">
        <f>SUMIF(J:J,Table1[[#This Row],[Season]],F:F)</f>
        <v>58607</v>
      </c>
    </row>
    <row r="2195" spans="1:20" x14ac:dyDescent="0.3">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c r="S2195" t="str">
        <f>INDEX(Q:Q,MATCH(Table1[[#This Row],[Item Purchased]],D:D))</f>
        <v>Bank Transfer</v>
      </c>
      <c r="T2195">
        <f>SUMIF(J:J,Table1[[#This Row],[Season]],F:F)</f>
        <v>58679</v>
      </c>
    </row>
    <row r="2196" spans="1:20" x14ac:dyDescent="0.3">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c r="S2196" t="str">
        <f>INDEX(Q:Q,MATCH(Table1[[#This Row],[Item Purchased]],D:D))</f>
        <v>Venmo</v>
      </c>
      <c r="T2196">
        <f>SUMIF(J:J,Table1[[#This Row],[Season]],F:F)</f>
        <v>55777</v>
      </c>
    </row>
    <row r="2197" spans="1:20" x14ac:dyDescent="0.3">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c r="S2197" t="str">
        <f>INDEX(Q:Q,MATCH(Table1[[#This Row],[Item Purchased]],D:D))</f>
        <v>Cash</v>
      </c>
      <c r="T2197">
        <f>SUMIF(J:J,Table1[[#This Row],[Season]],F:F)</f>
        <v>60018</v>
      </c>
    </row>
    <row r="2198" spans="1:20" x14ac:dyDescent="0.3">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c r="S2198" t="str">
        <f>INDEX(Q:Q,MATCH(Table1[[#This Row],[Item Purchased]],D:D))</f>
        <v>Debit Card</v>
      </c>
      <c r="T2198">
        <f>SUMIF(J:J,Table1[[#This Row],[Season]],F:F)</f>
        <v>58679</v>
      </c>
    </row>
    <row r="2199" spans="1:20" x14ac:dyDescent="0.3">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c r="S2199" t="str">
        <f>INDEX(Q:Q,MATCH(Table1[[#This Row],[Item Purchased]],D:D))</f>
        <v>Venmo</v>
      </c>
      <c r="T2199">
        <f>SUMIF(J:J,Table1[[#This Row],[Season]],F:F)</f>
        <v>55777</v>
      </c>
    </row>
    <row r="2200" spans="1:20" x14ac:dyDescent="0.3">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c r="S2200" t="str">
        <f>INDEX(Q:Q,MATCH(Table1[[#This Row],[Item Purchased]],D:D))</f>
        <v>Bank Transfer</v>
      </c>
      <c r="T2200">
        <f>SUMIF(J:J,Table1[[#This Row],[Season]],F:F)</f>
        <v>55777</v>
      </c>
    </row>
    <row r="2201" spans="1:20" x14ac:dyDescent="0.3">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c r="S2201" t="str">
        <f>INDEX(Q:Q,MATCH(Table1[[#This Row],[Item Purchased]],D:D))</f>
        <v>Bank Transfer</v>
      </c>
      <c r="T2201">
        <f>SUMIF(J:J,Table1[[#This Row],[Season]],F:F)</f>
        <v>55777</v>
      </c>
    </row>
    <row r="2202" spans="1:20" x14ac:dyDescent="0.3">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c r="S2202" t="str">
        <f>INDEX(Q:Q,MATCH(Table1[[#This Row],[Item Purchased]],D:D))</f>
        <v>Debit Card</v>
      </c>
      <c r="T2202">
        <f>SUMIF(J:J,Table1[[#This Row],[Season]],F:F)</f>
        <v>55777</v>
      </c>
    </row>
    <row r="2203" spans="1:20" x14ac:dyDescent="0.3">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c r="S2203" t="str">
        <f>INDEX(Q:Q,MATCH(Table1[[#This Row],[Item Purchased]],D:D))</f>
        <v>Cash</v>
      </c>
      <c r="T2203">
        <f>SUMIF(J:J,Table1[[#This Row],[Season]],F:F)</f>
        <v>58679</v>
      </c>
    </row>
    <row r="2204" spans="1:20" x14ac:dyDescent="0.3">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c r="S2204" t="str">
        <f>INDEX(Q:Q,MATCH(Table1[[#This Row],[Item Purchased]],D:D))</f>
        <v>Debit Card</v>
      </c>
      <c r="T2204">
        <f>SUMIF(J:J,Table1[[#This Row],[Season]],F:F)</f>
        <v>55777</v>
      </c>
    </row>
    <row r="2205" spans="1:20" x14ac:dyDescent="0.3">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c r="S2205" t="str">
        <f>INDEX(Q:Q,MATCH(Table1[[#This Row],[Item Purchased]],D:D))</f>
        <v>Debit Card</v>
      </c>
      <c r="T2205">
        <f>SUMIF(J:J,Table1[[#This Row],[Season]],F:F)</f>
        <v>58607</v>
      </c>
    </row>
    <row r="2206" spans="1:20" x14ac:dyDescent="0.3">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c r="S2206" t="str">
        <f>INDEX(Q:Q,MATCH(Table1[[#This Row],[Item Purchased]],D:D))</f>
        <v>Cash</v>
      </c>
      <c r="T2206">
        <f>SUMIF(J:J,Table1[[#This Row],[Season]],F:F)</f>
        <v>58607</v>
      </c>
    </row>
    <row r="2207" spans="1:20" x14ac:dyDescent="0.3">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c r="S2207" t="str">
        <f>INDEX(Q:Q,MATCH(Table1[[#This Row],[Item Purchased]],D:D))</f>
        <v>Venmo</v>
      </c>
      <c r="T2207">
        <f>SUMIF(J:J,Table1[[#This Row],[Season]],F:F)</f>
        <v>60018</v>
      </c>
    </row>
    <row r="2208" spans="1:20" x14ac:dyDescent="0.3">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c r="S2208" t="str">
        <f>INDEX(Q:Q,MATCH(Table1[[#This Row],[Item Purchased]],D:D))</f>
        <v>Bank Transfer</v>
      </c>
      <c r="T2208">
        <f>SUMIF(J:J,Table1[[#This Row],[Season]],F:F)</f>
        <v>58679</v>
      </c>
    </row>
    <row r="2209" spans="1:20" x14ac:dyDescent="0.3">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c r="S2209" t="str">
        <f>INDEX(Q:Q,MATCH(Table1[[#This Row],[Item Purchased]],D:D))</f>
        <v>Cash</v>
      </c>
      <c r="T2209">
        <f>SUMIF(J:J,Table1[[#This Row],[Season]],F:F)</f>
        <v>60018</v>
      </c>
    </row>
    <row r="2210" spans="1:20" x14ac:dyDescent="0.3">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c r="S2210" t="str">
        <f>INDEX(Q:Q,MATCH(Table1[[#This Row],[Item Purchased]],D:D))</f>
        <v>Bank Transfer</v>
      </c>
      <c r="T2210">
        <f>SUMIF(J:J,Table1[[#This Row],[Season]],F:F)</f>
        <v>55777</v>
      </c>
    </row>
    <row r="2211" spans="1:20" x14ac:dyDescent="0.3">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c r="S2211" t="str">
        <f>INDEX(Q:Q,MATCH(Table1[[#This Row],[Item Purchased]],D:D))</f>
        <v>Bank Transfer</v>
      </c>
      <c r="T2211">
        <f>SUMIF(J:J,Table1[[#This Row],[Season]],F:F)</f>
        <v>55777</v>
      </c>
    </row>
    <row r="2212" spans="1:20" x14ac:dyDescent="0.3">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c r="S2212" t="str">
        <f>INDEX(Q:Q,MATCH(Table1[[#This Row],[Item Purchased]],D:D))</f>
        <v>Venmo</v>
      </c>
      <c r="T2212">
        <f>SUMIF(J:J,Table1[[#This Row],[Season]],F:F)</f>
        <v>55777</v>
      </c>
    </row>
    <row r="2213" spans="1:20" x14ac:dyDescent="0.3">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c r="S2213" t="str">
        <f>INDEX(Q:Q,MATCH(Table1[[#This Row],[Item Purchased]],D:D))</f>
        <v>Venmo</v>
      </c>
      <c r="T2213">
        <f>SUMIF(J:J,Table1[[#This Row],[Season]],F:F)</f>
        <v>58607</v>
      </c>
    </row>
    <row r="2214" spans="1:20" x14ac:dyDescent="0.3">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c r="S2214" t="str">
        <f>INDEX(Q:Q,MATCH(Table1[[#This Row],[Item Purchased]],D:D))</f>
        <v>Cash</v>
      </c>
      <c r="T2214">
        <f>SUMIF(J:J,Table1[[#This Row],[Season]],F:F)</f>
        <v>58607</v>
      </c>
    </row>
    <row r="2215" spans="1:20" x14ac:dyDescent="0.3">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c r="S2215" t="str">
        <f>INDEX(Q:Q,MATCH(Table1[[#This Row],[Item Purchased]],D:D))</f>
        <v>Venmo</v>
      </c>
      <c r="T2215">
        <f>SUMIF(J:J,Table1[[#This Row],[Season]],F:F)</f>
        <v>60018</v>
      </c>
    </row>
    <row r="2216" spans="1:20" x14ac:dyDescent="0.3">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c r="S2216" t="e">
        <f>INDEX(Q:Q,MATCH(Table1[[#This Row],[Item Purchased]],D:D))</f>
        <v>#N/A</v>
      </c>
      <c r="T2216">
        <f>SUMIF(J:J,Table1[[#This Row],[Season]],F:F)</f>
        <v>60018</v>
      </c>
    </row>
    <row r="2217" spans="1:20" x14ac:dyDescent="0.3">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c r="S2217" t="str">
        <f>INDEX(Q:Q,MATCH(Table1[[#This Row],[Item Purchased]],D:D))</f>
        <v>Bank Transfer</v>
      </c>
      <c r="T2217">
        <f>SUMIF(J:J,Table1[[#This Row],[Season]],F:F)</f>
        <v>58607</v>
      </c>
    </row>
    <row r="2218" spans="1:20" x14ac:dyDescent="0.3">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c r="S2218" t="str">
        <f>INDEX(Q:Q,MATCH(Table1[[#This Row],[Item Purchased]],D:D))</f>
        <v>Cash</v>
      </c>
      <c r="T2218">
        <f>SUMIF(J:J,Table1[[#This Row],[Season]],F:F)</f>
        <v>58607</v>
      </c>
    </row>
    <row r="2219" spans="1:20" x14ac:dyDescent="0.3">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c r="S2219" t="str">
        <f>INDEX(Q:Q,MATCH(Table1[[#This Row],[Item Purchased]],D:D))</f>
        <v>Cash</v>
      </c>
      <c r="T2219">
        <f>SUMIF(J:J,Table1[[#This Row],[Season]],F:F)</f>
        <v>60018</v>
      </c>
    </row>
    <row r="2220" spans="1:20" x14ac:dyDescent="0.3">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c r="S2220" t="str">
        <f>INDEX(Q:Q,MATCH(Table1[[#This Row],[Item Purchased]],D:D))</f>
        <v>Venmo</v>
      </c>
      <c r="T2220">
        <f>SUMIF(J:J,Table1[[#This Row],[Season]],F:F)</f>
        <v>58607</v>
      </c>
    </row>
    <row r="2221" spans="1:20" x14ac:dyDescent="0.3">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c r="S2221" t="str">
        <f>INDEX(Q:Q,MATCH(Table1[[#This Row],[Item Purchased]],D:D))</f>
        <v>Venmo</v>
      </c>
      <c r="T2221">
        <f>SUMIF(J:J,Table1[[#This Row],[Season]],F:F)</f>
        <v>60018</v>
      </c>
    </row>
    <row r="2222" spans="1:20" x14ac:dyDescent="0.3">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c r="S2222" t="e">
        <f>INDEX(Q:Q,MATCH(Table1[[#This Row],[Item Purchased]],D:D))</f>
        <v>#N/A</v>
      </c>
      <c r="T2222">
        <f>SUMIF(J:J,Table1[[#This Row],[Season]],F:F)</f>
        <v>60018</v>
      </c>
    </row>
    <row r="2223" spans="1:20" x14ac:dyDescent="0.3">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c r="S2223" t="str">
        <f>INDEX(Q:Q,MATCH(Table1[[#This Row],[Item Purchased]],D:D))</f>
        <v>PayPal</v>
      </c>
      <c r="T2223">
        <f>SUMIF(J:J,Table1[[#This Row],[Season]],F:F)</f>
        <v>60018</v>
      </c>
    </row>
    <row r="2224" spans="1:20" x14ac:dyDescent="0.3">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c r="S2224" t="str">
        <f>INDEX(Q:Q,MATCH(Table1[[#This Row],[Item Purchased]],D:D))</f>
        <v>Cash</v>
      </c>
      <c r="T2224">
        <f>SUMIF(J:J,Table1[[#This Row],[Season]],F:F)</f>
        <v>55777</v>
      </c>
    </row>
    <row r="2225" spans="1:20" x14ac:dyDescent="0.3">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c r="S2225" t="str">
        <f>INDEX(Q:Q,MATCH(Table1[[#This Row],[Item Purchased]],D:D))</f>
        <v>Bank Transfer</v>
      </c>
      <c r="T2225">
        <f>SUMIF(J:J,Table1[[#This Row],[Season]],F:F)</f>
        <v>60018</v>
      </c>
    </row>
    <row r="2226" spans="1:20" x14ac:dyDescent="0.3">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c r="S2226" t="str">
        <f>INDEX(Q:Q,MATCH(Table1[[#This Row],[Item Purchased]],D:D))</f>
        <v>Debit Card</v>
      </c>
      <c r="T2226">
        <f>SUMIF(J:J,Table1[[#This Row],[Season]],F:F)</f>
        <v>58607</v>
      </c>
    </row>
    <row r="2227" spans="1:20" x14ac:dyDescent="0.3">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c r="S2227" t="e">
        <f>INDEX(Q:Q,MATCH(Table1[[#This Row],[Item Purchased]],D:D))</f>
        <v>#N/A</v>
      </c>
      <c r="T2227">
        <f>SUMIF(J:J,Table1[[#This Row],[Season]],F:F)</f>
        <v>58679</v>
      </c>
    </row>
    <row r="2228" spans="1:20" x14ac:dyDescent="0.3">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c r="S2228" t="str">
        <f>INDEX(Q:Q,MATCH(Table1[[#This Row],[Item Purchased]],D:D))</f>
        <v>Bank Transfer</v>
      </c>
      <c r="T2228">
        <f>SUMIF(J:J,Table1[[#This Row],[Season]],F:F)</f>
        <v>58679</v>
      </c>
    </row>
    <row r="2229" spans="1:20" x14ac:dyDescent="0.3">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c r="S2229" t="str">
        <f>INDEX(Q:Q,MATCH(Table1[[#This Row],[Item Purchased]],D:D))</f>
        <v>Bank Transfer</v>
      </c>
      <c r="T2229">
        <f>SUMIF(J:J,Table1[[#This Row],[Season]],F:F)</f>
        <v>55777</v>
      </c>
    </row>
    <row r="2230" spans="1:20" x14ac:dyDescent="0.3">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c r="S2230" t="str">
        <f>INDEX(Q:Q,MATCH(Table1[[#This Row],[Item Purchased]],D:D))</f>
        <v>Debit Card</v>
      </c>
      <c r="T2230">
        <f>SUMIF(J:J,Table1[[#This Row],[Season]],F:F)</f>
        <v>60018</v>
      </c>
    </row>
    <row r="2231" spans="1:20" x14ac:dyDescent="0.3">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c r="S2231" t="str">
        <f>INDEX(Q:Q,MATCH(Table1[[#This Row],[Item Purchased]],D:D))</f>
        <v>Cash</v>
      </c>
      <c r="T2231">
        <f>SUMIF(J:J,Table1[[#This Row],[Season]],F:F)</f>
        <v>60018</v>
      </c>
    </row>
    <row r="2232" spans="1:20" x14ac:dyDescent="0.3">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c r="S2232" t="str">
        <f>INDEX(Q:Q,MATCH(Table1[[#This Row],[Item Purchased]],D:D))</f>
        <v>Venmo</v>
      </c>
      <c r="T2232">
        <f>SUMIF(J:J,Table1[[#This Row],[Season]],F:F)</f>
        <v>58679</v>
      </c>
    </row>
    <row r="2233" spans="1:20" x14ac:dyDescent="0.3">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c r="S2233" t="str">
        <f>INDEX(Q:Q,MATCH(Table1[[#This Row],[Item Purchased]],D:D))</f>
        <v>Debit Card</v>
      </c>
      <c r="T2233">
        <f>SUMIF(J:J,Table1[[#This Row],[Season]],F:F)</f>
        <v>60018</v>
      </c>
    </row>
    <row r="2234" spans="1:20" x14ac:dyDescent="0.3">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c r="S2234" t="str">
        <f>INDEX(Q:Q,MATCH(Table1[[#This Row],[Item Purchased]],D:D))</f>
        <v>PayPal</v>
      </c>
      <c r="T2234">
        <f>SUMIF(J:J,Table1[[#This Row],[Season]],F:F)</f>
        <v>58679</v>
      </c>
    </row>
    <row r="2235" spans="1:20" x14ac:dyDescent="0.3">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c r="S2235" t="str">
        <f>INDEX(Q:Q,MATCH(Table1[[#This Row],[Item Purchased]],D:D))</f>
        <v>Venmo</v>
      </c>
      <c r="T2235">
        <f>SUMIF(J:J,Table1[[#This Row],[Season]],F:F)</f>
        <v>55777</v>
      </c>
    </row>
    <row r="2236" spans="1:20" x14ac:dyDescent="0.3">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c r="S2236" t="str">
        <f>INDEX(Q:Q,MATCH(Table1[[#This Row],[Item Purchased]],D:D))</f>
        <v>Venmo</v>
      </c>
      <c r="T2236">
        <f>SUMIF(J:J,Table1[[#This Row],[Season]],F:F)</f>
        <v>58607</v>
      </c>
    </row>
    <row r="2237" spans="1:20" x14ac:dyDescent="0.3">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c r="S2237" t="str">
        <f>INDEX(Q:Q,MATCH(Table1[[#This Row],[Item Purchased]],D:D))</f>
        <v>Venmo</v>
      </c>
      <c r="T2237">
        <f>SUMIF(J:J,Table1[[#This Row],[Season]],F:F)</f>
        <v>58679</v>
      </c>
    </row>
    <row r="2238" spans="1:20" x14ac:dyDescent="0.3">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c r="S2238" t="str">
        <f>INDEX(Q:Q,MATCH(Table1[[#This Row],[Item Purchased]],D:D))</f>
        <v>Venmo</v>
      </c>
      <c r="T2238">
        <f>SUMIF(J:J,Table1[[#This Row],[Season]],F:F)</f>
        <v>58607</v>
      </c>
    </row>
    <row r="2239" spans="1:20" x14ac:dyDescent="0.3">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c r="S2239" t="str">
        <f>INDEX(Q:Q,MATCH(Table1[[#This Row],[Item Purchased]],D:D))</f>
        <v>Bank Transfer</v>
      </c>
      <c r="T2239">
        <f>SUMIF(J:J,Table1[[#This Row],[Season]],F:F)</f>
        <v>55777</v>
      </c>
    </row>
    <row r="2240" spans="1:20" x14ac:dyDescent="0.3">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c r="S2240" t="str">
        <f>INDEX(Q:Q,MATCH(Table1[[#This Row],[Item Purchased]],D:D))</f>
        <v>Venmo</v>
      </c>
      <c r="T2240">
        <f>SUMIF(J:J,Table1[[#This Row],[Season]],F:F)</f>
        <v>58607</v>
      </c>
    </row>
    <row r="2241" spans="1:20" x14ac:dyDescent="0.3">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c r="S2241" t="str">
        <f>INDEX(Q:Q,MATCH(Table1[[#This Row],[Item Purchased]],D:D))</f>
        <v>Cash</v>
      </c>
      <c r="T2241">
        <f>SUMIF(J:J,Table1[[#This Row],[Season]],F:F)</f>
        <v>55777</v>
      </c>
    </row>
    <row r="2242" spans="1:20" x14ac:dyDescent="0.3">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c r="S2242" t="str">
        <f>INDEX(Q:Q,MATCH(Table1[[#This Row],[Item Purchased]],D:D))</f>
        <v>Bank Transfer</v>
      </c>
      <c r="T2242">
        <f>SUMIF(J:J,Table1[[#This Row],[Season]],F:F)</f>
        <v>58607</v>
      </c>
    </row>
    <row r="2243" spans="1:20" x14ac:dyDescent="0.3">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c r="S2243" t="str">
        <f>INDEX(Q:Q,MATCH(Table1[[#This Row],[Item Purchased]],D:D))</f>
        <v>Debit Card</v>
      </c>
      <c r="T2243">
        <f>SUMIF(J:J,Table1[[#This Row],[Season]],F:F)</f>
        <v>55777</v>
      </c>
    </row>
    <row r="2244" spans="1:20" x14ac:dyDescent="0.3">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c r="S2244" t="str">
        <f>INDEX(Q:Q,MATCH(Table1[[#This Row],[Item Purchased]],D:D))</f>
        <v>Credit Card</v>
      </c>
      <c r="T2244">
        <f>SUMIF(J:J,Table1[[#This Row],[Season]],F:F)</f>
        <v>58679</v>
      </c>
    </row>
    <row r="2245" spans="1:20" x14ac:dyDescent="0.3">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c r="S2245" t="str">
        <f>INDEX(Q:Q,MATCH(Table1[[#This Row],[Item Purchased]],D:D))</f>
        <v>Bank Transfer</v>
      </c>
      <c r="T2245">
        <f>SUMIF(J:J,Table1[[#This Row],[Season]],F:F)</f>
        <v>58607</v>
      </c>
    </row>
    <row r="2246" spans="1:20" x14ac:dyDescent="0.3">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c r="S2246" t="str">
        <f>INDEX(Q:Q,MATCH(Table1[[#This Row],[Item Purchased]],D:D))</f>
        <v>PayPal</v>
      </c>
      <c r="T2246">
        <f>SUMIF(J:J,Table1[[#This Row],[Season]],F:F)</f>
        <v>55777</v>
      </c>
    </row>
    <row r="2247" spans="1:20" x14ac:dyDescent="0.3">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c r="S2247" t="str">
        <f>INDEX(Q:Q,MATCH(Table1[[#This Row],[Item Purchased]],D:D))</f>
        <v>Venmo</v>
      </c>
      <c r="T2247">
        <f>SUMIF(J:J,Table1[[#This Row],[Season]],F:F)</f>
        <v>60018</v>
      </c>
    </row>
    <row r="2248" spans="1:20" x14ac:dyDescent="0.3">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c r="S2248" t="str">
        <f>INDEX(Q:Q,MATCH(Table1[[#This Row],[Item Purchased]],D:D))</f>
        <v>Debit Card</v>
      </c>
      <c r="T2248">
        <f>SUMIF(J:J,Table1[[#This Row],[Season]],F:F)</f>
        <v>60018</v>
      </c>
    </row>
    <row r="2249" spans="1:20" x14ac:dyDescent="0.3">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c r="S2249" t="str">
        <f>INDEX(Q:Q,MATCH(Table1[[#This Row],[Item Purchased]],D:D))</f>
        <v>Cash</v>
      </c>
      <c r="T2249">
        <f>SUMIF(J:J,Table1[[#This Row],[Season]],F:F)</f>
        <v>55777</v>
      </c>
    </row>
    <row r="2250" spans="1:20" x14ac:dyDescent="0.3">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c r="S2250" t="str">
        <f>INDEX(Q:Q,MATCH(Table1[[#This Row],[Item Purchased]],D:D))</f>
        <v>Venmo</v>
      </c>
      <c r="T2250">
        <f>SUMIF(J:J,Table1[[#This Row],[Season]],F:F)</f>
        <v>58607</v>
      </c>
    </row>
    <row r="2251" spans="1:20" x14ac:dyDescent="0.3">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c r="S2251" t="str">
        <f>INDEX(Q:Q,MATCH(Table1[[#This Row],[Item Purchased]],D:D))</f>
        <v>Debit Card</v>
      </c>
      <c r="T2251">
        <f>SUMIF(J:J,Table1[[#This Row],[Season]],F:F)</f>
        <v>58679</v>
      </c>
    </row>
    <row r="2252" spans="1:20" x14ac:dyDescent="0.3">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c r="S2252" t="str">
        <f>INDEX(Q:Q,MATCH(Table1[[#This Row],[Item Purchased]],D:D))</f>
        <v>PayPal</v>
      </c>
      <c r="T2252">
        <f>SUMIF(J:J,Table1[[#This Row],[Season]],F:F)</f>
        <v>55777</v>
      </c>
    </row>
    <row r="2253" spans="1:20" x14ac:dyDescent="0.3">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c r="S2253" t="str">
        <f>INDEX(Q:Q,MATCH(Table1[[#This Row],[Item Purchased]],D:D))</f>
        <v>PayPal</v>
      </c>
      <c r="T2253">
        <f>SUMIF(J:J,Table1[[#This Row],[Season]],F:F)</f>
        <v>60018</v>
      </c>
    </row>
    <row r="2254" spans="1:20" x14ac:dyDescent="0.3">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c r="S2254" t="str">
        <f>INDEX(Q:Q,MATCH(Table1[[#This Row],[Item Purchased]],D:D))</f>
        <v>PayPal</v>
      </c>
      <c r="T2254">
        <f>SUMIF(J:J,Table1[[#This Row],[Season]],F:F)</f>
        <v>55777</v>
      </c>
    </row>
    <row r="2255" spans="1:20" x14ac:dyDescent="0.3">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c r="S2255" t="str">
        <f>INDEX(Q:Q,MATCH(Table1[[#This Row],[Item Purchased]],D:D))</f>
        <v>Venmo</v>
      </c>
      <c r="T2255">
        <f>SUMIF(J:J,Table1[[#This Row],[Season]],F:F)</f>
        <v>58679</v>
      </c>
    </row>
    <row r="2256" spans="1:20" x14ac:dyDescent="0.3">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c r="S2256" t="e">
        <f>INDEX(Q:Q,MATCH(Table1[[#This Row],[Item Purchased]],D:D))</f>
        <v>#N/A</v>
      </c>
      <c r="T2256">
        <f>SUMIF(J:J,Table1[[#This Row],[Season]],F:F)</f>
        <v>58607</v>
      </c>
    </row>
    <row r="2257" spans="1:20" x14ac:dyDescent="0.3">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c r="S2257" t="str">
        <f>INDEX(Q:Q,MATCH(Table1[[#This Row],[Item Purchased]],D:D))</f>
        <v>Debit Card</v>
      </c>
      <c r="T2257">
        <f>SUMIF(J:J,Table1[[#This Row],[Season]],F:F)</f>
        <v>58679</v>
      </c>
    </row>
    <row r="2258" spans="1:20" x14ac:dyDescent="0.3">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c r="S2258" t="str">
        <f>INDEX(Q:Q,MATCH(Table1[[#This Row],[Item Purchased]],D:D))</f>
        <v>Venmo</v>
      </c>
      <c r="T2258">
        <f>SUMIF(J:J,Table1[[#This Row],[Season]],F:F)</f>
        <v>60018</v>
      </c>
    </row>
    <row r="2259" spans="1:20" x14ac:dyDescent="0.3">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c r="S2259" t="str">
        <f>INDEX(Q:Q,MATCH(Table1[[#This Row],[Item Purchased]],D:D))</f>
        <v>Credit Card</v>
      </c>
      <c r="T2259">
        <f>SUMIF(J:J,Table1[[#This Row],[Season]],F:F)</f>
        <v>60018</v>
      </c>
    </row>
    <row r="2260" spans="1:20" x14ac:dyDescent="0.3">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c r="S2260" t="str">
        <f>INDEX(Q:Q,MATCH(Table1[[#This Row],[Item Purchased]],D:D))</f>
        <v>Venmo</v>
      </c>
      <c r="T2260">
        <f>SUMIF(J:J,Table1[[#This Row],[Season]],F:F)</f>
        <v>58607</v>
      </c>
    </row>
    <row r="2261" spans="1:20" x14ac:dyDescent="0.3">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c r="S2261" t="str">
        <f>INDEX(Q:Q,MATCH(Table1[[#This Row],[Item Purchased]],D:D))</f>
        <v>Cash</v>
      </c>
      <c r="T2261">
        <f>SUMIF(J:J,Table1[[#This Row],[Season]],F:F)</f>
        <v>58679</v>
      </c>
    </row>
    <row r="2262" spans="1:20" x14ac:dyDescent="0.3">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c r="S2262" t="str">
        <f>INDEX(Q:Q,MATCH(Table1[[#This Row],[Item Purchased]],D:D))</f>
        <v>Bank Transfer</v>
      </c>
      <c r="T2262">
        <f>SUMIF(J:J,Table1[[#This Row],[Season]],F:F)</f>
        <v>60018</v>
      </c>
    </row>
    <row r="2263" spans="1:20" x14ac:dyDescent="0.3">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c r="S2263" t="e">
        <f>INDEX(Q:Q,MATCH(Table1[[#This Row],[Item Purchased]],D:D))</f>
        <v>#N/A</v>
      </c>
      <c r="T2263">
        <f>SUMIF(J:J,Table1[[#This Row],[Season]],F:F)</f>
        <v>58679</v>
      </c>
    </row>
    <row r="2264" spans="1:20" x14ac:dyDescent="0.3">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c r="S2264" t="e">
        <f>INDEX(Q:Q,MATCH(Table1[[#This Row],[Item Purchased]],D:D))</f>
        <v>#N/A</v>
      </c>
      <c r="T2264">
        <f>SUMIF(J:J,Table1[[#This Row],[Season]],F:F)</f>
        <v>58607</v>
      </c>
    </row>
    <row r="2265" spans="1:20" x14ac:dyDescent="0.3">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c r="S2265" t="str">
        <f>INDEX(Q:Q,MATCH(Table1[[#This Row],[Item Purchased]],D:D))</f>
        <v>Bank Transfer</v>
      </c>
      <c r="T2265">
        <f>SUMIF(J:J,Table1[[#This Row],[Season]],F:F)</f>
        <v>58607</v>
      </c>
    </row>
    <row r="2266" spans="1:20" x14ac:dyDescent="0.3">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c r="S2266" t="str">
        <f>INDEX(Q:Q,MATCH(Table1[[#This Row],[Item Purchased]],D:D))</f>
        <v>Venmo</v>
      </c>
      <c r="T2266">
        <f>SUMIF(J:J,Table1[[#This Row],[Season]],F:F)</f>
        <v>55777</v>
      </c>
    </row>
    <row r="2267" spans="1:20" x14ac:dyDescent="0.3">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c r="S2267" t="str">
        <f>INDEX(Q:Q,MATCH(Table1[[#This Row],[Item Purchased]],D:D))</f>
        <v>Debit Card</v>
      </c>
      <c r="T2267">
        <f>SUMIF(J:J,Table1[[#This Row],[Season]],F:F)</f>
        <v>60018</v>
      </c>
    </row>
    <row r="2268" spans="1:20" x14ac:dyDescent="0.3">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c r="S2268" t="str">
        <f>INDEX(Q:Q,MATCH(Table1[[#This Row],[Item Purchased]],D:D))</f>
        <v>Debit Card</v>
      </c>
      <c r="T2268">
        <f>SUMIF(J:J,Table1[[#This Row],[Season]],F:F)</f>
        <v>60018</v>
      </c>
    </row>
    <row r="2269" spans="1:20" x14ac:dyDescent="0.3">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c r="S2269" t="str">
        <f>INDEX(Q:Q,MATCH(Table1[[#This Row],[Item Purchased]],D:D))</f>
        <v>Debit Card</v>
      </c>
      <c r="T2269">
        <f>SUMIF(J:J,Table1[[#This Row],[Season]],F:F)</f>
        <v>58679</v>
      </c>
    </row>
    <row r="2270" spans="1:20" x14ac:dyDescent="0.3">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c r="S2270" t="str">
        <f>INDEX(Q:Q,MATCH(Table1[[#This Row],[Item Purchased]],D:D))</f>
        <v>Venmo</v>
      </c>
      <c r="T2270">
        <f>SUMIF(J:J,Table1[[#This Row],[Season]],F:F)</f>
        <v>58679</v>
      </c>
    </row>
    <row r="2271" spans="1:20" x14ac:dyDescent="0.3">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c r="S2271" t="str">
        <f>INDEX(Q:Q,MATCH(Table1[[#This Row],[Item Purchased]],D:D))</f>
        <v>Credit Card</v>
      </c>
      <c r="T2271">
        <f>SUMIF(J:J,Table1[[#This Row],[Season]],F:F)</f>
        <v>60018</v>
      </c>
    </row>
    <row r="2272" spans="1:20" x14ac:dyDescent="0.3">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c r="S2272" t="str">
        <f>INDEX(Q:Q,MATCH(Table1[[#This Row],[Item Purchased]],D:D))</f>
        <v>Venmo</v>
      </c>
      <c r="T2272">
        <f>SUMIF(J:J,Table1[[#This Row],[Season]],F:F)</f>
        <v>58679</v>
      </c>
    </row>
    <row r="2273" spans="1:20" x14ac:dyDescent="0.3">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c r="S2273" t="str">
        <f>INDEX(Q:Q,MATCH(Table1[[#This Row],[Item Purchased]],D:D))</f>
        <v>Debit Card</v>
      </c>
      <c r="T2273">
        <f>SUMIF(J:J,Table1[[#This Row],[Season]],F:F)</f>
        <v>55777</v>
      </c>
    </row>
    <row r="2274" spans="1:20" x14ac:dyDescent="0.3">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c r="S2274" t="str">
        <f>INDEX(Q:Q,MATCH(Table1[[#This Row],[Item Purchased]],D:D))</f>
        <v>Debit Card</v>
      </c>
      <c r="T2274">
        <f>SUMIF(J:J,Table1[[#This Row],[Season]],F:F)</f>
        <v>58679</v>
      </c>
    </row>
    <row r="2275" spans="1:20" x14ac:dyDescent="0.3">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c r="S2275" t="str">
        <f>INDEX(Q:Q,MATCH(Table1[[#This Row],[Item Purchased]],D:D))</f>
        <v>Debit Card</v>
      </c>
      <c r="T2275">
        <f>SUMIF(J:J,Table1[[#This Row],[Season]],F:F)</f>
        <v>58607</v>
      </c>
    </row>
    <row r="2276" spans="1:20" x14ac:dyDescent="0.3">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c r="S2276" t="str">
        <f>INDEX(Q:Q,MATCH(Table1[[#This Row],[Item Purchased]],D:D))</f>
        <v>Debit Card</v>
      </c>
      <c r="T2276">
        <f>SUMIF(J:J,Table1[[#This Row],[Season]],F:F)</f>
        <v>58679</v>
      </c>
    </row>
    <row r="2277" spans="1:20" x14ac:dyDescent="0.3">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c r="S2277" t="str">
        <f>INDEX(Q:Q,MATCH(Table1[[#This Row],[Item Purchased]],D:D))</f>
        <v>PayPal</v>
      </c>
      <c r="T2277">
        <f>SUMIF(J:J,Table1[[#This Row],[Season]],F:F)</f>
        <v>58607</v>
      </c>
    </row>
    <row r="2278" spans="1:20" x14ac:dyDescent="0.3">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c r="S2278" t="str">
        <f>INDEX(Q:Q,MATCH(Table1[[#This Row],[Item Purchased]],D:D))</f>
        <v>Cash</v>
      </c>
      <c r="T2278">
        <f>SUMIF(J:J,Table1[[#This Row],[Season]],F:F)</f>
        <v>55777</v>
      </c>
    </row>
    <row r="2279" spans="1:20" x14ac:dyDescent="0.3">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c r="S2279" t="str">
        <f>INDEX(Q:Q,MATCH(Table1[[#This Row],[Item Purchased]],D:D))</f>
        <v>Venmo</v>
      </c>
      <c r="T2279">
        <f>SUMIF(J:J,Table1[[#This Row],[Season]],F:F)</f>
        <v>55777</v>
      </c>
    </row>
    <row r="2280" spans="1:20" x14ac:dyDescent="0.3">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c r="S2280" t="str">
        <f>INDEX(Q:Q,MATCH(Table1[[#This Row],[Item Purchased]],D:D))</f>
        <v>Debit Card</v>
      </c>
      <c r="T2280">
        <f>SUMIF(J:J,Table1[[#This Row],[Season]],F:F)</f>
        <v>60018</v>
      </c>
    </row>
    <row r="2281" spans="1:20" x14ac:dyDescent="0.3">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c r="S2281" t="str">
        <f>INDEX(Q:Q,MATCH(Table1[[#This Row],[Item Purchased]],D:D))</f>
        <v>Venmo</v>
      </c>
      <c r="T2281">
        <f>SUMIF(J:J,Table1[[#This Row],[Season]],F:F)</f>
        <v>58679</v>
      </c>
    </row>
    <row r="2282" spans="1:20" x14ac:dyDescent="0.3">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c r="S2282" t="str">
        <f>INDEX(Q:Q,MATCH(Table1[[#This Row],[Item Purchased]],D:D))</f>
        <v>PayPal</v>
      </c>
      <c r="T2282">
        <f>SUMIF(J:J,Table1[[#This Row],[Season]],F:F)</f>
        <v>55777</v>
      </c>
    </row>
    <row r="2283" spans="1:20" x14ac:dyDescent="0.3">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c r="S2283" t="str">
        <f>INDEX(Q:Q,MATCH(Table1[[#This Row],[Item Purchased]],D:D))</f>
        <v>Venmo</v>
      </c>
      <c r="T2283">
        <f>SUMIF(J:J,Table1[[#This Row],[Season]],F:F)</f>
        <v>55777</v>
      </c>
    </row>
    <row r="2284" spans="1:20" x14ac:dyDescent="0.3">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c r="S2284" t="str">
        <f>INDEX(Q:Q,MATCH(Table1[[#This Row],[Item Purchased]],D:D))</f>
        <v>Venmo</v>
      </c>
      <c r="T2284">
        <f>SUMIF(J:J,Table1[[#This Row],[Season]],F:F)</f>
        <v>60018</v>
      </c>
    </row>
    <row r="2285" spans="1:20" x14ac:dyDescent="0.3">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c r="S2285" t="str">
        <f>INDEX(Q:Q,MATCH(Table1[[#This Row],[Item Purchased]],D:D))</f>
        <v>Cash</v>
      </c>
      <c r="T2285">
        <f>SUMIF(J:J,Table1[[#This Row],[Season]],F:F)</f>
        <v>58607</v>
      </c>
    </row>
    <row r="2286" spans="1:20" x14ac:dyDescent="0.3">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c r="S2286" t="str">
        <f>INDEX(Q:Q,MATCH(Table1[[#This Row],[Item Purchased]],D:D))</f>
        <v>Venmo</v>
      </c>
      <c r="T2286">
        <f>SUMIF(J:J,Table1[[#This Row],[Season]],F:F)</f>
        <v>60018</v>
      </c>
    </row>
    <row r="2287" spans="1:20" x14ac:dyDescent="0.3">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c r="S2287" t="e">
        <f>INDEX(Q:Q,MATCH(Table1[[#This Row],[Item Purchased]],D:D))</f>
        <v>#N/A</v>
      </c>
      <c r="T2287">
        <f>SUMIF(J:J,Table1[[#This Row],[Season]],F:F)</f>
        <v>55777</v>
      </c>
    </row>
    <row r="2288" spans="1:20" x14ac:dyDescent="0.3">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c r="S2288" t="str">
        <f>INDEX(Q:Q,MATCH(Table1[[#This Row],[Item Purchased]],D:D))</f>
        <v>Venmo</v>
      </c>
      <c r="T2288">
        <f>SUMIF(J:J,Table1[[#This Row],[Season]],F:F)</f>
        <v>58679</v>
      </c>
    </row>
    <row r="2289" spans="1:20" x14ac:dyDescent="0.3">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c r="S2289" t="str">
        <f>INDEX(Q:Q,MATCH(Table1[[#This Row],[Item Purchased]],D:D))</f>
        <v>Venmo</v>
      </c>
      <c r="T2289">
        <f>SUMIF(J:J,Table1[[#This Row],[Season]],F:F)</f>
        <v>55777</v>
      </c>
    </row>
    <row r="2290" spans="1:20" x14ac:dyDescent="0.3">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c r="S2290" t="str">
        <f>INDEX(Q:Q,MATCH(Table1[[#This Row],[Item Purchased]],D:D))</f>
        <v>Cash</v>
      </c>
      <c r="T2290">
        <f>SUMIF(J:J,Table1[[#This Row],[Season]],F:F)</f>
        <v>60018</v>
      </c>
    </row>
    <row r="2291" spans="1:20" x14ac:dyDescent="0.3">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c r="S2291" t="str">
        <f>INDEX(Q:Q,MATCH(Table1[[#This Row],[Item Purchased]],D:D))</f>
        <v>PayPal</v>
      </c>
      <c r="T2291">
        <f>SUMIF(J:J,Table1[[#This Row],[Season]],F:F)</f>
        <v>60018</v>
      </c>
    </row>
    <row r="2292" spans="1:20" x14ac:dyDescent="0.3">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c r="S2292" t="str">
        <f>INDEX(Q:Q,MATCH(Table1[[#This Row],[Item Purchased]],D:D))</f>
        <v>Venmo</v>
      </c>
      <c r="T2292">
        <f>SUMIF(J:J,Table1[[#This Row],[Season]],F:F)</f>
        <v>58607</v>
      </c>
    </row>
    <row r="2293" spans="1:20" x14ac:dyDescent="0.3">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c r="S2293" t="str">
        <f>INDEX(Q:Q,MATCH(Table1[[#This Row],[Item Purchased]],D:D))</f>
        <v>Debit Card</v>
      </c>
      <c r="T2293">
        <f>SUMIF(J:J,Table1[[#This Row],[Season]],F:F)</f>
        <v>58679</v>
      </c>
    </row>
    <row r="2294" spans="1:20" x14ac:dyDescent="0.3">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c r="S2294" t="str">
        <f>INDEX(Q:Q,MATCH(Table1[[#This Row],[Item Purchased]],D:D))</f>
        <v>Venmo</v>
      </c>
      <c r="T2294">
        <f>SUMIF(J:J,Table1[[#This Row],[Season]],F:F)</f>
        <v>58679</v>
      </c>
    </row>
    <row r="2295" spans="1:20" x14ac:dyDescent="0.3">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c r="S2295" t="str">
        <f>INDEX(Q:Q,MATCH(Table1[[#This Row],[Item Purchased]],D:D))</f>
        <v>Venmo</v>
      </c>
      <c r="T2295">
        <f>SUMIF(J:J,Table1[[#This Row],[Season]],F:F)</f>
        <v>60018</v>
      </c>
    </row>
    <row r="2296" spans="1:20" x14ac:dyDescent="0.3">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c r="S2296" t="str">
        <f>INDEX(Q:Q,MATCH(Table1[[#This Row],[Item Purchased]],D:D))</f>
        <v>Venmo</v>
      </c>
      <c r="T2296">
        <f>SUMIF(J:J,Table1[[#This Row],[Season]],F:F)</f>
        <v>58607</v>
      </c>
    </row>
    <row r="2297" spans="1:20" x14ac:dyDescent="0.3">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c r="S2297" t="str">
        <f>INDEX(Q:Q,MATCH(Table1[[#This Row],[Item Purchased]],D:D))</f>
        <v>Venmo</v>
      </c>
      <c r="T2297">
        <f>SUMIF(J:J,Table1[[#This Row],[Season]],F:F)</f>
        <v>58679</v>
      </c>
    </row>
    <row r="2298" spans="1:20" x14ac:dyDescent="0.3">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c r="S2298" t="str">
        <f>INDEX(Q:Q,MATCH(Table1[[#This Row],[Item Purchased]],D:D))</f>
        <v>Debit Card</v>
      </c>
      <c r="T2298">
        <f>SUMIF(J:J,Table1[[#This Row],[Season]],F:F)</f>
        <v>60018</v>
      </c>
    </row>
    <row r="2299" spans="1:20" x14ac:dyDescent="0.3">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c r="S2299" t="str">
        <f>INDEX(Q:Q,MATCH(Table1[[#This Row],[Item Purchased]],D:D))</f>
        <v>Venmo</v>
      </c>
      <c r="T2299">
        <f>SUMIF(J:J,Table1[[#This Row],[Season]],F:F)</f>
        <v>55777</v>
      </c>
    </row>
    <row r="2300" spans="1:20" x14ac:dyDescent="0.3">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c r="S2300" t="str">
        <f>INDEX(Q:Q,MATCH(Table1[[#This Row],[Item Purchased]],D:D))</f>
        <v>Cash</v>
      </c>
      <c r="T2300">
        <f>SUMIF(J:J,Table1[[#This Row],[Season]],F:F)</f>
        <v>58679</v>
      </c>
    </row>
    <row r="2301" spans="1:20" x14ac:dyDescent="0.3">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c r="S2301" t="str">
        <f>INDEX(Q:Q,MATCH(Table1[[#This Row],[Item Purchased]],D:D))</f>
        <v>Debit Card</v>
      </c>
      <c r="T2301">
        <f>SUMIF(J:J,Table1[[#This Row],[Season]],F:F)</f>
        <v>55777</v>
      </c>
    </row>
    <row r="2302" spans="1:20" x14ac:dyDescent="0.3">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c r="S2302" t="str">
        <f>INDEX(Q:Q,MATCH(Table1[[#This Row],[Item Purchased]],D:D))</f>
        <v>Debit Card</v>
      </c>
      <c r="T2302">
        <f>SUMIF(J:J,Table1[[#This Row],[Season]],F:F)</f>
        <v>55777</v>
      </c>
    </row>
    <row r="2303" spans="1:20" x14ac:dyDescent="0.3">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c r="S2303" t="str">
        <f>INDEX(Q:Q,MATCH(Table1[[#This Row],[Item Purchased]],D:D))</f>
        <v>Cash</v>
      </c>
      <c r="T2303">
        <f>SUMIF(J:J,Table1[[#This Row],[Season]],F:F)</f>
        <v>58607</v>
      </c>
    </row>
    <row r="2304" spans="1:20" x14ac:dyDescent="0.3">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c r="S2304" t="e">
        <f>INDEX(Q:Q,MATCH(Table1[[#This Row],[Item Purchased]],D:D))</f>
        <v>#N/A</v>
      </c>
      <c r="T2304">
        <f>SUMIF(J:J,Table1[[#This Row],[Season]],F:F)</f>
        <v>55777</v>
      </c>
    </row>
    <row r="2305" spans="1:20" x14ac:dyDescent="0.3">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c r="S2305" t="str">
        <f>INDEX(Q:Q,MATCH(Table1[[#This Row],[Item Purchased]],D:D))</f>
        <v>Venmo</v>
      </c>
      <c r="T2305">
        <f>SUMIF(J:J,Table1[[#This Row],[Season]],F:F)</f>
        <v>58679</v>
      </c>
    </row>
    <row r="2306" spans="1:20" x14ac:dyDescent="0.3">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c r="S2306" t="str">
        <f>INDEX(Q:Q,MATCH(Table1[[#This Row],[Item Purchased]],D:D))</f>
        <v>Venmo</v>
      </c>
      <c r="T2306">
        <f>SUMIF(J:J,Table1[[#This Row],[Season]],F:F)</f>
        <v>58607</v>
      </c>
    </row>
    <row r="2307" spans="1:20" x14ac:dyDescent="0.3">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c r="S2307" t="str">
        <f>INDEX(Q:Q,MATCH(Table1[[#This Row],[Item Purchased]],D:D))</f>
        <v>Cash</v>
      </c>
      <c r="T2307">
        <f>SUMIF(J:J,Table1[[#This Row],[Season]],F:F)</f>
        <v>55777</v>
      </c>
    </row>
    <row r="2308" spans="1:20" x14ac:dyDescent="0.3">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c r="S2308" t="str">
        <f>INDEX(Q:Q,MATCH(Table1[[#This Row],[Item Purchased]],D:D))</f>
        <v>Debit Card</v>
      </c>
      <c r="T2308">
        <f>SUMIF(J:J,Table1[[#This Row],[Season]],F:F)</f>
        <v>58607</v>
      </c>
    </row>
    <row r="2309" spans="1:20" x14ac:dyDescent="0.3">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c r="S2309" t="str">
        <f>INDEX(Q:Q,MATCH(Table1[[#This Row],[Item Purchased]],D:D))</f>
        <v>Credit Card</v>
      </c>
      <c r="T2309">
        <f>SUMIF(J:J,Table1[[#This Row],[Season]],F:F)</f>
        <v>60018</v>
      </c>
    </row>
    <row r="2310" spans="1:20" x14ac:dyDescent="0.3">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c r="S2310" t="str">
        <f>INDEX(Q:Q,MATCH(Table1[[#This Row],[Item Purchased]],D:D))</f>
        <v>Venmo</v>
      </c>
      <c r="T2310">
        <f>SUMIF(J:J,Table1[[#This Row],[Season]],F:F)</f>
        <v>58607</v>
      </c>
    </row>
    <row r="2311" spans="1:20" x14ac:dyDescent="0.3">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c r="S2311" t="str">
        <f>INDEX(Q:Q,MATCH(Table1[[#This Row],[Item Purchased]],D:D))</f>
        <v>Debit Card</v>
      </c>
      <c r="T2311">
        <f>SUMIF(J:J,Table1[[#This Row],[Season]],F:F)</f>
        <v>60018</v>
      </c>
    </row>
    <row r="2312" spans="1:20" x14ac:dyDescent="0.3">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c r="S2312" t="str">
        <f>INDEX(Q:Q,MATCH(Table1[[#This Row],[Item Purchased]],D:D))</f>
        <v>Debit Card</v>
      </c>
      <c r="T2312">
        <f>SUMIF(J:J,Table1[[#This Row],[Season]],F:F)</f>
        <v>58679</v>
      </c>
    </row>
    <row r="2313" spans="1:20" x14ac:dyDescent="0.3">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c r="S2313" t="str">
        <f>INDEX(Q:Q,MATCH(Table1[[#This Row],[Item Purchased]],D:D))</f>
        <v>Venmo</v>
      </c>
      <c r="T2313">
        <f>SUMIF(J:J,Table1[[#This Row],[Season]],F:F)</f>
        <v>58679</v>
      </c>
    </row>
    <row r="2314" spans="1:20" x14ac:dyDescent="0.3">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c r="S2314" t="str">
        <f>INDEX(Q:Q,MATCH(Table1[[#This Row],[Item Purchased]],D:D))</f>
        <v>Venmo</v>
      </c>
      <c r="T2314">
        <f>SUMIF(J:J,Table1[[#This Row],[Season]],F:F)</f>
        <v>55777</v>
      </c>
    </row>
    <row r="2315" spans="1:20" x14ac:dyDescent="0.3">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c r="S2315" t="str">
        <f>INDEX(Q:Q,MATCH(Table1[[#This Row],[Item Purchased]],D:D))</f>
        <v>Debit Card</v>
      </c>
      <c r="T2315">
        <f>SUMIF(J:J,Table1[[#This Row],[Season]],F:F)</f>
        <v>55777</v>
      </c>
    </row>
    <row r="2316" spans="1:20" x14ac:dyDescent="0.3">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c r="S2316" t="str">
        <f>INDEX(Q:Q,MATCH(Table1[[#This Row],[Item Purchased]],D:D))</f>
        <v>Cash</v>
      </c>
      <c r="T2316">
        <f>SUMIF(J:J,Table1[[#This Row],[Season]],F:F)</f>
        <v>58607</v>
      </c>
    </row>
    <row r="2317" spans="1:20" x14ac:dyDescent="0.3">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c r="S2317" t="str">
        <f>INDEX(Q:Q,MATCH(Table1[[#This Row],[Item Purchased]],D:D))</f>
        <v>Venmo</v>
      </c>
      <c r="T2317">
        <f>SUMIF(J:J,Table1[[#This Row],[Season]],F:F)</f>
        <v>58607</v>
      </c>
    </row>
    <row r="2318" spans="1:20" x14ac:dyDescent="0.3">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c r="S2318" t="str">
        <f>INDEX(Q:Q,MATCH(Table1[[#This Row],[Item Purchased]],D:D))</f>
        <v>Venmo</v>
      </c>
      <c r="T2318">
        <f>SUMIF(J:J,Table1[[#This Row],[Season]],F:F)</f>
        <v>58607</v>
      </c>
    </row>
    <row r="2319" spans="1:20" x14ac:dyDescent="0.3">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c r="S2319" t="str">
        <f>INDEX(Q:Q,MATCH(Table1[[#This Row],[Item Purchased]],D:D))</f>
        <v>Debit Card</v>
      </c>
      <c r="T2319">
        <f>SUMIF(J:J,Table1[[#This Row],[Season]],F:F)</f>
        <v>55777</v>
      </c>
    </row>
    <row r="2320" spans="1:20" x14ac:dyDescent="0.3">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c r="S2320" t="str">
        <f>INDEX(Q:Q,MATCH(Table1[[#This Row],[Item Purchased]],D:D))</f>
        <v>Venmo</v>
      </c>
      <c r="T2320">
        <f>SUMIF(J:J,Table1[[#This Row],[Season]],F:F)</f>
        <v>58679</v>
      </c>
    </row>
    <row r="2321" spans="1:20" x14ac:dyDescent="0.3">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c r="S2321" t="str">
        <f>INDEX(Q:Q,MATCH(Table1[[#This Row],[Item Purchased]],D:D))</f>
        <v>Bank Transfer</v>
      </c>
      <c r="T2321">
        <f>SUMIF(J:J,Table1[[#This Row],[Season]],F:F)</f>
        <v>58607</v>
      </c>
    </row>
    <row r="2322" spans="1:20" x14ac:dyDescent="0.3">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c r="S2322" t="str">
        <f>INDEX(Q:Q,MATCH(Table1[[#This Row],[Item Purchased]],D:D))</f>
        <v>PayPal</v>
      </c>
      <c r="T2322">
        <f>SUMIF(J:J,Table1[[#This Row],[Season]],F:F)</f>
        <v>58679</v>
      </c>
    </row>
    <row r="2323" spans="1:20" x14ac:dyDescent="0.3">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c r="S2323" t="str">
        <f>INDEX(Q:Q,MATCH(Table1[[#This Row],[Item Purchased]],D:D))</f>
        <v>Bank Transfer</v>
      </c>
      <c r="T2323">
        <f>SUMIF(J:J,Table1[[#This Row],[Season]],F:F)</f>
        <v>58607</v>
      </c>
    </row>
    <row r="2324" spans="1:20" x14ac:dyDescent="0.3">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c r="S2324" t="str">
        <f>INDEX(Q:Q,MATCH(Table1[[#This Row],[Item Purchased]],D:D))</f>
        <v>Debit Card</v>
      </c>
      <c r="T2324">
        <f>SUMIF(J:J,Table1[[#This Row],[Season]],F:F)</f>
        <v>58679</v>
      </c>
    </row>
    <row r="2325" spans="1:20" x14ac:dyDescent="0.3">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c r="S2325" t="str">
        <f>INDEX(Q:Q,MATCH(Table1[[#This Row],[Item Purchased]],D:D))</f>
        <v>Debit Card</v>
      </c>
      <c r="T2325">
        <f>SUMIF(J:J,Table1[[#This Row],[Season]],F:F)</f>
        <v>58607</v>
      </c>
    </row>
    <row r="2326" spans="1:20" x14ac:dyDescent="0.3">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c r="S2326" t="str">
        <f>INDEX(Q:Q,MATCH(Table1[[#This Row],[Item Purchased]],D:D))</f>
        <v>Debit Card</v>
      </c>
      <c r="T2326">
        <f>SUMIF(J:J,Table1[[#This Row],[Season]],F:F)</f>
        <v>58607</v>
      </c>
    </row>
    <row r="2327" spans="1:20" x14ac:dyDescent="0.3">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c r="S2327" t="str">
        <f>INDEX(Q:Q,MATCH(Table1[[#This Row],[Item Purchased]],D:D))</f>
        <v>Venmo</v>
      </c>
      <c r="T2327">
        <f>SUMIF(J:J,Table1[[#This Row],[Season]],F:F)</f>
        <v>55777</v>
      </c>
    </row>
    <row r="2328" spans="1:20" x14ac:dyDescent="0.3">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c r="S2328" t="str">
        <f>INDEX(Q:Q,MATCH(Table1[[#This Row],[Item Purchased]],D:D))</f>
        <v>Credit Card</v>
      </c>
      <c r="T2328">
        <f>SUMIF(J:J,Table1[[#This Row],[Season]],F:F)</f>
        <v>58607</v>
      </c>
    </row>
    <row r="2329" spans="1:20" x14ac:dyDescent="0.3">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c r="S2329" t="str">
        <f>INDEX(Q:Q,MATCH(Table1[[#This Row],[Item Purchased]],D:D))</f>
        <v>Credit Card</v>
      </c>
      <c r="T2329">
        <f>SUMIF(J:J,Table1[[#This Row],[Season]],F:F)</f>
        <v>58607</v>
      </c>
    </row>
    <row r="2330" spans="1:20" x14ac:dyDescent="0.3">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c r="S2330" t="str">
        <f>INDEX(Q:Q,MATCH(Table1[[#This Row],[Item Purchased]],D:D))</f>
        <v>Cash</v>
      </c>
      <c r="T2330">
        <f>SUMIF(J:J,Table1[[#This Row],[Season]],F:F)</f>
        <v>60018</v>
      </c>
    </row>
    <row r="2331" spans="1:20" x14ac:dyDescent="0.3">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c r="S2331" t="str">
        <f>INDEX(Q:Q,MATCH(Table1[[#This Row],[Item Purchased]],D:D))</f>
        <v>Venmo</v>
      </c>
      <c r="T2331">
        <f>SUMIF(J:J,Table1[[#This Row],[Season]],F:F)</f>
        <v>58679</v>
      </c>
    </row>
    <row r="2332" spans="1:20" x14ac:dyDescent="0.3">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c r="S2332" t="e">
        <f>INDEX(Q:Q,MATCH(Table1[[#This Row],[Item Purchased]],D:D))</f>
        <v>#N/A</v>
      </c>
      <c r="T2332">
        <f>SUMIF(J:J,Table1[[#This Row],[Season]],F:F)</f>
        <v>55777</v>
      </c>
    </row>
    <row r="2333" spans="1:20" x14ac:dyDescent="0.3">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c r="S2333" t="str">
        <f>INDEX(Q:Q,MATCH(Table1[[#This Row],[Item Purchased]],D:D))</f>
        <v>Bank Transfer</v>
      </c>
      <c r="T2333">
        <f>SUMIF(J:J,Table1[[#This Row],[Season]],F:F)</f>
        <v>58679</v>
      </c>
    </row>
    <row r="2334" spans="1:20" x14ac:dyDescent="0.3">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c r="S2334" t="str">
        <f>INDEX(Q:Q,MATCH(Table1[[#This Row],[Item Purchased]],D:D))</f>
        <v>Bank Transfer</v>
      </c>
      <c r="T2334">
        <f>SUMIF(J:J,Table1[[#This Row],[Season]],F:F)</f>
        <v>60018</v>
      </c>
    </row>
    <row r="2335" spans="1:20" x14ac:dyDescent="0.3">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c r="S2335" t="str">
        <f>INDEX(Q:Q,MATCH(Table1[[#This Row],[Item Purchased]],D:D))</f>
        <v>Bank Transfer</v>
      </c>
      <c r="T2335">
        <f>SUMIF(J:J,Table1[[#This Row],[Season]],F:F)</f>
        <v>58679</v>
      </c>
    </row>
    <row r="2336" spans="1:20" x14ac:dyDescent="0.3">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c r="S2336" t="str">
        <f>INDEX(Q:Q,MATCH(Table1[[#This Row],[Item Purchased]],D:D))</f>
        <v>Venmo</v>
      </c>
      <c r="T2336">
        <f>SUMIF(J:J,Table1[[#This Row],[Season]],F:F)</f>
        <v>55777</v>
      </c>
    </row>
    <row r="2337" spans="1:20" x14ac:dyDescent="0.3">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c r="S2337" t="str">
        <f>INDEX(Q:Q,MATCH(Table1[[#This Row],[Item Purchased]],D:D))</f>
        <v>Debit Card</v>
      </c>
      <c r="T2337">
        <f>SUMIF(J:J,Table1[[#This Row],[Season]],F:F)</f>
        <v>55777</v>
      </c>
    </row>
    <row r="2338" spans="1:20" x14ac:dyDescent="0.3">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c r="S2338" t="e">
        <f>INDEX(Q:Q,MATCH(Table1[[#This Row],[Item Purchased]],D:D))</f>
        <v>#N/A</v>
      </c>
      <c r="T2338">
        <f>SUMIF(J:J,Table1[[#This Row],[Season]],F:F)</f>
        <v>58607</v>
      </c>
    </row>
    <row r="2339" spans="1:20" x14ac:dyDescent="0.3">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c r="S2339" t="str">
        <f>INDEX(Q:Q,MATCH(Table1[[#This Row],[Item Purchased]],D:D))</f>
        <v>Venmo</v>
      </c>
      <c r="T2339">
        <f>SUMIF(J:J,Table1[[#This Row],[Season]],F:F)</f>
        <v>60018</v>
      </c>
    </row>
    <row r="2340" spans="1:20" x14ac:dyDescent="0.3">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c r="S2340" t="str">
        <f>INDEX(Q:Q,MATCH(Table1[[#This Row],[Item Purchased]],D:D))</f>
        <v>Venmo</v>
      </c>
      <c r="T2340">
        <f>SUMIF(J:J,Table1[[#This Row],[Season]],F:F)</f>
        <v>60018</v>
      </c>
    </row>
    <row r="2341" spans="1:20" x14ac:dyDescent="0.3">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c r="S2341" t="str">
        <f>INDEX(Q:Q,MATCH(Table1[[#This Row],[Item Purchased]],D:D))</f>
        <v>Bank Transfer</v>
      </c>
      <c r="T2341">
        <f>SUMIF(J:J,Table1[[#This Row],[Season]],F:F)</f>
        <v>58679</v>
      </c>
    </row>
    <row r="2342" spans="1:20" x14ac:dyDescent="0.3">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c r="S2342" t="str">
        <f>INDEX(Q:Q,MATCH(Table1[[#This Row],[Item Purchased]],D:D))</f>
        <v>Venmo</v>
      </c>
      <c r="T2342">
        <f>SUMIF(J:J,Table1[[#This Row],[Season]],F:F)</f>
        <v>55777</v>
      </c>
    </row>
    <row r="2343" spans="1:20" x14ac:dyDescent="0.3">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c r="S2343" t="str">
        <f>INDEX(Q:Q,MATCH(Table1[[#This Row],[Item Purchased]],D:D))</f>
        <v>Debit Card</v>
      </c>
      <c r="T2343">
        <f>SUMIF(J:J,Table1[[#This Row],[Season]],F:F)</f>
        <v>55777</v>
      </c>
    </row>
    <row r="2344" spans="1:20" x14ac:dyDescent="0.3">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c r="S2344" t="str">
        <f>INDEX(Q:Q,MATCH(Table1[[#This Row],[Item Purchased]],D:D))</f>
        <v>Credit Card</v>
      </c>
      <c r="T2344">
        <f>SUMIF(J:J,Table1[[#This Row],[Season]],F:F)</f>
        <v>60018</v>
      </c>
    </row>
    <row r="2345" spans="1:20" x14ac:dyDescent="0.3">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c r="S2345" t="str">
        <f>INDEX(Q:Q,MATCH(Table1[[#This Row],[Item Purchased]],D:D))</f>
        <v>Venmo</v>
      </c>
      <c r="T2345">
        <f>SUMIF(J:J,Table1[[#This Row],[Season]],F:F)</f>
        <v>55777</v>
      </c>
    </row>
    <row r="2346" spans="1:20" x14ac:dyDescent="0.3">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c r="S2346" t="str">
        <f>INDEX(Q:Q,MATCH(Table1[[#This Row],[Item Purchased]],D:D))</f>
        <v>Bank Transfer</v>
      </c>
      <c r="T2346">
        <f>SUMIF(J:J,Table1[[#This Row],[Season]],F:F)</f>
        <v>60018</v>
      </c>
    </row>
    <row r="2347" spans="1:20" x14ac:dyDescent="0.3">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c r="S2347" t="str">
        <f>INDEX(Q:Q,MATCH(Table1[[#This Row],[Item Purchased]],D:D))</f>
        <v>Venmo</v>
      </c>
      <c r="T2347">
        <f>SUMIF(J:J,Table1[[#This Row],[Season]],F:F)</f>
        <v>58607</v>
      </c>
    </row>
    <row r="2348" spans="1:20" x14ac:dyDescent="0.3">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c r="S2348" t="str">
        <f>INDEX(Q:Q,MATCH(Table1[[#This Row],[Item Purchased]],D:D))</f>
        <v>Debit Card</v>
      </c>
      <c r="T2348">
        <f>SUMIF(J:J,Table1[[#This Row],[Season]],F:F)</f>
        <v>58607</v>
      </c>
    </row>
    <row r="2349" spans="1:20" x14ac:dyDescent="0.3">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c r="S2349" t="e">
        <f>INDEX(Q:Q,MATCH(Table1[[#This Row],[Item Purchased]],D:D))</f>
        <v>#N/A</v>
      </c>
      <c r="T2349">
        <f>SUMIF(J:J,Table1[[#This Row],[Season]],F:F)</f>
        <v>60018</v>
      </c>
    </row>
    <row r="2350" spans="1:20" x14ac:dyDescent="0.3">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c r="S2350" t="str">
        <f>INDEX(Q:Q,MATCH(Table1[[#This Row],[Item Purchased]],D:D))</f>
        <v>PayPal</v>
      </c>
      <c r="T2350">
        <f>SUMIF(J:J,Table1[[#This Row],[Season]],F:F)</f>
        <v>58679</v>
      </c>
    </row>
    <row r="2351" spans="1:20" x14ac:dyDescent="0.3">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c r="S2351" t="str">
        <f>INDEX(Q:Q,MATCH(Table1[[#This Row],[Item Purchased]],D:D))</f>
        <v>Venmo</v>
      </c>
      <c r="T2351">
        <f>SUMIF(J:J,Table1[[#This Row],[Season]],F:F)</f>
        <v>60018</v>
      </c>
    </row>
    <row r="2352" spans="1:20" x14ac:dyDescent="0.3">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c r="S2352" t="str">
        <f>INDEX(Q:Q,MATCH(Table1[[#This Row],[Item Purchased]],D:D))</f>
        <v>PayPal</v>
      </c>
      <c r="T2352">
        <f>SUMIF(J:J,Table1[[#This Row],[Season]],F:F)</f>
        <v>58607</v>
      </c>
    </row>
    <row r="2353" spans="1:20" x14ac:dyDescent="0.3">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c r="S2353" t="str">
        <f>INDEX(Q:Q,MATCH(Table1[[#This Row],[Item Purchased]],D:D))</f>
        <v>Venmo</v>
      </c>
      <c r="T2353">
        <f>SUMIF(J:J,Table1[[#This Row],[Season]],F:F)</f>
        <v>60018</v>
      </c>
    </row>
    <row r="2354" spans="1:20" x14ac:dyDescent="0.3">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c r="S2354" t="str">
        <f>INDEX(Q:Q,MATCH(Table1[[#This Row],[Item Purchased]],D:D))</f>
        <v>Venmo</v>
      </c>
      <c r="T2354">
        <f>SUMIF(J:J,Table1[[#This Row],[Season]],F:F)</f>
        <v>60018</v>
      </c>
    </row>
    <row r="2355" spans="1:20" x14ac:dyDescent="0.3">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c r="S2355" t="str">
        <f>INDEX(Q:Q,MATCH(Table1[[#This Row],[Item Purchased]],D:D))</f>
        <v>Cash</v>
      </c>
      <c r="T2355">
        <f>SUMIF(J:J,Table1[[#This Row],[Season]],F:F)</f>
        <v>60018</v>
      </c>
    </row>
    <row r="2356" spans="1:20" x14ac:dyDescent="0.3">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c r="S2356" t="str">
        <f>INDEX(Q:Q,MATCH(Table1[[#This Row],[Item Purchased]],D:D))</f>
        <v>Venmo</v>
      </c>
      <c r="T2356">
        <f>SUMIF(J:J,Table1[[#This Row],[Season]],F:F)</f>
        <v>55777</v>
      </c>
    </row>
    <row r="2357" spans="1:20" x14ac:dyDescent="0.3">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c r="S2357" t="str">
        <f>INDEX(Q:Q,MATCH(Table1[[#This Row],[Item Purchased]],D:D))</f>
        <v>Credit Card</v>
      </c>
      <c r="T2357">
        <f>SUMIF(J:J,Table1[[#This Row],[Season]],F:F)</f>
        <v>58607</v>
      </c>
    </row>
    <row r="2358" spans="1:20" x14ac:dyDescent="0.3">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c r="S2358" t="e">
        <f>INDEX(Q:Q,MATCH(Table1[[#This Row],[Item Purchased]],D:D))</f>
        <v>#N/A</v>
      </c>
      <c r="T2358">
        <f>SUMIF(J:J,Table1[[#This Row],[Season]],F:F)</f>
        <v>55777</v>
      </c>
    </row>
    <row r="2359" spans="1:20" x14ac:dyDescent="0.3">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c r="S2359" t="str">
        <f>INDEX(Q:Q,MATCH(Table1[[#This Row],[Item Purchased]],D:D))</f>
        <v>Bank Transfer</v>
      </c>
      <c r="T2359">
        <f>SUMIF(J:J,Table1[[#This Row],[Season]],F:F)</f>
        <v>60018</v>
      </c>
    </row>
    <row r="2360" spans="1:20" x14ac:dyDescent="0.3">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c r="S2360" t="str">
        <f>INDEX(Q:Q,MATCH(Table1[[#This Row],[Item Purchased]],D:D))</f>
        <v>Venmo</v>
      </c>
      <c r="T2360">
        <f>SUMIF(J:J,Table1[[#This Row],[Season]],F:F)</f>
        <v>58679</v>
      </c>
    </row>
    <row r="2361" spans="1:20" x14ac:dyDescent="0.3">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c r="S2361" t="str">
        <f>INDEX(Q:Q,MATCH(Table1[[#This Row],[Item Purchased]],D:D))</f>
        <v>Bank Transfer</v>
      </c>
      <c r="T2361">
        <f>SUMIF(J:J,Table1[[#This Row],[Season]],F:F)</f>
        <v>58679</v>
      </c>
    </row>
    <row r="2362" spans="1:20" x14ac:dyDescent="0.3">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c r="S2362" t="str">
        <f>INDEX(Q:Q,MATCH(Table1[[#This Row],[Item Purchased]],D:D))</f>
        <v>Cash</v>
      </c>
      <c r="T2362">
        <f>SUMIF(J:J,Table1[[#This Row],[Season]],F:F)</f>
        <v>60018</v>
      </c>
    </row>
    <row r="2363" spans="1:20" x14ac:dyDescent="0.3">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c r="S2363" t="str">
        <f>INDEX(Q:Q,MATCH(Table1[[#This Row],[Item Purchased]],D:D))</f>
        <v>Bank Transfer</v>
      </c>
      <c r="T2363">
        <f>SUMIF(J:J,Table1[[#This Row],[Season]],F:F)</f>
        <v>58679</v>
      </c>
    </row>
    <row r="2364" spans="1:20" x14ac:dyDescent="0.3">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c r="S2364" t="str">
        <f>INDEX(Q:Q,MATCH(Table1[[#This Row],[Item Purchased]],D:D))</f>
        <v>Cash</v>
      </c>
      <c r="T2364">
        <f>SUMIF(J:J,Table1[[#This Row],[Season]],F:F)</f>
        <v>60018</v>
      </c>
    </row>
    <row r="2365" spans="1:20" x14ac:dyDescent="0.3">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c r="S2365" t="str">
        <f>INDEX(Q:Q,MATCH(Table1[[#This Row],[Item Purchased]],D:D))</f>
        <v>Venmo</v>
      </c>
      <c r="T2365">
        <f>SUMIF(J:J,Table1[[#This Row],[Season]],F:F)</f>
        <v>58607</v>
      </c>
    </row>
    <row r="2366" spans="1:20" x14ac:dyDescent="0.3">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c r="S2366" t="str">
        <f>INDEX(Q:Q,MATCH(Table1[[#This Row],[Item Purchased]],D:D))</f>
        <v>Venmo</v>
      </c>
      <c r="T2366">
        <f>SUMIF(J:J,Table1[[#This Row],[Season]],F:F)</f>
        <v>58607</v>
      </c>
    </row>
    <row r="2367" spans="1:20" x14ac:dyDescent="0.3">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c r="S2367" t="str">
        <f>INDEX(Q:Q,MATCH(Table1[[#This Row],[Item Purchased]],D:D))</f>
        <v>Venmo</v>
      </c>
      <c r="T2367">
        <f>SUMIF(J:J,Table1[[#This Row],[Season]],F:F)</f>
        <v>58607</v>
      </c>
    </row>
    <row r="2368" spans="1:20" x14ac:dyDescent="0.3">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c r="S2368" t="str">
        <f>INDEX(Q:Q,MATCH(Table1[[#This Row],[Item Purchased]],D:D))</f>
        <v>PayPal</v>
      </c>
      <c r="T2368">
        <f>SUMIF(J:J,Table1[[#This Row],[Season]],F:F)</f>
        <v>58607</v>
      </c>
    </row>
    <row r="2369" spans="1:20" x14ac:dyDescent="0.3">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c r="S2369" t="str">
        <f>INDEX(Q:Q,MATCH(Table1[[#This Row],[Item Purchased]],D:D))</f>
        <v>Venmo</v>
      </c>
      <c r="T2369">
        <f>SUMIF(J:J,Table1[[#This Row],[Season]],F:F)</f>
        <v>58607</v>
      </c>
    </row>
    <row r="2370" spans="1:20" x14ac:dyDescent="0.3">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c r="S2370" t="str">
        <f>INDEX(Q:Q,MATCH(Table1[[#This Row],[Item Purchased]],D:D))</f>
        <v>Venmo</v>
      </c>
      <c r="T2370">
        <f>SUMIF(J:J,Table1[[#This Row],[Season]],F:F)</f>
        <v>55777</v>
      </c>
    </row>
    <row r="2371" spans="1:20" x14ac:dyDescent="0.3">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c r="S2371" t="str">
        <f>INDEX(Q:Q,MATCH(Table1[[#This Row],[Item Purchased]],D:D))</f>
        <v>Venmo</v>
      </c>
      <c r="T2371">
        <f>SUMIF(J:J,Table1[[#This Row],[Season]],F:F)</f>
        <v>58607</v>
      </c>
    </row>
    <row r="2372" spans="1:20" x14ac:dyDescent="0.3">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c r="S2372" t="str">
        <f>INDEX(Q:Q,MATCH(Table1[[#This Row],[Item Purchased]],D:D))</f>
        <v>PayPal</v>
      </c>
      <c r="T2372">
        <f>SUMIF(J:J,Table1[[#This Row],[Season]],F:F)</f>
        <v>58679</v>
      </c>
    </row>
    <row r="2373" spans="1:20" x14ac:dyDescent="0.3">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c r="S2373" t="str">
        <f>INDEX(Q:Q,MATCH(Table1[[#This Row],[Item Purchased]],D:D))</f>
        <v>Venmo</v>
      </c>
      <c r="T2373">
        <f>SUMIF(J:J,Table1[[#This Row],[Season]],F:F)</f>
        <v>58607</v>
      </c>
    </row>
    <row r="2374" spans="1:20" x14ac:dyDescent="0.3">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c r="S2374" t="str">
        <f>INDEX(Q:Q,MATCH(Table1[[#This Row],[Item Purchased]],D:D))</f>
        <v>Venmo</v>
      </c>
      <c r="T2374">
        <f>SUMIF(J:J,Table1[[#This Row],[Season]],F:F)</f>
        <v>58679</v>
      </c>
    </row>
    <row r="2375" spans="1:20" x14ac:dyDescent="0.3">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c r="S2375" t="str">
        <f>INDEX(Q:Q,MATCH(Table1[[#This Row],[Item Purchased]],D:D))</f>
        <v>Venmo</v>
      </c>
      <c r="T2375">
        <f>SUMIF(J:J,Table1[[#This Row],[Season]],F:F)</f>
        <v>58679</v>
      </c>
    </row>
    <row r="2376" spans="1:20" x14ac:dyDescent="0.3">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c r="S2376" t="str">
        <f>INDEX(Q:Q,MATCH(Table1[[#This Row],[Item Purchased]],D:D))</f>
        <v>Debit Card</v>
      </c>
      <c r="T2376">
        <f>SUMIF(J:J,Table1[[#This Row],[Season]],F:F)</f>
        <v>58607</v>
      </c>
    </row>
    <row r="2377" spans="1:20" x14ac:dyDescent="0.3">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c r="S2377" t="e">
        <f>INDEX(Q:Q,MATCH(Table1[[#This Row],[Item Purchased]],D:D))</f>
        <v>#N/A</v>
      </c>
      <c r="T2377">
        <f>SUMIF(J:J,Table1[[#This Row],[Season]],F:F)</f>
        <v>60018</v>
      </c>
    </row>
    <row r="2378" spans="1:20" x14ac:dyDescent="0.3">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c r="S2378" t="str">
        <f>INDEX(Q:Q,MATCH(Table1[[#This Row],[Item Purchased]],D:D))</f>
        <v>Debit Card</v>
      </c>
      <c r="T2378">
        <f>SUMIF(J:J,Table1[[#This Row],[Season]],F:F)</f>
        <v>58679</v>
      </c>
    </row>
    <row r="2379" spans="1:20" x14ac:dyDescent="0.3">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c r="S2379" t="str">
        <f>INDEX(Q:Q,MATCH(Table1[[#This Row],[Item Purchased]],D:D))</f>
        <v>Venmo</v>
      </c>
      <c r="T2379">
        <f>SUMIF(J:J,Table1[[#This Row],[Season]],F:F)</f>
        <v>60018</v>
      </c>
    </row>
    <row r="2380" spans="1:20" x14ac:dyDescent="0.3">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c r="S2380" t="str">
        <f>INDEX(Q:Q,MATCH(Table1[[#This Row],[Item Purchased]],D:D))</f>
        <v>Bank Transfer</v>
      </c>
      <c r="T2380">
        <f>SUMIF(J:J,Table1[[#This Row],[Season]],F:F)</f>
        <v>55777</v>
      </c>
    </row>
    <row r="2381" spans="1:20" x14ac:dyDescent="0.3">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c r="S2381" t="str">
        <f>INDEX(Q:Q,MATCH(Table1[[#This Row],[Item Purchased]],D:D))</f>
        <v>Venmo</v>
      </c>
      <c r="T2381">
        <f>SUMIF(J:J,Table1[[#This Row],[Season]],F:F)</f>
        <v>58679</v>
      </c>
    </row>
    <row r="2382" spans="1:20" x14ac:dyDescent="0.3">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c r="S2382" t="str">
        <f>INDEX(Q:Q,MATCH(Table1[[#This Row],[Item Purchased]],D:D))</f>
        <v>Bank Transfer</v>
      </c>
      <c r="T2382">
        <f>SUMIF(J:J,Table1[[#This Row],[Season]],F:F)</f>
        <v>60018</v>
      </c>
    </row>
    <row r="2383" spans="1:20" x14ac:dyDescent="0.3">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c r="S2383" t="str">
        <f>INDEX(Q:Q,MATCH(Table1[[#This Row],[Item Purchased]],D:D))</f>
        <v>Bank Transfer</v>
      </c>
      <c r="T2383">
        <f>SUMIF(J:J,Table1[[#This Row],[Season]],F:F)</f>
        <v>55777</v>
      </c>
    </row>
    <row r="2384" spans="1:20" x14ac:dyDescent="0.3">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c r="S2384" t="str">
        <f>INDEX(Q:Q,MATCH(Table1[[#This Row],[Item Purchased]],D:D))</f>
        <v>Venmo</v>
      </c>
      <c r="T2384">
        <f>SUMIF(J:J,Table1[[#This Row],[Season]],F:F)</f>
        <v>58679</v>
      </c>
    </row>
    <row r="2385" spans="1:20" x14ac:dyDescent="0.3">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c r="S2385" t="e">
        <f>INDEX(Q:Q,MATCH(Table1[[#This Row],[Item Purchased]],D:D))</f>
        <v>#N/A</v>
      </c>
      <c r="T2385">
        <f>SUMIF(J:J,Table1[[#This Row],[Season]],F:F)</f>
        <v>58679</v>
      </c>
    </row>
    <row r="2386" spans="1:20" x14ac:dyDescent="0.3">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c r="S2386" t="str">
        <f>INDEX(Q:Q,MATCH(Table1[[#This Row],[Item Purchased]],D:D))</f>
        <v>Venmo</v>
      </c>
      <c r="T2386">
        <f>SUMIF(J:J,Table1[[#This Row],[Season]],F:F)</f>
        <v>58607</v>
      </c>
    </row>
    <row r="2387" spans="1:20" x14ac:dyDescent="0.3">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c r="S2387" t="str">
        <f>INDEX(Q:Q,MATCH(Table1[[#This Row],[Item Purchased]],D:D))</f>
        <v>Bank Transfer</v>
      </c>
      <c r="T2387">
        <f>SUMIF(J:J,Table1[[#This Row],[Season]],F:F)</f>
        <v>60018</v>
      </c>
    </row>
    <row r="2388" spans="1:20" x14ac:dyDescent="0.3">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c r="S2388" t="str">
        <f>INDEX(Q:Q,MATCH(Table1[[#This Row],[Item Purchased]],D:D))</f>
        <v>Venmo</v>
      </c>
      <c r="T2388">
        <f>SUMIF(J:J,Table1[[#This Row],[Season]],F:F)</f>
        <v>55777</v>
      </c>
    </row>
    <row r="2389" spans="1:20" x14ac:dyDescent="0.3">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c r="S2389" t="str">
        <f>INDEX(Q:Q,MATCH(Table1[[#This Row],[Item Purchased]],D:D))</f>
        <v>Venmo</v>
      </c>
      <c r="T2389">
        <f>SUMIF(J:J,Table1[[#This Row],[Season]],F:F)</f>
        <v>55777</v>
      </c>
    </row>
    <row r="2390" spans="1:20" x14ac:dyDescent="0.3">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c r="S2390" t="str">
        <f>INDEX(Q:Q,MATCH(Table1[[#This Row],[Item Purchased]],D:D))</f>
        <v>Debit Card</v>
      </c>
      <c r="T2390">
        <f>SUMIF(J:J,Table1[[#This Row],[Season]],F:F)</f>
        <v>60018</v>
      </c>
    </row>
    <row r="2391" spans="1:20" x14ac:dyDescent="0.3">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c r="S2391" t="str">
        <f>INDEX(Q:Q,MATCH(Table1[[#This Row],[Item Purchased]],D:D))</f>
        <v>Debit Card</v>
      </c>
      <c r="T2391">
        <f>SUMIF(J:J,Table1[[#This Row],[Season]],F:F)</f>
        <v>58679</v>
      </c>
    </row>
    <row r="2392" spans="1:20" x14ac:dyDescent="0.3">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c r="S2392" t="str">
        <f>INDEX(Q:Q,MATCH(Table1[[#This Row],[Item Purchased]],D:D))</f>
        <v>Bank Transfer</v>
      </c>
      <c r="T2392">
        <f>SUMIF(J:J,Table1[[#This Row],[Season]],F:F)</f>
        <v>58607</v>
      </c>
    </row>
    <row r="2393" spans="1:20" x14ac:dyDescent="0.3">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c r="S2393" t="str">
        <f>INDEX(Q:Q,MATCH(Table1[[#This Row],[Item Purchased]],D:D))</f>
        <v>Bank Transfer</v>
      </c>
      <c r="T2393">
        <f>SUMIF(J:J,Table1[[#This Row],[Season]],F:F)</f>
        <v>58607</v>
      </c>
    </row>
    <row r="2394" spans="1:20" x14ac:dyDescent="0.3">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c r="S2394" t="str">
        <f>INDEX(Q:Q,MATCH(Table1[[#This Row],[Item Purchased]],D:D))</f>
        <v>Cash</v>
      </c>
      <c r="T2394">
        <f>SUMIF(J:J,Table1[[#This Row],[Season]],F:F)</f>
        <v>58679</v>
      </c>
    </row>
    <row r="2395" spans="1:20" x14ac:dyDescent="0.3">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c r="S2395" t="str">
        <f>INDEX(Q:Q,MATCH(Table1[[#This Row],[Item Purchased]],D:D))</f>
        <v>Venmo</v>
      </c>
      <c r="T2395">
        <f>SUMIF(J:J,Table1[[#This Row],[Season]],F:F)</f>
        <v>58607</v>
      </c>
    </row>
    <row r="2396" spans="1:20" x14ac:dyDescent="0.3">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c r="S2396" t="str">
        <f>INDEX(Q:Q,MATCH(Table1[[#This Row],[Item Purchased]],D:D))</f>
        <v>Bank Transfer</v>
      </c>
      <c r="T2396">
        <f>SUMIF(J:J,Table1[[#This Row],[Season]],F:F)</f>
        <v>60018</v>
      </c>
    </row>
    <row r="2397" spans="1:20" x14ac:dyDescent="0.3">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c r="S2397" t="str">
        <f>INDEX(Q:Q,MATCH(Table1[[#This Row],[Item Purchased]],D:D))</f>
        <v>Venmo</v>
      </c>
      <c r="T2397">
        <f>SUMIF(J:J,Table1[[#This Row],[Season]],F:F)</f>
        <v>58607</v>
      </c>
    </row>
    <row r="2398" spans="1:20" x14ac:dyDescent="0.3">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c r="S2398" t="str">
        <f>INDEX(Q:Q,MATCH(Table1[[#This Row],[Item Purchased]],D:D))</f>
        <v>Bank Transfer</v>
      </c>
      <c r="T2398">
        <f>SUMIF(J:J,Table1[[#This Row],[Season]],F:F)</f>
        <v>58679</v>
      </c>
    </row>
    <row r="2399" spans="1:20" x14ac:dyDescent="0.3">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c r="S2399" t="str">
        <f>INDEX(Q:Q,MATCH(Table1[[#This Row],[Item Purchased]],D:D))</f>
        <v>Venmo</v>
      </c>
      <c r="T2399">
        <f>SUMIF(J:J,Table1[[#This Row],[Season]],F:F)</f>
        <v>60018</v>
      </c>
    </row>
    <row r="2400" spans="1:20" x14ac:dyDescent="0.3">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c r="S2400" t="str">
        <f>INDEX(Q:Q,MATCH(Table1[[#This Row],[Item Purchased]],D:D))</f>
        <v>Debit Card</v>
      </c>
      <c r="T2400">
        <f>SUMIF(J:J,Table1[[#This Row],[Season]],F:F)</f>
        <v>58607</v>
      </c>
    </row>
    <row r="2401" spans="1:20" x14ac:dyDescent="0.3">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c r="S2401" t="str">
        <f>INDEX(Q:Q,MATCH(Table1[[#This Row],[Item Purchased]],D:D))</f>
        <v>Debit Card</v>
      </c>
      <c r="T2401">
        <f>SUMIF(J:J,Table1[[#This Row],[Season]],F:F)</f>
        <v>58679</v>
      </c>
    </row>
    <row r="2402" spans="1:20" x14ac:dyDescent="0.3">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c r="S2402" t="str">
        <f>INDEX(Q:Q,MATCH(Table1[[#This Row],[Item Purchased]],D:D))</f>
        <v>Venmo</v>
      </c>
      <c r="T2402">
        <f>SUMIF(J:J,Table1[[#This Row],[Season]],F:F)</f>
        <v>58607</v>
      </c>
    </row>
    <row r="2403" spans="1:20" x14ac:dyDescent="0.3">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c r="S2403" t="str">
        <f>INDEX(Q:Q,MATCH(Table1[[#This Row],[Item Purchased]],D:D))</f>
        <v>Venmo</v>
      </c>
      <c r="T2403">
        <f>SUMIF(J:J,Table1[[#This Row],[Season]],F:F)</f>
        <v>58607</v>
      </c>
    </row>
    <row r="2404" spans="1:20" x14ac:dyDescent="0.3">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c r="S2404" t="str">
        <f>INDEX(Q:Q,MATCH(Table1[[#This Row],[Item Purchased]],D:D))</f>
        <v>Bank Transfer</v>
      </c>
      <c r="T2404">
        <f>SUMIF(J:J,Table1[[#This Row],[Season]],F:F)</f>
        <v>58607</v>
      </c>
    </row>
    <row r="2405" spans="1:20" x14ac:dyDescent="0.3">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c r="S2405" t="str">
        <f>INDEX(Q:Q,MATCH(Table1[[#This Row],[Item Purchased]],D:D))</f>
        <v>PayPal</v>
      </c>
      <c r="T2405">
        <f>SUMIF(J:J,Table1[[#This Row],[Season]],F:F)</f>
        <v>60018</v>
      </c>
    </row>
    <row r="2406" spans="1:20" x14ac:dyDescent="0.3">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c r="S2406" t="str">
        <f>INDEX(Q:Q,MATCH(Table1[[#This Row],[Item Purchased]],D:D))</f>
        <v>PayPal</v>
      </c>
      <c r="T2406">
        <f>SUMIF(J:J,Table1[[#This Row],[Season]],F:F)</f>
        <v>58607</v>
      </c>
    </row>
    <row r="2407" spans="1:20" x14ac:dyDescent="0.3">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c r="S2407" t="str">
        <f>INDEX(Q:Q,MATCH(Table1[[#This Row],[Item Purchased]],D:D))</f>
        <v>Cash</v>
      </c>
      <c r="T2407">
        <f>SUMIF(J:J,Table1[[#This Row],[Season]],F:F)</f>
        <v>60018</v>
      </c>
    </row>
    <row r="2408" spans="1:20" x14ac:dyDescent="0.3">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c r="S2408" t="str">
        <f>INDEX(Q:Q,MATCH(Table1[[#This Row],[Item Purchased]],D:D))</f>
        <v>Bank Transfer</v>
      </c>
      <c r="T2408">
        <f>SUMIF(J:J,Table1[[#This Row],[Season]],F:F)</f>
        <v>58607</v>
      </c>
    </row>
    <row r="2409" spans="1:20" x14ac:dyDescent="0.3">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c r="S2409" t="str">
        <f>INDEX(Q:Q,MATCH(Table1[[#This Row],[Item Purchased]],D:D))</f>
        <v>PayPal</v>
      </c>
      <c r="T2409">
        <f>SUMIF(J:J,Table1[[#This Row],[Season]],F:F)</f>
        <v>55777</v>
      </c>
    </row>
    <row r="2410" spans="1:20" x14ac:dyDescent="0.3">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c r="S2410" t="str">
        <f>INDEX(Q:Q,MATCH(Table1[[#This Row],[Item Purchased]],D:D))</f>
        <v>Venmo</v>
      </c>
      <c r="T2410">
        <f>SUMIF(J:J,Table1[[#This Row],[Season]],F:F)</f>
        <v>60018</v>
      </c>
    </row>
    <row r="2411" spans="1:20" x14ac:dyDescent="0.3">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c r="S2411" t="str">
        <f>INDEX(Q:Q,MATCH(Table1[[#This Row],[Item Purchased]],D:D))</f>
        <v>Cash</v>
      </c>
      <c r="T2411">
        <f>SUMIF(J:J,Table1[[#This Row],[Season]],F:F)</f>
        <v>58679</v>
      </c>
    </row>
    <row r="2412" spans="1:20" x14ac:dyDescent="0.3">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c r="S2412" t="str">
        <f>INDEX(Q:Q,MATCH(Table1[[#This Row],[Item Purchased]],D:D))</f>
        <v>PayPal</v>
      </c>
      <c r="T2412">
        <f>SUMIF(J:J,Table1[[#This Row],[Season]],F:F)</f>
        <v>55777</v>
      </c>
    </row>
    <row r="2413" spans="1:20" x14ac:dyDescent="0.3">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c r="S2413" t="str">
        <f>INDEX(Q:Q,MATCH(Table1[[#This Row],[Item Purchased]],D:D))</f>
        <v>Venmo</v>
      </c>
      <c r="T2413">
        <f>SUMIF(J:J,Table1[[#This Row],[Season]],F:F)</f>
        <v>55777</v>
      </c>
    </row>
    <row r="2414" spans="1:20" x14ac:dyDescent="0.3">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c r="S2414" t="str">
        <f>INDEX(Q:Q,MATCH(Table1[[#This Row],[Item Purchased]],D:D))</f>
        <v>Debit Card</v>
      </c>
      <c r="T2414">
        <f>SUMIF(J:J,Table1[[#This Row],[Season]],F:F)</f>
        <v>58607</v>
      </c>
    </row>
    <row r="2415" spans="1:20" x14ac:dyDescent="0.3">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c r="S2415" t="str">
        <f>INDEX(Q:Q,MATCH(Table1[[#This Row],[Item Purchased]],D:D))</f>
        <v>PayPal</v>
      </c>
      <c r="T2415">
        <f>SUMIF(J:J,Table1[[#This Row],[Season]],F:F)</f>
        <v>60018</v>
      </c>
    </row>
    <row r="2416" spans="1:20" x14ac:dyDescent="0.3">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c r="S2416" t="str">
        <f>INDEX(Q:Q,MATCH(Table1[[#This Row],[Item Purchased]],D:D))</f>
        <v>Venmo</v>
      </c>
      <c r="T2416">
        <f>SUMIF(J:J,Table1[[#This Row],[Season]],F:F)</f>
        <v>55777</v>
      </c>
    </row>
    <row r="2417" spans="1:20" x14ac:dyDescent="0.3">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c r="S2417" t="str">
        <f>INDEX(Q:Q,MATCH(Table1[[#This Row],[Item Purchased]],D:D))</f>
        <v>Debit Card</v>
      </c>
      <c r="T2417">
        <f>SUMIF(J:J,Table1[[#This Row],[Season]],F:F)</f>
        <v>60018</v>
      </c>
    </row>
    <row r="2418" spans="1:20" x14ac:dyDescent="0.3">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c r="S2418" t="str">
        <f>INDEX(Q:Q,MATCH(Table1[[#This Row],[Item Purchased]],D:D))</f>
        <v>Bank Transfer</v>
      </c>
      <c r="T2418">
        <f>SUMIF(J:J,Table1[[#This Row],[Season]],F:F)</f>
        <v>55777</v>
      </c>
    </row>
    <row r="2419" spans="1:20" x14ac:dyDescent="0.3">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c r="S2419" t="e">
        <f>INDEX(Q:Q,MATCH(Table1[[#This Row],[Item Purchased]],D:D))</f>
        <v>#N/A</v>
      </c>
      <c r="T2419">
        <f>SUMIF(J:J,Table1[[#This Row],[Season]],F:F)</f>
        <v>60018</v>
      </c>
    </row>
    <row r="2420" spans="1:20" x14ac:dyDescent="0.3">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c r="S2420" t="str">
        <f>INDEX(Q:Q,MATCH(Table1[[#This Row],[Item Purchased]],D:D))</f>
        <v>Cash</v>
      </c>
      <c r="T2420">
        <f>SUMIF(J:J,Table1[[#This Row],[Season]],F:F)</f>
        <v>60018</v>
      </c>
    </row>
    <row r="2421" spans="1:20" x14ac:dyDescent="0.3">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c r="S2421" t="str">
        <f>INDEX(Q:Q,MATCH(Table1[[#This Row],[Item Purchased]],D:D))</f>
        <v>Venmo</v>
      </c>
      <c r="T2421">
        <f>SUMIF(J:J,Table1[[#This Row],[Season]],F:F)</f>
        <v>60018</v>
      </c>
    </row>
    <row r="2422" spans="1:20" x14ac:dyDescent="0.3">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c r="S2422" t="str">
        <f>INDEX(Q:Q,MATCH(Table1[[#This Row],[Item Purchased]],D:D))</f>
        <v>Debit Card</v>
      </c>
      <c r="T2422">
        <f>SUMIF(J:J,Table1[[#This Row],[Season]],F:F)</f>
        <v>58607</v>
      </c>
    </row>
    <row r="2423" spans="1:20" x14ac:dyDescent="0.3">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c r="S2423" t="str">
        <f>INDEX(Q:Q,MATCH(Table1[[#This Row],[Item Purchased]],D:D))</f>
        <v>Venmo</v>
      </c>
      <c r="T2423">
        <f>SUMIF(J:J,Table1[[#This Row],[Season]],F:F)</f>
        <v>58679</v>
      </c>
    </row>
    <row r="2424" spans="1:20" x14ac:dyDescent="0.3">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c r="S2424" t="str">
        <f>INDEX(Q:Q,MATCH(Table1[[#This Row],[Item Purchased]],D:D))</f>
        <v>Cash</v>
      </c>
      <c r="T2424">
        <f>SUMIF(J:J,Table1[[#This Row],[Season]],F:F)</f>
        <v>58607</v>
      </c>
    </row>
    <row r="2425" spans="1:20" x14ac:dyDescent="0.3">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c r="S2425" t="e">
        <f>INDEX(Q:Q,MATCH(Table1[[#This Row],[Item Purchased]],D:D))</f>
        <v>#N/A</v>
      </c>
      <c r="T2425">
        <f>SUMIF(J:J,Table1[[#This Row],[Season]],F:F)</f>
        <v>55777</v>
      </c>
    </row>
    <row r="2426" spans="1:20" x14ac:dyDescent="0.3">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c r="S2426" t="str">
        <f>INDEX(Q:Q,MATCH(Table1[[#This Row],[Item Purchased]],D:D))</f>
        <v>Cash</v>
      </c>
      <c r="T2426">
        <f>SUMIF(J:J,Table1[[#This Row],[Season]],F:F)</f>
        <v>58607</v>
      </c>
    </row>
    <row r="2427" spans="1:20" x14ac:dyDescent="0.3">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c r="S2427" t="str">
        <f>INDEX(Q:Q,MATCH(Table1[[#This Row],[Item Purchased]],D:D))</f>
        <v>PayPal</v>
      </c>
      <c r="T2427">
        <f>SUMIF(J:J,Table1[[#This Row],[Season]],F:F)</f>
        <v>55777</v>
      </c>
    </row>
    <row r="2428" spans="1:20" x14ac:dyDescent="0.3">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c r="S2428" t="str">
        <f>INDEX(Q:Q,MATCH(Table1[[#This Row],[Item Purchased]],D:D))</f>
        <v>Debit Card</v>
      </c>
      <c r="T2428">
        <f>SUMIF(J:J,Table1[[#This Row],[Season]],F:F)</f>
        <v>60018</v>
      </c>
    </row>
    <row r="2429" spans="1:20" x14ac:dyDescent="0.3">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c r="S2429" t="str">
        <f>INDEX(Q:Q,MATCH(Table1[[#This Row],[Item Purchased]],D:D))</f>
        <v>Debit Card</v>
      </c>
      <c r="T2429">
        <f>SUMIF(J:J,Table1[[#This Row],[Season]],F:F)</f>
        <v>58679</v>
      </c>
    </row>
    <row r="2430" spans="1:20" x14ac:dyDescent="0.3">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c r="S2430" t="str">
        <f>INDEX(Q:Q,MATCH(Table1[[#This Row],[Item Purchased]],D:D))</f>
        <v>Venmo</v>
      </c>
      <c r="T2430">
        <f>SUMIF(J:J,Table1[[#This Row],[Season]],F:F)</f>
        <v>58679</v>
      </c>
    </row>
    <row r="2431" spans="1:20" x14ac:dyDescent="0.3">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c r="S2431" t="str">
        <f>INDEX(Q:Q,MATCH(Table1[[#This Row],[Item Purchased]],D:D))</f>
        <v>Venmo</v>
      </c>
      <c r="T2431">
        <f>SUMIF(J:J,Table1[[#This Row],[Season]],F:F)</f>
        <v>55777</v>
      </c>
    </row>
    <row r="2432" spans="1:20" x14ac:dyDescent="0.3">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c r="S2432" t="str">
        <f>INDEX(Q:Q,MATCH(Table1[[#This Row],[Item Purchased]],D:D))</f>
        <v>Debit Card</v>
      </c>
      <c r="T2432">
        <f>SUMIF(J:J,Table1[[#This Row],[Season]],F:F)</f>
        <v>55777</v>
      </c>
    </row>
    <row r="2433" spans="1:20" x14ac:dyDescent="0.3">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c r="S2433" t="str">
        <f>INDEX(Q:Q,MATCH(Table1[[#This Row],[Item Purchased]],D:D))</f>
        <v>Venmo</v>
      </c>
      <c r="T2433">
        <f>SUMIF(J:J,Table1[[#This Row],[Season]],F:F)</f>
        <v>60018</v>
      </c>
    </row>
    <row r="2434" spans="1:20" x14ac:dyDescent="0.3">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c r="S2434" t="str">
        <f>INDEX(Q:Q,MATCH(Table1[[#This Row],[Item Purchased]],D:D))</f>
        <v>Debit Card</v>
      </c>
      <c r="T2434">
        <f>SUMIF(J:J,Table1[[#This Row],[Season]],F:F)</f>
        <v>58607</v>
      </c>
    </row>
    <row r="2435" spans="1:20" x14ac:dyDescent="0.3">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c r="S2435" t="str">
        <f>INDEX(Q:Q,MATCH(Table1[[#This Row],[Item Purchased]],D:D))</f>
        <v>Venmo</v>
      </c>
      <c r="T2435">
        <f>SUMIF(J:J,Table1[[#This Row],[Season]],F:F)</f>
        <v>58679</v>
      </c>
    </row>
    <row r="2436" spans="1:20" x14ac:dyDescent="0.3">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c r="S2436" t="str">
        <f>INDEX(Q:Q,MATCH(Table1[[#This Row],[Item Purchased]],D:D))</f>
        <v>Debit Card</v>
      </c>
      <c r="T2436">
        <f>SUMIF(J:J,Table1[[#This Row],[Season]],F:F)</f>
        <v>58679</v>
      </c>
    </row>
    <row r="2437" spans="1:20" x14ac:dyDescent="0.3">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c r="S2437" t="str">
        <f>INDEX(Q:Q,MATCH(Table1[[#This Row],[Item Purchased]],D:D))</f>
        <v>Venmo</v>
      </c>
      <c r="T2437">
        <f>SUMIF(J:J,Table1[[#This Row],[Season]],F:F)</f>
        <v>60018</v>
      </c>
    </row>
    <row r="2438" spans="1:20" x14ac:dyDescent="0.3">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c r="S2438" t="str">
        <f>INDEX(Q:Q,MATCH(Table1[[#This Row],[Item Purchased]],D:D))</f>
        <v>Venmo</v>
      </c>
      <c r="T2438">
        <f>SUMIF(J:J,Table1[[#This Row],[Season]],F:F)</f>
        <v>60018</v>
      </c>
    </row>
    <row r="2439" spans="1:20" x14ac:dyDescent="0.3">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c r="S2439" t="str">
        <f>INDEX(Q:Q,MATCH(Table1[[#This Row],[Item Purchased]],D:D))</f>
        <v>Venmo</v>
      </c>
      <c r="T2439">
        <f>SUMIF(J:J,Table1[[#This Row],[Season]],F:F)</f>
        <v>58607</v>
      </c>
    </row>
    <row r="2440" spans="1:20" x14ac:dyDescent="0.3">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c r="S2440" t="str">
        <f>INDEX(Q:Q,MATCH(Table1[[#This Row],[Item Purchased]],D:D))</f>
        <v>Cash</v>
      </c>
      <c r="T2440">
        <f>SUMIF(J:J,Table1[[#This Row],[Season]],F:F)</f>
        <v>58607</v>
      </c>
    </row>
    <row r="2441" spans="1:20" x14ac:dyDescent="0.3">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c r="S2441" t="str">
        <f>INDEX(Q:Q,MATCH(Table1[[#This Row],[Item Purchased]],D:D))</f>
        <v>Cash</v>
      </c>
      <c r="T2441">
        <f>SUMIF(J:J,Table1[[#This Row],[Season]],F:F)</f>
        <v>55777</v>
      </c>
    </row>
    <row r="2442" spans="1:20" x14ac:dyDescent="0.3">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c r="S2442" t="str">
        <f>INDEX(Q:Q,MATCH(Table1[[#This Row],[Item Purchased]],D:D))</f>
        <v>Venmo</v>
      </c>
      <c r="T2442">
        <f>SUMIF(J:J,Table1[[#This Row],[Season]],F:F)</f>
        <v>58679</v>
      </c>
    </row>
    <row r="2443" spans="1:20" x14ac:dyDescent="0.3">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c r="S2443" t="str">
        <f>INDEX(Q:Q,MATCH(Table1[[#This Row],[Item Purchased]],D:D))</f>
        <v>Cash</v>
      </c>
      <c r="T2443">
        <f>SUMIF(J:J,Table1[[#This Row],[Season]],F:F)</f>
        <v>60018</v>
      </c>
    </row>
    <row r="2444" spans="1:20" x14ac:dyDescent="0.3">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c r="S2444" t="str">
        <f>INDEX(Q:Q,MATCH(Table1[[#This Row],[Item Purchased]],D:D))</f>
        <v>Venmo</v>
      </c>
      <c r="T2444">
        <f>SUMIF(J:J,Table1[[#This Row],[Season]],F:F)</f>
        <v>58607</v>
      </c>
    </row>
    <row r="2445" spans="1:20" x14ac:dyDescent="0.3">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c r="S2445" t="e">
        <f>INDEX(Q:Q,MATCH(Table1[[#This Row],[Item Purchased]],D:D))</f>
        <v>#N/A</v>
      </c>
      <c r="T2445">
        <f>SUMIF(J:J,Table1[[#This Row],[Season]],F:F)</f>
        <v>58679</v>
      </c>
    </row>
    <row r="2446" spans="1:20" x14ac:dyDescent="0.3">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c r="S2446" t="str">
        <f>INDEX(Q:Q,MATCH(Table1[[#This Row],[Item Purchased]],D:D))</f>
        <v>Bank Transfer</v>
      </c>
      <c r="T2446">
        <f>SUMIF(J:J,Table1[[#This Row],[Season]],F:F)</f>
        <v>60018</v>
      </c>
    </row>
    <row r="2447" spans="1:20" x14ac:dyDescent="0.3">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c r="S2447" t="str">
        <f>INDEX(Q:Q,MATCH(Table1[[#This Row],[Item Purchased]],D:D))</f>
        <v>Bank Transfer</v>
      </c>
      <c r="T2447">
        <f>SUMIF(J:J,Table1[[#This Row],[Season]],F:F)</f>
        <v>55777</v>
      </c>
    </row>
    <row r="2448" spans="1:20" x14ac:dyDescent="0.3">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c r="S2448" t="str">
        <f>INDEX(Q:Q,MATCH(Table1[[#This Row],[Item Purchased]],D:D))</f>
        <v>Bank Transfer</v>
      </c>
      <c r="T2448">
        <f>SUMIF(J:J,Table1[[#This Row],[Season]],F:F)</f>
        <v>58679</v>
      </c>
    </row>
    <row r="2449" spans="1:20" x14ac:dyDescent="0.3">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c r="S2449" t="str">
        <f>INDEX(Q:Q,MATCH(Table1[[#This Row],[Item Purchased]],D:D))</f>
        <v>Cash</v>
      </c>
      <c r="T2449">
        <f>SUMIF(J:J,Table1[[#This Row],[Season]],F:F)</f>
        <v>60018</v>
      </c>
    </row>
    <row r="2450" spans="1:20" x14ac:dyDescent="0.3">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c r="S2450" t="str">
        <f>INDEX(Q:Q,MATCH(Table1[[#This Row],[Item Purchased]],D:D))</f>
        <v>Venmo</v>
      </c>
      <c r="T2450">
        <f>SUMIF(J:J,Table1[[#This Row],[Season]],F:F)</f>
        <v>60018</v>
      </c>
    </row>
    <row r="2451" spans="1:20" x14ac:dyDescent="0.3">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c r="S2451" t="str">
        <f>INDEX(Q:Q,MATCH(Table1[[#This Row],[Item Purchased]],D:D))</f>
        <v>Debit Card</v>
      </c>
      <c r="T2451">
        <f>SUMIF(J:J,Table1[[#This Row],[Season]],F:F)</f>
        <v>60018</v>
      </c>
    </row>
    <row r="2452" spans="1:20" x14ac:dyDescent="0.3">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c r="S2452" t="str">
        <f>INDEX(Q:Q,MATCH(Table1[[#This Row],[Item Purchased]],D:D))</f>
        <v>Venmo</v>
      </c>
      <c r="T2452">
        <f>SUMIF(J:J,Table1[[#This Row],[Season]],F:F)</f>
        <v>60018</v>
      </c>
    </row>
    <row r="2453" spans="1:20" x14ac:dyDescent="0.3">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c r="S2453" t="str">
        <f>INDEX(Q:Q,MATCH(Table1[[#This Row],[Item Purchased]],D:D))</f>
        <v>Venmo</v>
      </c>
      <c r="T2453">
        <f>SUMIF(J:J,Table1[[#This Row],[Season]],F:F)</f>
        <v>60018</v>
      </c>
    </row>
    <row r="2454" spans="1:20" x14ac:dyDescent="0.3">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c r="S2454" t="str">
        <f>INDEX(Q:Q,MATCH(Table1[[#This Row],[Item Purchased]],D:D))</f>
        <v>Bank Transfer</v>
      </c>
      <c r="T2454">
        <f>SUMIF(J:J,Table1[[#This Row],[Season]],F:F)</f>
        <v>58607</v>
      </c>
    </row>
    <row r="2455" spans="1:20" x14ac:dyDescent="0.3">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c r="S2455" t="str">
        <f>INDEX(Q:Q,MATCH(Table1[[#This Row],[Item Purchased]],D:D))</f>
        <v>Venmo</v>
      </c>
      <c r="T2455">
        <f>SUMIF(J:J,Table1[[#This Row],[Season]],F:F)</f>
        <v>58679</v>
      </c>
    </row>
    <row r="2456" spans="1:20" x14ac:dyDescent="0.3">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c r="S2456" t="str">
        <f>INDEX(Q:Q,MATCH(Table1[[#This Row],[Item Purchased]],D:D))</f>
        <v>Debit Card</v>
      </c>
      <c r="T2456">
        <f>SUMIF(J:J,Table1[[#This Row],[Season]],F:F)</f>
        <v>58607</v>
      </c>
    </row>
    <row r="2457" spans="1:20" x14ac:dyDescent="0.3">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c r="S2457" t="e">
        <f>INDEX(Q:Q,MATCH(Table1[[#This Row],[Item Purchased]],D:D))</f>
        <v>#N/A</v>
      </c>
      <c r="T2457">
        <f>SUMIF(J:J,Table1[[#This Row],[Season]],F:F)</f>
        <v>58679</v>
      </c>
    </row>
    <row r="2458" spans="1:20" x14ac:dyDescent="0.3">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c r="S2458" t="str">
        <f>INDEX(Q:Q,MATCH(Table1[[#This Row],[Item Purchased]],D:D))</f>
        <v>Cash</v>
      </c>
      <c r="T2458">
        <f>SUMIF(J:J,Table1[[#This Row],[Season]],F:F)</f>
        <v>58607</v>
      </c>
    </row>
    <row r="2459" spans="1:20" x14ac:dyDescent="0.3">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c r="S2459" t="str">
        <f>INDEX(Q:Q,MATCH(Table1[[#This Row],[Item Purchased]],D:D))</f>
        <v>Cash</v>
      </c>
      <c r="T2459">
        <f>SUMIF(J:J,Table1[[#This Row],[Season]],F:F)</f>
        <v>60018</v>
      </c>
    </row>
    <row r="2460" spans="1:20" x14ac:dyDescent="0.3">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c r="S2460" t="str">
        <f>INDEX(Q:Q,MATCH(Table1[[#This Row],[Item Purchased]],D:D))</f>
        <v>Venmo</v>
      </c>
      <c r="T2460">
        <f>SUMIF(J:J,Table1[[#This Row],[Season]],F:F)</f>
        <v>60018</v>
      </c>
    </row>
    <row r="2461" spans="1:20" x14ac:dyDescent="0.3">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c r="S2461" t="str">
        <f>INDEX(Q:Q,MATCH(Table1[[#This Row],[Item Purchased]],D:D))</f>
        <v>Venmo</v>
      </c>
      <c r="T2461">
        <f>SUMIF(J:J,Table1[[#This Row],[Season]],F:F)</f>
        <v>60018</v>
      </c>
    </row>
    <row r="2462" spans="1:20" x14ac:dyDescent="0.3">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c r="S2462" t="str">
        <f>INDEX(Q:Q,MATCH(Table1[[#This Row],[Item Purchased]],D:D))</f>
        <v>Cash</v>
      </c>
      <c r="T2462">
        <f>SUMIF(J:J,Table1[[#This Row],[Season]],F:F)</f>
        <v>58607</v>
      </c>
    </row>
    <row r="2463" spans="1:20" x14ac:dyDescent="0.3">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c r="S2463" t="str">
        <f>INDEX(Q:Q,MATCH(Table1[[#This Row],[Item Purchased]],D:D))</f>
        <v>Bank Transfer</v>
      </c>
      <c r="T2463">
        <f>SUMIF(J:J,Table1[[#This Row],[Season]],F:F)</f>
        <v>55777</v>
      </c>
    </row>
    <row r="2464" spans="1:20" x14ac:dyDescent="0.3">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c r="S2464" t="str">
        <f>INDEX(Q:Q,MATCH(Table1[[#This Row],[Item Purchased]],D:D))</f>
        <v>Cash</v>
      </c>
      <c r="T2464">
        <f>SUMIF(J:J,Table1[[#This Row],[Season]],F:F)</f>
        <v>58679</v>
      </c>
    </row>
    <row r="2465" spans="1:20" x14ac:dyDescent="0.3">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c r="S2465" t="str">
        <f>INDEX(Q:Q,MATCH(Table1[[#This Row],[Item Purchased]],D:D))</f>
        <v>Venmo</v>
      </c>
      <c r="T2465">
        <f>SUMIF(J:J,Table1[[#This Row],[Season]],F:F)</f>
        <v>55777</v>
      </c>
    </row>
    <row r="2466" spans="1:20" x14ac:dyDescent="0.3">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c r="S2466" t="str">
        <f>INDEX(Q:Q,MATCH(Table1[[#This Row],[Item Purchased]],D:D))</f>
        <v>Debit Card</v>
      </c>
      <c r="T2466">
        <f>SUMIF(J:J,Table1[[#This Row],[Season]],F:F)</f>
        <v>58607</v>
      </c>
    </row>
    <row r="2467" spans="1:20" x14ac:dyDescent="0.3">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c r="S2467" t="str">
        <f>INDEX(Q:Q,MATCH(Table1[[#This Row],[Item Purchased]],D:D))</f>
        <v>Bank Transfer</v>
      </c>
      <c r="T2467">
        <f>SUMIF(J:J,Table1[[#This Row],[Season]],F:F)</f>
        <v>58679</v>
      </c>
    </row>
    <row r="2468" spans="1:20" x14ac:dyDescent="0.3">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c r="S2468" t="str">
        <f>INDEX(Q:Q,MATCH(Table1[[#This Row],[Item Purchased]],D:D))</f>
        <v>PayPal</v>
      </c>
      <c r="T2468">
        <f>SUMIF(J:J,Table1[[#This Row],[Season]],F:F)</f>
        <v>55777</v>
      </c>
    </row>
    <row r="2469" spans="1:20" x14ac:dyDescent="0.3">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c r="S2469" t="str">
        <f>INDEX(Q:Q,MATCH(Table1[[#This Row],[Item Purchased]],D:D))</f>
        <v>PayPal</v>
      </c>
      <c r="T2469">
        <f>SUMIF(J:J,Table1[[#This Row],[Season]],F:F)</f>
        <v>58679</v>
      </c>
    </row>
    <row r="2470" spans="1:20" x14ac:dyDescent="0.3">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c r="S2470" t="str">
        <f>INDEX(Q:Q,MATCH(Table1[[#This Row],[Item Purchased]],D:D))</f>
        <v>Credit Card</v>
      </c>
      <c r="T2470">
        <f>SUMIF(J:J,Table1[[#This Row],[Season]],F:F)</f>
        <v>58607</v>
      </c>
    </row>
    <row r="2471" spans="1:20" x14ac:dyDescent="0.3">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c r="S2471" t="str">
        <f>INDEX(Q:Q,MATCH(Table1[[#This Row],[Item Purchased]],D:D))</f>
        <v>Bank Transfer</v>
      </c>
      <c r="T2471">
        <f>SUMIF(J:J,Table1[[#This Row],[Season]],F:F)</f>
        <v>60018</v>
      </c>
    </row>
    <row r="2472" spans="1:20" x14ac:dyDescent="0.3">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c r="S2472" t="str">
        <f>INDEX(Q:Q,MATCH(Table1[[#This Row],[Item Purchased]],D:D))</f>
        <v>Venmo</v>
      </c>
      <c r="T2472">
        <f>SUMIF(J:J,Table1[[#This Row],[Season]],F:F)</f>
        <v>60018</v>
      </c>
    </row>
    <row r="2473" spans="1:20" x14ac:dyDescent="0.3">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c r="S2473" t="str">
        <f>INDEX(Q:Q,MATCH(Table1[[#This Row],[Item Purchased]],D:D))</f>
        <v>Bank Transfer</v>
      </c>
      <c r="T2473">
        <f>SUMIF(J:J,Table1[[#This Row],[Season]],F:F)</f>
        <v>58679</v>
      </c>
    </row>
    <row r="2474" spans="1:20" x14ac:dyDescent="0.3">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c r="S2474" t="str">
        <f>INDEX(Q:Q,MATCH(Table1[[#This Row],[Item Purchased]],D:D))</f>
        <v>Bank Transfer</v>
      </c>
      <c r="T2474">
        <f>SUMIF(J:J,Table1[[#This Row],[Season]],F:F)</f>
        <v>55777</v>
      </c>
    </row>
    <row r="2475" spans="1:20" x14ac:dyDescent="0.3">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c r="S2475" t="str">
        <f>INDEX(Q:Q,MATCH(Table1[[#This Row],[Item Purchased]],D:D))</f>
        <v>Venmo</v>
      </c>
      <c r="T2475">
        <f>SUMIF(J:J,Table1[[#This Row],[Season]],F:F)</f>
        <v>58607</v>
      </c>
    </row>
    <row r="2476" spans="1:20" x14ac:dyDescent="0.3">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c r="S2476" t="str">
        <f>INDEX(Q:Q,MATCH(Table1[[#This Row],[Item Purchased]],D:D))</f>
        <v>Venmo</v>
      </c>
      <c r="T2476">
        <f>SUMIF(J:J,Table1[[#This Row],[Season]],F:F)</f>
        <v>60018</v>
      </c>
    </row>
    <row r="2477" spans="1:20" x14ac:dyDescent="0.3">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c r="S2477" t="str">
        <f>INDEX(Q:Q,MATCH(Table1[[#This Row],[Item Purchased]],D:D))</f>
        <v>Debit Card</v>
      </c>
      <c r="T2477">
        <f>SUMIF(J:J,Table1[[#This Row],[Season]],F:F)</f>
        <v>55777</v>
      </c>
    </row>
    <row r="2478" spans="1:20" x14ac:dyDescent="0.3">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c r="S2478" t="str">
        <f>INDEX(Q:Q,MATCH(Table1[[#This Row],[Item Purchased]],D:D))</f>
        <v>Venmo</v>
      </c>
      <c r="T2478">
        <f>SUMIF(J:J,Table1[[#This Row],[Season]],F:F)</f>
        <v>55777</v>
      </c>
    </row>
    <row r="2479" spans="1:20" x14ac:dyDescent="0.3">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c r="S2479" t="str">
        <f>INDEX(Q:Q,MATCH(Table1[[#This Row],[Item Purchased]],D:D))</f>
        <v>Debit Card</v>
      </c>
      <c r="T2479">
        <f>SUMIF(J:J,Table1[[#This Row],[Season]],F:F)</f>
        <v>58679</v>
      </c>
    </row>
    <row r="2480" spans="1:20" x14ac:dyDescent="0.3">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c r="S2480" t="str">
        <f>INDEX(Q:Q,MATCH(Table1[[#This Row],[Item Purchased]],D:D))</f>
        <v>Venmo</v>
      </c>
      <c r="T2480">
        <f>SUMIF(J:J,Table1[[#This Row],[Season]],F:F)</f>
        <v>58607</v>
      </c>
    </row>
    <row r="2481" spans="1:20" x14ac:dyDescent="0.3">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c r="S2481" t="str">
        <f>INDEX(Q:Q,MATCH(Table1[[#This Row],[Item Purchased]],D:D))</f>
        <v>Debit Card</v>
      </c>
      <c r="T2481">
        <f>SUMIF(J:J,Table1[[#This Row],[Season]],F:F)</f>
        <v>60018</v>
      </c>
    </row>
    <row r="2482" spans="1:20" x14ac:dyDescent="0.3">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c r="S2482" t="str">
        <f>INDEX(Q:Q,MATCH(Table1[[#This Row],[Item Purchased]],D:D))</f>
        <v>Venmo</v>
      </c>
      <c r="T2482">
        <f>SUMIF(J:J,Table1[[#This Row],[Season]],F:F)</f>
        <v>55777</v>
      </c>
    </row>
    <row r="2483" spans="1:20" x14ac:dyDescent="0.3">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c r="S2483" t="e">
        <f>INDEX(Q:Q,MATCH(Table1[[#This Row],[Item Purchased]],D:D))</f>
        <v>#N/A</v>
      </c>
      <c r="T2483">
        <f>SUMIF(J:J,Table1[[#This Row],[Season]],F:F)</f>
        <v>60018</v>
      </c>
    </row>
    <row r="2484" spans="1:20" x14ac:dyDescent="0.3">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c r="S2484" t="str">
        <f>INDEX(Q:Q,MATCH(Table1[[#This Row],[Item Purchased]],D:D))</f>
        <v>Cash</v>
      </c>
      <c r="T2484">
        <f>SUMIF(J:J,Table1[[#This Row],[Season]],F:F)</f>
        <v>58607</v>
      </c>
    </row>
    <row r="2485" spans="1:20" x14ac:dyDescent="0.3">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c r="S2485" t="str">
        <f>INDEX(Q:Q,MATCH(Table1[[#This Row],[Item Purchased]],D:D))</f>
        <v>Credit Card</v>
      </c>
      <c r="T2485">
        <f>SUMIF(J:J,Table1[[#This Row],[Season]],F:F)</f>
        <v>60018</v>
      </c>
    </row>
    <row r="2486" spans="1:20" x14ac:dyDescent="0.3">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c r="S2486" t="str">
        <f>INDEX(Q:Q,MATCH(Table1[[#This Row],[Item Purchased]],D:D))</f>
        <v>Venmo</v>
      </c>
      <c r="T2486">
        <f>SUMIF(J:J,Table1[[#This Row],[Season]],F:F)</f>
        <v>55777</v>
      </c>
    </row>
    <row r="2487" spans="1:20" x14ac:dyDescent="0.3">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c r="S2487" t="str">
        <f>INDEX(Q:Q,MATCH(Table1[[#This Row],[Item Purchased]],D:D))</f>
        <v>Venmo</v>
      </c>
      <c r="T2487">
        <f>SUMIF(J:J,Table1[[#This Row],[Season]],F:F)</f>
        <v>58679</v>
      </c>
    </row>
    <row r="2488" spans="1:20" x14ac:dyDescent="0.3">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c r="S2488" t="str">
        <f>INDEX(Q:Q,MATCH(Table1[[#This Row],[Item Purchased]],D:D))</f>
        <v>Cash</v>
      </c>
      <c r="T2488">
        <f>SUMIF(J:J,Table1[[#This Row],[Season]],F:F)</f>
        <v>58679</v>
      </c>
    </row>
    <row r="2489" spans="1:20" x14ac:dyDescent="0.3">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c r="S2489" t="str">
        <f>INDEX(Q:Q,MATCH(Table1[[#This Row],[Item Purchased]],D:D))</f>
        <v>Venmo</v>
      </c>
      <c r="T2489">
        <f>SUMIF(J:J,Table1[[#This Row],[Season]],F:F)</f>
        <v>58679</v>
      </c>
    </row>
    <row r="2490" spans="1:20" x14ac:dyDescent="0.3">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c r="S2490" t="str">
        <f>INDEX(Q:Q,MATCH(Table1[[#This Row],[Item Purchased]],D:D))</f>
        <v>Cash</v>
      </c>
      <c r="T2490">
        <f>SUMIF(J:J,Table1[[#This Row],[Season]],F:F)</f>
        <v>55777</v>
      </c>
    </row>
    <row r="2491" spans="1:20" x14ac:dyDescent="0.3">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c r="S2491" t="str">
        <f>INDEX(Q:Q,MATCH(Table1[[#This Row],[Item Purchased]],D:D))</f>
        <v>Debit Card</v>
      </c>
      <c r="T2491">
        <f>SUMIF(J:J,Table1[[#This Row],[Season]],F:F)</f>
        <v>58607</v>
      </c>
    </row>
    <row r="2492" spans="1:20" x14ac:dyDescent="0.3">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c r="S2492" t="str">
        <f>INDEX(Q:Q,MATCH(Table1[[#This Row],[Item Purchased]],D:D))</f>
        <v>Venmo</v>
      </c>
      <c r="T2492">
        <f>SUMIF(J:J,Table1[[#This Row],[Season]],F:F)</f>
        <v>58679</v>
      </c>
    </row>
    <row r="2493" spans="1:20" x14ac:dyDescent="0.3">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c r="S2493" t="str">
        <f>INDEX(Q:Q,MATCH(Table1[[#This Row],[Item Purchased]],D:D))</f>
        <v>Cash</v>
      </c>
      <c r="T2493">
        <f>SUMIF(J:J,Table1[[#This Row],[Season]],F:F)</f>
        <v>58679</v>
      </c>
    </row>
    <row r="2494" spans="1:20" x14ac:dyDescent="0.3">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c r="S2494" t="str">
        <f>INDEX(Q:Q,MATCH(Table1[[#This Row],[Item Purchased]],D:D))</f>
        <v>Venmo</v>
      </c>
      <c r="T2494">
        <f>SUMIF(J:J,Table1[[#This Row],[Season]],F:F)</f>
        <v>55777</v>
      </c>
    </row>
    <row r="2495" spans="1:20" x14ac:dyDescent="0.3">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c r="S2495" t="str">
        <f>INDEX(Q:Q,MATCH(Table1[[#This Row],[Item Purchased]],D:D))</f>
        <v>Venmo</v>
      </c>
      <c r="T2495">
        <f>SUMIF(J:J,Table1[[#This Row],[Season]],F:F)</f>
        <v>60018</v>
      </c>
    </row>
    <row r="2496" spans="1:20" x14ac:dyDescent="0.3">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c r="S2496" t="str">
        <f>INDEX(Q:Q,MATCH(Table1[[#This Row],[Item Purchased]],D:D))</f>
        <v>PayPal</v>
      </c>
      <c r="T2496">
        <f>SUMIF(J:J,Table1[[#This Row],[Season]],F:F)</f>
        <v>58607</v>
      </c>
    </row>
    <row r="2497" spans="1:20" x14ac:dyDescent="0.3">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c r="S2497" t="e">
        <f>INDEX(Q:Q,MATCH(Table1[[#This Row],[Item Purchased]],D:D))</f>
        <v>#N/A</v>
      </c>
      <c r="T2497">
        <f>SUMIF(J:J,Table1[[#This Row],[Season]],F:F)</f>
        <v>58679</v>
      </c>
    </row>
    <row r="2498" spans="1:20" x14ac:dyDescent="0.3">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c r="S2498" t="str">
        <f>INDEX(Q:Q,MATCH(Table1[[#This Row],[Item Purchased]],D:D))</f>
        <v>Bank Transfer</v>
      </c>
      <c r="T2498">
        <f>SUMIF(J:J,Table1[[#This Row],[Season]],F:F)</f>
        <v>55777</v>
      </c>
    </row>
    <row r="2499" spans="1:20" x14ac:dyDescent="0.3">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c r="S2499" t="e">
        <f>INDEX(Q:Q,MATCH(Table1[[#This Row],[Item Purchased]],D:D))</f>
        <v>#N/A</v>
      </c>
      <c r="T2499">
        <f>SUMIF(J:J,Table1[[#This Row],[Season]],F:F)</f>
        <v>55777</v>
      </c>
    </row>
    <row r="2500" spans="1:20" x14ac:dyDescent="0.3">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c r="S2500" t="str">
        <f>INDEX(Q:Q,MATCH(Table1[[#This Row],[Item Purchased]],D:D))</f>
        <v>Debit Card</v>
      </c>
      <c r="T2500">
        <f>SUMIF(J:J,Table1[[#This Row],[Season]],F:F)</f>
        <v>60018</v>
      </c>
    </row>
    <row r="2501" spans="1:20" x14ac:dyDescent="0.3">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c r="S2501" t="str">
        <f>INDEX(Q:Q,MATCH(Table1[[#This Row],[Item Purchased]],D:D))</f>
        <v>Venmo</v>
      </c>
      <c r="T2501">
        <f>SUMIF(J:J,Table1[[#This Row],[Season]],F:F)</f>
        <v>55777</v>
      </c>
    </row>
    <row r="2502" spans="1:20" x14ac:dyDescent="0.3">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c r="S2502" t="str">
        <f>INDEX(Q:Q,MATCH(Table1[[#This Row],[Item Purchased]],D:D))</f>
        <v>Debit Card</v>
      </c>
      <c r="T2502">
        <f>SUMIF(J:J,Table1[[#This Row],[Season]],F:F)</f>
        <v>60018</v>
      </c>
    </row>
    <row r="2503" spans="1:20" x14ac:dyDescent="0.3">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c r="S2503" t="str">
        <f>INDEX(Q:Q,MATCH(Table1[[#This Row],[Item Purchased]],D:D))</f>
        <v>PayPal</v>
      </c>
      <c r="T2503">
        <f>SUMIF(J:J,Table1[[#This Row],[Season]],F:F)</f>
        <v>60018</v>
      </c>
    </row>
    <row r="2504" spans="1:20" x14ac:dyDescent="0.3">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c r="S2504" t="str">
        <f>INDEX(Q:Q,MATCH(Table1[[#This Row],[Item Purchased]],D:D))</f>
        <v>Credit Card</v>
      </c>
      <c r="T2504">
        <f>SUMIF(J:J,Table1[[#This Row],[Season]],F:F)</f>
        <v>58679</v>
      </c>
    </row>
    <row r="2505" spans="1:20" x14ac:dyDescent="0.3">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c r="S2505" t="str">
        <f>INDEX(Q:Q,MATCH(Table1[[#This Row],[Item Purchased]],D:D))</f>
        <v>Venmo</v>
      </c>
      <c r="T2505">
        <f>SUMIF(J:J,Table1[[#This Row],[Season]],F:F)</f>
        <v>55777</v>
      </c>
    </row>
    <row r="2506" spans="1:20" x14ac:dyDescent="0.3">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c r="S2506" t="str">
        <f>INDEX(Q:Q,MATCH(Table1[[#This Row],[Item Purchased]],D:D))</f>
        <v>PayPal</v>
      </c>
      <c r="T2506">
        <f>SUMIF(J:J,Table1[[#This Row],[Season]],F:F)</f>
        <v>58607</v>
      </c>
    </row>
    <row r="2507" spans="1:20" x14ac:dyDescent="0.3">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c r="S2507" t="str">
        <f>INDEX(Q:Q,MATCH(Table1[[#This Row],[Item Purchased]],D:D))</f>
        <v>Cash</v>
      </c>
      <c r="T2507">
        <f>SUMIF(J:J,Table1[[#This Row],[Season]],F:F)</f>
        <v>55777</v>
      </c>
    </row>
    <row r="2508" spans="1:20" x14ac:dyDescent="0.3">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c r="S2508" t="str">
        <f>INDEX(Q:Q,MATCH(Table1[[#This Row],[Item Purchased]],D:D))</f>
        <v>Debit Card</v>
      </c>
      <c r="T2508">
        <f>SUMIF(J:J,Table1[[#This Row],[Season]],F:F)</f>
        <v>58679</v>
      </c>
    </row>
    <row r="2509" spans="1:20" x14ac:dyDescent="0.3">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c r="S2509" t="str">
        <f>INDEX(Q:Q,MATCH(Table1[[#This Row],[Item Purchased]],D:D))</f>
        <v>PayPal</v>
      </c>
      <c r="T2509">
        <f>SUMIF(J:J,Table1[[#This Row],[Season]],F:F)</f>
        <v>60018</v>
      </c>
    </row>
    <row r="2510" spans="1:20" x14ac:dyDescent="0.3">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c r="S2510" t="str">
        <f>INDEX(Q:Q,MATCH(Table1[[#This Row],[Item Purchased]],D:D))</f>
        <v>Venmo</v>
      </c>
      <c r="T2510">
        <f>SUMIF(J:J,Table1[[#This Row],[Season]],F:F)</f>
        <v>58679</v>
      </c>
    </row>
    <row r="2511" spans="1:20" x14ac:dyDescent="0.3">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c r="S2511" t="str">
        <f>INDEX(Q:Q,MATCH(Table1[[#This Row],[Item Purchased]],D:D))</f>
        <v>Venmo</v>
      </c>
      <c r="T2511">
        <f>SUMIF(J:J,Table1[[#This Row],[Season]],F:F)</f>
        <v>58679</v>
      </c>
    </row>
    <row r="2512" spans="1:20" x14ac:dyDescent="0.3">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c r="S2512" t="str">
        <f>INDEX(Q:Q,MATCH(Table1[[#This Row],[Item Purchased]],D:D))</f>
        <v>Debit Card</v>
      </c>
      <c r="T2512">
        <f>SUMIF(J:J,Table1[[#This Row],[Season]],F:F)</f>
        <v>58607</v>
      </c>
    </row>
    <row r="2513" spans="1:20" x14ac:dyDescent="0.3">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c r="S2513" t="e">
        <f>INDEX(Q:Q,MATCH(Table1[[#This Row],[Item Purchased]],D:D))</f>
        <v>#N/A</v>
      </c>
      <c r="T2513">
        <f>SUMIF(J:J,Table1[[#This Row],[Season]],F:F)</f>
        <v>55777</v>
      </c>
    </row>
    <row r="2514" spans="1:20" x14ac:dyDescent="0.3">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c r="S2514" t="str">
        <f>INDEX(Q:Q,MATCH(Table1[[#This Row],[Item Purchased]],D:D))</f>
        <v>Venmo</v>
      </c>
      <c r="T2514">
        <f>SUMIF(J:J,Table1[[#This Row],[Season]],F:F)</f>
        <v>55777</v>
      </c>
    </row>
    <row r="2515" spans="1:20" x14ac:dyDescent="0.3">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c r="S2515" t="str">
        <f>INDEX(Q:Q,MATCH(Table1[[#This Row],[Item Purchased]],D:D))</f>
        <v>Cash</v>
      </c>
      <c r="T2515">
        <f>SUMIF(J:J,Table1[[#This Row],[Season]],F:F)</f>
        <v>58607</v>
      </c>
    </row>
    <row r="2516" spans="1:20" x14ac:dyDescent="0.3">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c r="S2516" t="str">
        <f>INDEX(Q:Q,MATCH(Table1[[#This Row],[Item Purchased]],D:D))</f>
        <v>Venmo</v>
      </c>
      <c r="T2516">
        <f>SUMIF(J:J,Table1[[#This Row],[Season]],F:F)</f>
        <v>58679</v>
      </c>
    </row>
    <row r="2517" spans="1:20" x14ac:dyDescent="0.3">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c r="S2517" t="str">
        <f>INDEX(Q:Q,MATCH(Table1[[#This Row],[Item Purchased]],D:D))</f>
        <v>Venmo</v>
      </c>
      <c r="T2517">
        <f>SUMIF(J:J,Table1[[#This Row],[Season]],F:F)</f>
        <v>55777</v>
      </c>
    </row>
    <row r="2518" spans="1:20" x14ac:dyDescent="0.3">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c r="S2518" t="str">
        <f>INDEX(Q:Q,MATCH(Table1[[#This Row],[Item Purchased]],D:D))</f>
        <v>PayPal</v>
      </c>
      <c r="T2518">
        <f>SUMIF(J:J,Table1[[#This Row],[Season]],F:F)</f>
        <v>58679</v>
      </c>
    </row>
    <row r="2519" spans="1:20" x14ac:dyDescent="0.3">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c r="S2519" t="str">
        <f>INDEX(Q:Q,MATCH(Table1[[#This Row],[Item Purchased]],D:D))</f>
        <v>Bank Transfer</v>
      </c>
      <c r="T2519">
        <f>SUMIF(J:J,Table1[[#This Row],[Season]],F:F)</f>
        <v>58679</v>
      </c>
    </row>
    <row r="2520" spans="1:20" x14ac:dyDescent="0.3">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c r="S2520" t="str">
        <f>INDEX(Q:Q,MATCH(Table1[[#This Row],[Item Purchased]],D:D))</f>
        <v>Venmo</v>
      </c>
      <c r="T2520">
        <f>SUMIF(J:J,Table1[[#This Row],[Season]],F:F)</f>
        <v>60018</v>
      </c>
    </row>
    <row r="2521" spans="1:20" x14ac:dyDescent="0.3">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c r="S2521" t="str">
        <f>INDEX(Q:Q,MATCH(Table1[[#This Row],[Item Purchased]],D:D))</f>
        <v>Debit Card</v>
      </c>
      <c r="T2521">
        <f>SUMIF(J:J,Table1[[#This Row],[Season]],F:F)</f>
        <v>58679</v>
      </c>
    </row>
    <row r="2522" spans="1:20" x14ac:dyDescent="0.3">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c r="S2522" t="str">
        <f>INDEX(Q:Q,MATCH(Table1[[#This Row],[Item Purchased]],D:D))</f>
        <v>Debit Card</v>
      </c>
      <c r="T2522">
        <f>SUMIF(J:J,Table1[[#This Row],[Season]],F:F)</f>
        <v>55777</v>
      </c>
    </row>
    <row r="2523" spans="1:20" x14ac:dyDescent="0.3">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c r="S2523" t="str">
        <f>INDEX(Q:Q,MATCH(Table1[[#This Row],[Item Purchased]],D:D))</f>
        <v>Cash</v>
      </c>
      <c r="T2523">
        <f>SUMIF(J:J,Table1[[#This Row],[Season]],F:F)</f>
        <v>60018</v>
      </c>
    </row>
    <row r="2524" spans="1:20" x14ac:dyDescent="0.3">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c r="S2524" t="e">
        <f>INDEX(Q:Q,MATCH(Table1[[#This Row],[Item Purchased]],D:D))</f>
        <v>#N/A</v>
      </c>
      <c r="T2524">
        <f>SUMIF(J:J,Table1[[#This Row],[Season]],F:F)</f>
        <v>58607</v>
      </c>
    </row>
    <row r="2525" spans="1:20" x14ac:dyDescent="0.3">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c r="S2525" t="str">
        <f>INDEX(Q:Q,MATCH(Table1[[#This Row],[Item Purchased]],D:D))</f>
        <v>Cash</v>
      </c>
      <c r="T2525">
        <f>SUMIF(J:J,Table1[[#This Row],[Season]],F:F)</f>
        <v>58679</v>
      </c>
    </row>
    <row r="2526" spans="1:20" x14ac:dyDescent="0.3">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c r="S2526" t="str">
        <f>INDEX(Q:Q,MATCH(Table1[[#This Row],[Item Purchased]],D:D))</f>
        <v>Debit Card</v>
      </c>
      <c r="T2526">
        <f>SUMIF(J:J,Table1[[#This Row],[Season]],F:F)</f>
        <v>58679</v>
      </c>
    </row>
    <row r="2527" spans="1:20" x14ac:dyDescent="0.3">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c r="S2527" t="str">
        <f>INDEX(Q:Q,MATCH(Table1[[#This Row],[Item Purchased]],D:D))</f>
        <v>Venmo</v>
      </c>
      <c r="T2527">
        <f>SUMIF(J:J,Table1[[#This Row],[Season]],F:F)</f>
        <v>58607</v>
      </c>
    </row>
    <row r="2528" spans="1:20" x14ac:dyDescent="0.3">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c r="S2528" t="str">
        <f>INDEX(Q:Q,MATCH(Table1[[#This Row],[Item Purchased]],D:D))</f>
        <v>PayPal</v>
      </c>
      <c r="T2528">
        <f>SUMIF(J:J,Table1[[#This Row],[Season]],F:F)</f>
        <v>58679</v>
      </c>
    </row>
    <row r="2529" spans="1:20" x14ac:dyDescent="0.3">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c r="S2529" t="str">
        <f>INDEX(Q:Q,MATCH(Table1[[#This Row],[Item Purchased]],D:D))</f>
        <v>Cash</v>
      </c>
      <c r="T2529">
        <f>SUMIF(J:J,Table1[[#This Row],[Season]],F:F)</f>
        <v>60018</v>
      </c>
    </row>
    <row r="2530" spans="1:20" x14ac:dyDescent="0.3">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c r="S2530" t="str">
        <f>INDEX(Q:Q,MATCH(Table1[[#This Row],[Item Purchased]],D:D))</f>
        <v>Cash</v>
      </c>
      <c r="T2530">
        <f>SUMIF(J:J,Table1[[#This Row],[Season]],F:F)</f>
        <v>60018</v>
      </c>
    </row>
    <row r="2531" spans="1:20" x14ac:dyDescent="0.3">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c r="S2531" t="str">
        <f>INDEX(Q:Q,MATCH(Table1[[#This Row],[Item Purchased]],D:D))</f>
        <v>Debit Card</v>
      </c>
      <c r="T2531">
        <f>SUMIF(J:J,Table1[[#This Row],[Season]],F:F)</f>
        <v>58679</v>
      </c>
    </row>
    <row r="2532" spans="1:20" x14ac:dyDescent="0.3">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c r="S2532" t="str">
        <f>INDEX(Q:Q,MATCH(Table1[[#This Row],[Item Purchased]],D:D))</f>
        <v>Credit Card</v>
      </c>
      <c r="T2532">
        <f>SUMIF(J:J,Table1[[#This Row],[Season]],F:F)</f>
        <v>58679</v>
      </c>
    </row>
    <row r="2533" spans="1:20" x14ac:dyDescent="0.3">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c r="S2533" t="str">
        <f>INDEX(Q:Q,MATCH(Table1[[#This Row],[Item Purchased]],D:D))</f>
        <v>Bank Transfer</v>
      </c>
      <c r="T2533">
        <f>SUMIF(J:J,Table1[[#This Row],[Season]],F:F)</f>
        <v>55777</v>
      </c>
    </row>
    <row r="2534" spans="1:20" x14ac:dyDescent="0.3">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c r="S2534" t="str">
        <f>INDEX(Q:Q,MATCH(Table1[[#This Row],[Item Purchased]],D:D))</f>
        <v>Venmo</v>
      </c>
      <c r="T2534">
        <f>SUMIF(J:J,Table1[[#This Row],[Season]],F:F)</f>
        <v>55777</v>
      </c>
    </row>
    <row r="2535" spans="1:20" x14ac:dyDescent="0.3">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c r="S2535" t="str">
        <f>INDEX(Q:Q,MATCH(Table1[[#This Row],[Item Purchased]],D:D))</f>
        <v>Cash</v>
      </c>
      <c r="T2535">
        <f>SUMIF(J:J,Table1[[#This Row],[Season]],F:F)</f>
        <v>55777</v>
      </c>
    </row>
    <row r="2536" spans="1:20" x14ac:dyDescent="0.3">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c r="S2536" t="str">
        <f>INDEX(Q:Q,MATCH(Table1[[#This Row],[Item Purchased]],D:D))</f>
        <v>Venmo</v>
      </c>
      <c r="T2536">
        <f>SUMIF(J:J,Table1[[#This Row],[Season]],F:F)</f>
        <v>60018</v>
      </c>
    </row>
    <row r="2537" spans="1:20" x14ac:dyDescent="0.3">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c r="S2537" t="str">
        <f>INDEX(Q:Q,MATCH(Table1[[#This Row],[Item Purchased]],D:D))</f>
        <v>Debit Card</v>
      </c>
      <c r="T2537">
        <f>SUMIF(J:J,Table1[[#This Row],[Season]],F:F)</f>
        <v>58607</v>
      </c>
    </row>
    <row r="2538" spans="1:20" x14ac:dyDescent="0.3">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c r="S2538" t="e">
        <f>INDEX(Q:Q,MATCH(Table1[[#This Row],[Item Purchased]],D:D))</f>
        <v>#N/A</v>
      </c>
      <c r="T2538">
        <f>SUMIF(J:J,Table1[[#This Row],[Season]],F:F)</f>
        <v>58679</v>
      </c>
    </row>
    <row r="2539" spans="1:20" x14ac:dyDescent="0.3">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c r="S2539" t="str">
        <f>INDEX(Q:Q,MATCH(Table1[[#This Row],[Item Purchased]],D:D))</f>
        <v>Debit Card</v>
      </c>
      <c r="T2539">
        <f>SUMIF(J:J,Table1[[#This Row],[Season]],F:F)</f>
        <v>55777</v>
      </c>
    </row>
    <row r="2540" spans="1:20" x14ac:dyDescent="0.3">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c r="S2540" t="str">
        <f>INDEX(Q:Q,MATCH(Table1[[#This Row],[Item Purchased]],D:D))</f>
        <v>Bank Transfer</v>
      </c>
      <c r="T2540">
        <f>SUMIF(J:J,Table1[[#This Row],[Season]],F:F)</f>
        <v>55777</v>
      </c>
    </row>
    <row r="2541" spans="1:20" x14ac:dyDescent="0.3">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c r="S2541" t="str">
        <f>INDEX(Q:Q,MATCH(Table1[[#This Row],[Item Purchased]],D:D))</f>
        <v>Bank Transfer</v>
      </c>
      <c r="T2541">
        <f>SUMIF(J:J,Table1[[#This Row],[Season]],F:F)</f>
        <v>60018</v>
      </c>
    </row>
    <row r="2542" spans="1:20" x14ac:dyDescent="0.3">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c r="S2542" t="e">
        <f>INDEX(Q:Q,MATCH(Table1[[#This Row],[Item Purchased]],D:D))</f>
        <v>#N/A</v>
      </c>
      <c r="T2542">
        <f>SUMIF(J:J,Table1[[#This Row],[Season]],F:F)</f>
        <v>55777</v>
      </c>
    </row>
    <row r="2543" spans="1:20" x14ac:dyDescent="0.3">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c r="S2543" t="str">
        <f>INDEX(Q:Q,MATCH(Table1[[#This Row],[Item Purchased]],D:D))</f>
        <v>Bank Transfer</v>
      </c>
      <c r="T2543">
        <f>SUMIF(J:J,Table1[[#This Row],[Season]],F:F)</f>
        <v>58679</v>
      </c>
    </row>
    <row r="2544" spans="1:20" x14ac:dyDescent="0.3">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c r="S2544" t="str">
        <f>INDEX(Q:Q,MATCH(Table1[[#This Row],[Item Purchased]],D:D))</f>
        <v>Cash</v>
      </c>
      <c r="T2544">
        <f>SUMIF(J:J,Table1[[#This Row],[Season]],F:F)</f>
        <v>58607</v>
      </c>
    </row>
    <row r="2545" spans="1:20" x14ac:dyDescent="0.3">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c r="S2545" t="str">
        <f>INDEX(Q:Q,MATCH(Table1[[#This Row],[Item Purchased]],D:D))</f>
        <v>Bank Transfer</v>
      </c>
      <c r="T2545">
        <f>SUMIF(J:J,Table1[[#This Row],[Season]],F:F)</f>
        <v>58679</v>
      </c>
    </row>
    <row r="2546" spans="1:20" x14ac:dyDescent="0.3">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c r="S2546" t="str">
        <f>INDEX(Q:Q,MATCH(Table1[[#This Row],[Item Purchased]],D:D))</f>
        <v>Cash</v>
      </c>
      <c r="T2546">
        <f>SUMIF(J:J,Table1[[#This Row],[Season]],F:F)</f>
        <v>58679</v>
      </c>
    </row>
    <row r="2547" spans="1:20" x14ac:dyDescent="0.3">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c r="S2547" t="str">
        <f>INDEX(Q:Q,MATCH(Table1[[#This Row],[Item Purchased]],D:D))</f>
        <v>PayPal</v>
      </c>
      <c r="T2547">
        <f>SUMIF(J:J,Table1[[#This Row],[Season]],F:F)</f>
        <v>58679</v>
      </c>
    </row>
    <row r="2548" spans="1:20" x14ac:dyDescent="0.3">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c r="S2548" t="str">
        <f>INDEX(Q:Q,MATCH(Table1[[#This Row],[Item Purchased]],D:D))</f>
        <v>Venmo</v>
      </c>
      <c r="T2548">
        <f>SUMIF(J:J,Table1[[#This Row],[Season]],F:F)</f>
        <v>55777</v>
      </c>
    </row>
    <row r="2549" spans="1:20" x14ac:dyDescent="0.3">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c r="S2549" t="str">
        <f>INDEX(Q:Q,MATCH(Table1[[#This Row],[Item Purchased]],D:D))</f>
        <v>Debit Card</v>
      </c>
      <c r="T2549">
        <f>SUMIF(J:J,Table1[[#This Row],[Season]],F:F)</f>
        <v>55777</v>
      </c>
    </row>
    <row r="2550" spans="1:20" x14ac:dyDescent="0.3">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c r="S2550" t="e">
        <f>INDEX(Q:Q,MATCH(Table1[[#This Row],[Item Purchased]],D:D))</f>
        <v>#N/A</v>
      </c>
      <c r="T2550">
        <f>SUMIF(J:J,Table1[[#This Row],[Season]],F:F)</f>
        <v>58607</v>
      </c>
    </row>
    <row r="2551" spans="1:20" x14ac:dyDescent="0.3">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c r="S2551" t="str">
        <f>INDEX(Q:Q,MATCH(Table1[[#This Row],[Item Purchased]],D:D))</f>
        <v>Debit Card</v>
      </c>
      <c r="T2551">
        <f>SUMIF(J:J,Table1[[#This Row],[Season]],F:F)</f>
        <v>60018</v>
      </c>
    </row>
    <row r="2552" spans="1:20" x14ac:dyDescent="0.3">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c r="S2552" t="str">
        <f>INDEX(Q:Q,MATCH(Table1[[#This Row],[Item Purchased]],D:D))</f>
        <v>Venmo</v>
      </c>
      <c r="T2552">
        <f>SUMIF(J:J,Table1[[#This Row],[Season]],F:F)</f>
        <v>60018</v>
      </c>
    </row>
    <row r="2553" spans="1:20" x14ac:dyDescent="0.3">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c r="S2553" t="str">
        <f>INDEX(Q:Q,MATCH(Table1[[#This Row],[Item Purchased]],D:D))</f>
        <v>PayPal</v>
      </c>
      <c r="T2553">
        <f>SUMIF(J:J,Table1[[#This Row],[Season]],F:F)</f>
        <v>58607</v>
      </c>
    </row>
    <row r="2554" spans="1:20" x14ac:dyDescent="0.3">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c r="S2554" t="e">
        <f>INDEX(Q:Q,MATCH(Table1[[#This Row],[Item Purchased]],D:D))</f>
        <v>#N/A</v>
      </c>
      <c r="T2554">
        <f>SUMIF(J:J,Table1[[#This Row],[Season]],F:F)</f>
        <v>58679</v>
      </c>
    </row>
    <row r="2555" spans="1:20" x14ac:dyDescent="0.3">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c r="S2555" t="str">
        <f>INDEX(Q:Q,MATCH(Table1[[#This Row],[Item Purchased]],D:D))</f>
        <v>Cash</v>
      </c>
      <c r="T2555">
        <f>SUMIF(J:J,Table1[[#This Row],[Season]],F:F)</f>
        <v>55777</v>
      </c>
    </row>
    <row r="2556" spans="1:20" x14ac:dyDescent="0.3">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c r="S2556" t="str">
        <f>INDEX(Q:Q,MATCH(Table1[[#This Row],[Item Purchased]],D:D))</f>
        <v>Cash</v>
      </c>
      <c r="T2556">
        <f>SUMIF(J:J,Table1[[#This Row],[Season]],F:F)</f>
        <v>55777</v>
      </c>
    </row>
    <row r="2557" spans="1:20" x14ac:dyDescent="0.3">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c r="S2557" t="str">
        <f>INDEX(Q:Q,MATCH(Table1[[#This Row],[Item Purchased]],D:D))</f>
        <v>Cash</v>
      </c>
      <c r="T2557">
        <f>SUMIF(J:J,Table1[[#This Row],[Season]],F:F)</f>
        <v>60018</v>
      </c>
    </row>
    <row r="2558" spans="1:20" x14ac:dyDescent="0.3">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c r="S2558" t="str">
        <f>INDEX(Q:Q,MATCH(Table1[[#This Row],[Item Purchased]],D:D))</f>
        <v>Venmo</v>
      </c>
      <c r="T2558">
        <f>SUMIF(J:J,Table1[[#This Row],[Season]],F:F)</f>
        <v>60018</v>
      </c>
    </row>
    <row r="2559" spans="1:20" x14ac:dyDescent="0.3">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c r="S2559" t="str">
        <f>INDEX(Q:Q,MATCH(Table1[[#This Row],[Item Purchased]],D:D))</f>
        <v>PayPal</v>
      </c>
      <c r="T2559">
        <f>SUMIF(J:J,Table1[[#This Row],[Season]],F:F)</f>
        <v>58679</v>
      </c>
    </row>
    <row r="2560" spans="1:20" x14ac:dyDescent="0.3">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c r="S2560" t="str">
        <f>INDEX(Q:Q,MATCH(Table1[[#This Row],[Item Purchased]],D:D))</f>
        <v>Venmo</v>
      </c>
      <c r="T2560">
        <f>SUMIF(J:J,Table1[[#This Row],[Season]],F:F)</f>
        <v>60018</v>
      </c>
    </row>
    <row r="2561" spans="1:20" x14ac:dyDescent="0.3">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c r="S2561" t="e">
        <f>INDEX(Q:Q,MATCH(Table1[[#This Row],[Item Purchased]],D:D))</f>
        <v>#N/A</v>
      </c>
      <c r="T2561">
        <f>SUMIF(J:J,Table1[[#This Row],[Season]],F:F)</f>
        <v>58607</v>
      </c>
    </row>
    <row r="2562" spans="1:20" x14ac:dyDescent="0.3">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c r="S2562" t="str">
        <f>INDEX(Q:Q,MATCH(Table1[[#This Row],[Item Purchased]],D:D))</f>
        <v>Venmo</v>
      </c>
      <c r="T2562">
        <f>SUMIF(J:J,Table1[[#This Row],[Season]],F:F)</f>
        <v>58679</v>
      </c>
    </row>
    <row r="2563" spans="1:20" x14ac:dyDescent="0.3">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c r="S2563" t="str">
        <f>INDEX(Q:Q,MATCH(Table1[[#This Row],[Item Purchased]],D:D))</f>
        <v>Venmo</v>
      </c>
      <c r="T2563">
        <f>SUMIF(J:J,Table1[[#This Row],[Season]],F:F)</f>
        <v>58679</v>
      </c>
    </row>
    <row r="2564" spans="1:20" x14ac:dyDescent="0.3">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c r="S2564" t="str">
        <f>INDEX(Q:Q,MATCH(Table1[[#This Row],[Item Purchased]],D:D))</f>
        <v>PayPal</v>
      </c>
      <c r="T2564">
        <f>SUMIF(J:J,Table1[[#This Row],[Season]],F:F)</f>
        <v>58679</v>
      </c>
    </row>
    <row r="2565" spans="1:20" x14ac:dyDescent="0.3">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c r="S2565" t="e">
        <f>INDEX(Q:Q,MATCH(Table1[[#This Row],[Item Purchased]],D:D))</f>
        <v>#N/A</v>
      </c>
      <c r="T2565">
        <f>SUMIF(J:J,Table1[[#This Row],[Season]],F:F)</f>
        <v>58607</v>
      </c>
    </row>
    <row r="2566" spans="1:20" x14ac:dyDescent="0.3">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c r="S2566" t="str">
        <f>INDEX(Q:Q,MATCH(Table1[[#This Row],[Item Purchased]],D:D))</f>
        <v>Bank Transfer</v>
      </c>
      <c r="T2566">
        <f>SUMIF(J:J,Table1[[#This Row],[Season]],F:F)</f>
        <v>58607</v>
      </c>
    </row>
    <row r="2567" spans="1:20" x14ac:dyDescent="0.3">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c r="S2567" t="str">
        <f>INDEX(Q:Q,MATCH(Table1[[#This Row],[Item Purchased]],D:D))</f>
        <v>Venmo</v>
      </c>
      <c r="T2567">
        <f>SUMIF(J:J,Table1[[#This Row],[Season]],F:F)</f>
        <v>60018</v>
      </c>
    </row>
    <row r="2568" spans="1:20" x14ac:dyDescent="0.3">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c r="S2568" t="str">
        <f>INDEX(Q:Q,MATCH(Table1[[#This Row],[Item Purchased]],D:D))</f>
        <v>Cash</v>
      </c>
      <c r="T2568">
        <f>SUMIF(J:J,Table1[[#This Row],[Season]],F:F)</f>
        <v>60018</v>
      </c>
    </row>
    <row r="2569" spans="1:20" x14ac:dyDescent="0.3">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c r="S2569" t="str">
        <f>INDEX(Q:Q,MATCH(Table1[[#This Row],[Item Purchased]],D:D))</f>
        <v>Venmo</v>
      </c>
      <c r="T2569">
        <f>SUMIF(J:J,Table1[[#This Row],[Season]],F:F)</f>
        <v>58679</v>
      </c>
    </row>
    <row r="2570" spans="1:20" x14ac:dyDescent="0.3">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c r="S2570" t="str">
        <f>INDEX(Q:Q,MATCH(Table1[[#This Row],[Item Purchased]],D:D))</f>
        <v>Venmo</v>
      </c>
      <c r="T2570">
        <f>SUMIF(J:J,Table1[[#This Row],[Season]],F:F)</f>
        <v>58607</v>
      </c>
    </row>
    <row r="2571" spans="1:20" x14ac:dyDescent="0.3">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c r="S2571" t="str">
        <f>INDEX(Q:Q,MATCH(Table1[[#This Row],[Item Purchased]],D:D))</f>
        <v>Debit Card</v>
      </c>
      <c r="T2571">
        <f>SUMIF(J:J,Table1[[#This Row],[Season]],F:F)</f>
        <v>58679</v>
      </c>
    </row>
    <row r="2572" spans="1:20" x14ac:dyDescent="0.3">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c r="S2572" t="str">
        <f>INDEX(Q:Q,MATCH(Table1[[#This Row],[Item Purchased]],D:D))</f>
        <v>Venmo</v>
      </c>
      <c r="T2572">
        <f>SUMIF(J:J,Table1[[#This Row],[Season]],F:F)</f>
        <v>58679</v>
      </c>
    </row>
    <row r="2573" spans="1:20" x14ac:dyDescent="0.3">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c r="S2573" t="str">
        <f>INDEX(Q:Q,MATCH(Table1[[#This Row],[Item Purchased]],D:D))</f>
        <v>Venmo</v>
      </c>
      <c r="T2573">
        <f>SUMIF(J:J,Table1[[#This Row],[Season]],F:F)</f>
        <v>58607</v>
      </c>
    </row>
    <row r="2574" spans="1:20" x14ac:dyDescent="0.3">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c r="S2574" t="str">
        <f>INDEX(Q:Q,MATCH(Table1[[#This Row],[Item Purchased]],D:D))</f>
        <v>Venmo</v>
      </c>
      <c r="T2574">
        <f>SUMIF(J:J,Table1[[#This Row],[Season]],F:F)</f>
        <v>60018</v>
      </c>
    </row>
    <row r="2575" spans="1:20" x14ac:dyDescent="0.3">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c r="S2575" t="str">
        <f>INDEX(Q:Q,MATCH(Table1[[#This Row],[Item Purchased]],D:D))</f>
        <v>Venmo</v>
      </c>
      <c r="T2575">
        <f>SUMIF(J:J,Table1[[#This Row],[Season]],F:F)</f>
        <v>55777</v>
      </c>
    </row>
    <row r="2576" spans="1:20" x14ac:dyDescent="0.3">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c r="S2576" t="str">
        <f>INDEX(Q:Q,MATCH(Table1[[#This Row],[Item Purchased]],D:D))</f>
        <v>Venmo</v>
      </c>
      <c r="T2576">
        <f>SUMIF(J:J,Table1[[#This Row],[Season]],F:F)</f>
        <v>55777</v>
      </c>
    </row>
    <row r="2577" spans="1:20" x14ac:dyDescent="0.3">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c r="S2577" t="str">
        <f>INDEX(Q:Q,MATCH(Table1[[#This Row],[Item Purchased]],D:D))</f>
        <v>PayPal</v>
      </c>
      <c r="T2577">
        <f>SUMIF(J:J,Table1[[#This Row],[Season]],F:F)</f>
        <v>60018</v>
      </c>
    </row>
    <row r="2578" spans="1:20" x14ac:dyDescent="0.3">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c r="S2578" t="str">
        <f>INDEX(Q:Q,MATCH(Table1[[#This Row],[Item Purchased]],D:D))</f>
        <v>Venmo</v>
      </c>
      <c r="T2578">
        <f>SUMIF(J:J,Table1[[#This Row],[Season]],F:F)</f>
        <v>58607</v>
      </c>
    </row>
    <row r="2579" spans="1:20" x14ac:dyDescent="0.3">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c r="S2579" t="str">
        <f>INDEX(Q:Q,MATCH(Table1[[#This Row],[Item Purchased]],D:D))</f>
        <v>Venmo</v>
      </c>
      <c r="T2579">
        <f>SUMIF(J:J,Table1[[#This Row],[Season]],F:F)</f>
        <v>60018</v>
      </c>
    </row>
    <row r="2580" spans="1:20" x14ac:dyDescent="0.3">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c r="S2580" t="str">
        <f>INDEX(Q:Q,MATCH(Table1[[#This Row],[Item Purchased]],D:D))</f>
        <v>Venmo</v>
      </c>
      <c r="T2580">
        <f>SUMIF(J:J,Table1[[#This Row],[Season]],F:F)</f>
        <v>60018</v>
      </c>
    </row>
    <row r="2581" spans="1:20" x14ac:dyDescent="0.3">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c r="S2581" t="str">
        <f>INDEX(Q:Q,MATCH(Table1[[#This Row],[Item Purchased]],D:D))</f>
        <v>Venmo</v>
      </c>
      <c r="T2581">
        <f>SUMIF(J:J,Table1[[#This Row],[Season]],F:F)</f>
        <v>55777</v>
      </c>
    </row>
    <row r="2582" spans="1:20" x14ac:dyDescent="0.3">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c r="S2582" t="str">
        <f>INDEX(Q:Q,MATCH(Table1[[#This Row],[Item Purchased]],D:D))</f>
        <v>Cash</v>
      </c>
      <c r="T2582">
        <f>SUMIF(J:J,Table1[[#This Row],[Season]],F:F)</f>
        <v>55777</v>
      </c>
    </row>
    <row r="2583" spans="1:20" x14ac:dyDescent="0.3">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c r="S2583" t="str">
        <f>INDEX(Q:Q,MATCH(Table1[[#This Row],[Item Purchased]],D:D))</f>
        <v>Debit Card</v>
      </c>
      <c r="T2583">
        <f>SUMIF(J:J,Table1[[#This Row],[Season]],F:F)</f>
        <v>58607</v>
      </c>
    </row>
    <row r="2584" spans="1:20" x14ac:dyDescent="0.3">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c r="S2584" t="str">
        <f>INDEX(Q:Q,MATCH(Table1[[#This Row],[Item Purchased]],D:D))</f>
        <v>Debit Card</v>
      </c>
      <c r="T2584">
        <f>SUMIF(J:J,Table1[[#This Row],[Season]],F:F)</f>
        <v>60018</v>
      </c>
    </row>
    <row r="2585" spans="1:20" x14ac:dyDescent="0.3">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c r="S2585" t="str">
        <f>INDEX(Q:Q,MATCH(Table1[[#This Row],[Item Purchased]],D:D))</f>
        <v>Cash</v>
      </c>
      <c r="T2585">
        <f>SUMIF(J:J,Table1[[#This Row],[Season]],F:F)</f>
        <v>60018</v>
      </c>
    </row>
    <row r="2586" spans="1:20" x14ac:dyDescent="0.3">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c r="S2586" t="str">
        <f>INDEX(Q:Q,MATCH(Table1[[#This Row],[Item Purchased]],D:D))</f>
        <v>Venmo</v>
      </c>
      <c r="T2586">
        <f>SUMIF(J:J,Table1[[#This Row],[Season]],F:F)</f>
        <v>55777</v>
      </c>
    </row>
    <row r="2587" spans="1:20" x14ac:dyDescent="0.3">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c r="S2587" t="str">
        <f>INDEX(Q:Q,MATCH(Table1[[#This Row],[Item Purchased]],D:D))</f>
        <v>Venmo</v>
      </c>
      <c r="T2587">
        <f>SUMIF(J:J,Table1[[#This Row],[Season]],F:F)</f>
        <v>60018</v>
      </c>
    </row>
    <row r="2588" spans="1:20" x14ac:dyDescent="0.3">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c r="S2588" t="str">
        <f>INDEX(Q:Q,MATCH(Table1[[#This Row],[Item Purchased]],D:D))</f>
        <v>Debit Card</v>
      </c>
      <c r="T2588">
        <f>SUMIF(J:J,Table1[[#This Row],[Season]],F:F)</f>
        <v>58607</v>
      </c>
    </row>
    <row r="2589" spans="1:20" x14ac:dyDescent="0.3">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c r="S2589" t="str">
        <f>INDEX(Q:Q,MATCH(Table1[[#This Row],[Item Purchased]],D:D))</f>
        <v>Bank Transfer</v>
      </c>
      <c r="T2589">
        <f>SUMIF(J:J,Table1[[#This Row],[Season]],F:F)</f>
        <v>58607</v>
      </c>
    </row>
    <row r="2590" spans="1:20" x14ac:dyDescent="0.3">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c r="S2590" t="e">
        <f>INDEX(Q:Q,MATCH(Table1[[#This Row],[Item Purchased]],D:D))</f>
        <v>#N/A</v>
      </c>
      <c r="T2590">
        <f>SUMIF(J:J,Table1[[#This Row],[Season]],F:F)</f>
        <v>55777</v>
      </c>
    </row>
    <row r="2591" spans="1:20" x14ac:dyDescent="0.3">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c r="S2591" t="str">
        <f>INDEX(Q:Q,MATCH(Table1[[#This Row],[Item Purchased]],D:D))</f>
        <v>Cash</v>
      </c>
      <c r="T2591">
        <f>SUMIF(J:J,Table1[[#This Row],[Season]],F:F)</f>
        <v>58607</v>
      </c>
    </row>
    <row r="2592" spans="1:20" x14ac:dyDescent="0.3">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c r="S2592" t="str">
        <f>INDEX(Q:Q,MATCH(Table1[[#This Row],[Item Purchased]],D:D))</f>
        <v>Debit Card</v>
      </c>
      <c r="T2592">
        <f>SUMIF(J:J,Table1[[#This Row],[Season]],F:F)</f>
        <v>55777</v>
      </c>
    </row>
    <row r="2593" spans="1:20" x14ac:dyDescent="0.3">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c r="S2593" t="str">
        <f>INDEX(Q:Q,MATCH(Table1[[#This Row],[Item Purchased]],D:D))</f>
        <v>Debit Card</v>
      </c>
      <c r="T2593">
        <f>SUMIF(J:J,Table1[[#This Row],[Season]],F:F)</f>
        <v>58679</v>
      </c>
    </row>
    <row r="2594" spans="1:20" x14ac:dyDescent="0.3">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c r="S2594" t="str">
        <f>INDEX(Q:Q,MATCH(Table1[[#This Row],[Item Purchased]],D:D))</f>
        <v>PayPal</v>
      </c>
      <c r="T2594">
        <f>SUMIF(J:J,Table1[[#This Row],[Season]],F:F)</f>
        <v>55777</v>
      </c>
    </row>
    <row r="2595" spans="1:20" x14ac:dyDescent="0.3">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c r="S2595" t="str">
        <f>INDEX(Q:Q,MATCH(Table1[[#This Row],[Item Purchased]],D:D))</f>
        <v>Cash</v>
      </c>
      <c r="T2595">
        <f>SUMIF(J:J,Table1[[#This Row],[Season]],F:F)</f>
        <v>60018</v>
      </c>
    </row>
    <row r="2596" spans="1:20" x14ac:dyDescent="0.3">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c r="S2596" t="str">
        <f>INDEX(Q:Q,MATCH(Table1[[#This Row],[Item Purchased]],D:D))</f>
        <v>Credit Card</v>
      </c>
      <c r="T2596">
        <f>SUMIF(J:J,Table1[[#This Row],[Season]],F:F)</f>
        <v>60018</v>
      </c>
    </row>
    <row r="2597" spans="1:20" x14ac:dyDescent="0.3">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c r="S2597" t="str">
        <f>INDEX(Q:Q,MATCH(Table1[[#This Row],[Item Purchased]],D:D))</f>
        <v>Venmo</v>
      </c>
      <c r="T2597">
        <f>SUMIF(J:J,Table1[[#This Row],[Season]],F:F)</f>
        <v>55777</v>
      </c>
    </row>
    <row r="2598" spans="1:20" x14ac:dyDescent="0.3">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c r="S2598" t="str">
        <f>INDEX(Q:Q,MATCH(Table1[[#This Row],[Item Purchased]],D:D))</f>
        <v>Bank Transfer</v>
      </c>
      <c r="T2598">
        <f>SUMIF(J:J,Table1[[#This Row],[Season]],F:F)</f>
        <v>58679</v>
      </c>
    </row>
    <row r="2599" spans="1:20" x14ac:dyDescent="0.3">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c r="S2599" t="str">
        <f>INDEX(Q:Q,MATCH(Table1[[#This Row],[Item Purchased]],D:D))</f>
        <v>Cash</v>
      </c>
      <c r="T2599">
        <f>SUMIF(J:J,Table1[[#This Row],[Season]],F:F)</f>
        <v>55777</v>
      </c>
    </row>
    <row r="2600" spans="1:20" x14ac:dyDescent="0.3">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c r="S2600" t="e">
        <f>INDEX(Q:Q,MATCH(Table1[[#This Row],[Item Purchased]],D:D))</f>
        <v>#N/A</v>
      </c>
      <c r="T2600">
        <f>SUMIF(J:J,Table1[[#This Row],[Season]],F:F)</f>
        <v>60018</v>
      </c>
    </row>
    <row r="2601" spans="1:20" x14ac:dyDescent="0.3">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c r="S2601" t="str">
        <f>INDEX(Q:Q,MATCH(Table1[[#This Row],[Item Purchased]],D:D))</f>
        <v>Cash</v>
      </c>
      <c r="T2601">
        <f>SUMIF(J:J,Table1[[#This Row],[Season]],F:F)</f>
        <v>58607</v>
      </c>
    </row>
    <row r="2602" spans="1:20" x14ac:dyDescent="0.3">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c r="S2602" t="e">
        <f>INDEX(Q:Q,MATCH(Table1[[#This Row],[Item Purchased]],D:D))</f>
        <v>#N/A</v>
      </c>
      <c r="T2602">
        <f>SUMIF(J:J,Table1[[#This Row],[Season]],F:F)</f>
        <v>60018</v>
      </c>
    </row>
    <row r="2603" spans="1:20" x14ac:dyDescent="0.3">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c r="S2603" t="str">
        <f>INDEX(Q:Q,MATCH(Table1[[#This Row],[Item Purchased]],D:D))</f>
        <v>Debit Card</v>
      </c>
      <c r="T2603">
        <f>SUMIF(J:J,Table1[[#This Row],[Season]],F:F)</f>
        <v>58607</v>
      </c>
    </row>
    <row r="2604" spans="1:20" x14ac:dyDescent="0.3">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c r="S2604" t="str">
        <f>INDEX(Q:Q,MATCH(Table1[[#This Row],[Item Purchased]],D:D))</f>
        <v>Debit Card</v>
      </c>
      <c r="T2604">
        <f>SUMIF(J:J,Table1[[#This Row],[Season]],F:F)</f>
        <v>60018</v>
      </c>
    </row>
    <row r="2605" spans="1:20" x14ac:dyDescent="0.3">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c r="S2605" t="str">
        <f>INDEX(Q:Q,MATCH(Table1[[#This Row],[Item Purchased]],D:D))</f>
        <v>Debit Card</v>
      </c>
      <c r="T2605">
        <f>SUMIF(J:J,Table1[[#This Row],[Season]],F:F)</f>
        <v>58679</v>
      </c>
    </row>
    <row r="2606" spans="1:20" x14ac:dyDescent="0.3">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c r="S2606" t="str">
        <f>INDEX(Q:Q,MATCH(Table1[[#This Row],[Item Purchased]],D:D))</f>
        <v>Venmo</v>
      </c>
      <c r="T2606">
        <f>SUMIF(J:J,Table1[[#This Row],[Season]],F:F)</f>
        <v>58679</v>
      </c>
    </row>
    <row r="2607" spans="1:20" x14ac:dyDescent="0.3">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c r="S2607" t="str">
        <f>INDEX(Q:Q,MATCH(Table1[[#This Row],[Item Purchased]],D:D))</f>
        <v>Venmo</v>
      </c>
      <c r="T2607">
        <f>SUMIF(J:J,Table1[[#This Row],[Season]],F:F)</f>
        <v>58679</v>
      </c>
    </row>
    <row r="2608" spans="1:20" x14ac:dyDescent="0.3">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c r="S2608" t="str">
        <f>INDEX(Q:Q,MATCH(Table1[[#This Row],[Item Purchased]],D:D))</f>
        <v>PayPal</v>
      </c>
      <c r="T2608">
        <f>SUMIF(J:J,Table1[[#This Row],[Season]],F:F)</f>
        <v>58679</v>
      </c>
    </row>
    <row r="2609" spans="1:20" x14ac:dyDescent="0.3">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c r="S2609" t="str">
        <f>INDEX(Q:Q,MATCH(Table1[[#This Row],[Item Purchased]],D:D))</f>
        <v>PayPal</v>
      </c>
      <c r="T2609">
        <f>SUMIF(J:J,Table1[[#This Row],[Season]],F:F)</f>
        <v>58679</v>
      </c>
    </row>
    <row r="2610" spans="1:20" x14ac:dyDescent="0.3">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c r="S2610" t="str">
        <f>INDEX(Q:Q,MATCH(Table1[[#This Row],[Item Purchased]],D:D))</f>
        <v>Debit Card</v>
      </c>
      <c r="T2610">
        <f>SUMIF(J:J,Table1[[#This Row],[Season]],F:F)</f>
        <v>60018</v>
      </c>
    </row>
    <row r="2611" spans="1:20" x14ac:dyDescent="0.3">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c r="S2611" t="e">
        <f>INDEX(Q:Q,MATCH(Table1[[#This Row],[Item Purchased]],D:D))</f>
        <v>#N/A</v>
      </c>
      <c r="T2611">
        <f>SUMIF(J:J,Table1[[#This Row],[Season]],F:F)</f>
        <v>55777</v>
      </c>
    </row>
    <row r="2612" spans="1:20" x14ac:dyDescent="0.3">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c r="S2612" t="str">
        <f>INDEX(Q:Q,MATCH(Table1[[#This Row],[Item Purchased]],D:D))</f>
        <v>Cash</v>
      </c>
      <c r="T2612">
        <f>SUMIF(J:J,Table1[[#This Row],[Season]],F:F)</f>
        <v>58679</v>
      </c>
    </row>
    <row r="2613" spans="1:20" x14ac:dyDescent="0.3">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c r="S2613" t="str">
        <f>INDEX(Q:Q,MATCH(Table1[[#This Row],[Item Purchased]],D:D))</f>
        <v>Debit Card</v>
      </c>
      <c r="T2613">
        <f>SUMIF(J:J,Table1[[#This Row],[Season]],F:F)</f>
        <v>60018</v>
      </c>
    </row>
    <row r="2614" spans="1:20" x14ac:dyDescent="0.3">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c r="S2614" t="str">
        <f>INDEX(Q:Q,MATCH(Table1[[#This Row],[Item Purchased]],D:D))</f>
        <v>Venmo</v>
      </c>
      <c r="T2614">
        <f>SUMIF(J:J,Table1[[#This Row],[Season]],F:F)</f>
        <v>58607</v>
      </c>
    </row>
    <row r="2615" spans="1:20" x14ac:dyDescent="0.3">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c r="S2615" t="str">
        <f>INDEX(Q:Q,MATCH(Table1[[#This Row],[Item Purchased]],D:D))</f>
        <v>Debit Card</v>
      </c>
      <c r="T2615">
        <f>SUMIF(J:J,Table1[[#This Row],[Season]],F:F)</f>
        <v>60018</v>
      </c>
    </row>
    <row r="2616" spans="1:20" x14ac:dyDescent="0.3">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c r="S2616" t="str">
        <f>INDEX(Q:Q,MATCH(Table1[[#This Row],[Item Purchased]],D:D))</f>
        <v>Debit Card</v>
      </c>
      <c r="T2616">
        <f>SUMIF(J:J,Table1[[#This Row],[Season]],F:F)</f>
        <v>58679</v>
      </c>
    </row>
    <row r="2617" spans="1:20" x14ac:dyDescent="0.3">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c r="S2617" t="str">
        <f>INDEX(Q:Q,MATCH(Table1[[#This Row],[Item Purchased]],D:D))</f>
        <v>Venmo</v>
      </c>
      <c r="T2617">
        <f>SUMIF(J:J,Table1[[#This Row],[Season]],F:F)</f>
        <v>60018</v>
      </c>
    </row>
    <row r="2618" spans="1:20" x14ac:dyDescent="0.3">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c r="S2618" t="str">
        <f>INDEX(Q:Q,MATCH(Table1[[#This Row],[Item Purchased]],D:D))</f>
        <v>Bank Transfer</v>
      </c>
      <c r="T2618">
        <f>SUMIF(J:J,Table1[[#This Row],[Season]],F:F)</f>
        <v>58679</v>
      </c>
    </row>
    <row r="2619" spans="1:20" x14ac:dyDescent="0.3">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c r="S2619" t="str">
        <f>INDEX(Q:Q,MATCH(Table1[[#This Row],[Item Purchased]],D:D))</f>
        <v>PayPal</v>
      </c>
      <c r="T2619">
        <f>SUMIF(J:J,Table1[[#This Row],[Season]],F:F)</f>
        <v>58679</v>
      </c>
    </row>
    <row r="2620" spans="1:20" x14ac:dyDescent="0.3">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c r="S2620" t="str">
        <f>INDEX(Q:Q,MATCH(Table1[[#This Row],[Item Purchased]],D:D))</f>
        <v>Cash</v>
      </c>
      <c r="T2620">
        <f>SUMIF(J:J,Table1[[#This Row],[Season]],F:F)</f>
        <v>60018</v>
      </c>
    </row>
    <row r="2621" spans="1:20" x14ac:dyDescent="0.3">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c r="S2621" t="str">
        <f>INDEX(Q:Q,MATCH(Table1[[#This Row],[Item Purchased]],D:D))</f>
        <v>Cash</v>
      </c>
      <c r="T2621">
        <f>SUMIF(J:J,Table1[[#This Row],[Season]],F:F)</f>
        <v>58607</v>
      </c>
    </row>
    <row r="2622" spans="1:20" x14ac:dyDescent="0.3">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c r="S2622" t="str">
        <f>INDEX(Q:Q,MATCH(Table1[[#This Row],[Item Purchased]],D:D))</f>
        <v>Venmo</v>
      </c>
      <c r="T2622">
        <f>SUMIF(J:J,Table1[[#This Row],[Season]],F:F)</f>
        <v>58607</v>
      </c>
    </row>
    <row r="2623" spans="1:20" x14ac:dyDescent="0.3">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c r="S2623" t="str">
        <f>INDEX(Q:Q,MATCH(Table1[[#This Row],[Item Purchased]],D:D))</f>
        <v>PayPal</v>
      </c>
      <c r="T2623">
        <f>SUMIF(J:J,Table1[[#This Row],[Season]],F:F)</f>
        <v>58607</v>
      </c>
    </row>
    <row r="2624" spans="1:20" x14ac:dyDescent="0.3">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c r="S2624" t="e">
        <f>INDEX(Q:Q,MATCH(Table1[[#This Row],[Item Purchased]],D:D))</f>
        <v>#N/A</v>
      </c>
      <c r="T2624">
        <f>SUMIF(J:J,Table1[[#This Row],[Season]],F:F)</f>
        <v>58679</v>
      </c>
    </row>
    <row r="2625" spans="1:20" x14ac:dyDescent="0.3">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c r="S2625" t="str">
        <f>INDEX(Q:Q,MATCH(Table1[[#This Row],[Item Purchased]],D:D))</f>
        <v>PayPal</v>
      </c>
      <c r="T2625">
        <f>SUMIF(J:J,Table1[[#This Row],[Season]],F:F)</f>
        <v>60018</v>
      </c>
    </row>
    <row r="2626" spans="1:20" x14ac:dyDescent="0.3">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c r="S2626" t="str">
        <f>INDEX(Q:Q,MATCH(Table1[[#This Row],[Item Purchased]],D:D))</f>
        <v>Debit Card</v>
      </c>
      <c r="T2626">
        <f>SUMIF(J:J,Table1[[#This Row],[Season]],F:F)</f>
        <v>55777</v>
      </c>
    </row>
    <row r="2627" spans="1:20" x14ac:dyDescent="0.3">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c r="S2627" t="str">
        <f>INDEX(Q:Q,MATCH(Table1[[#This Row],[Item Purchased]],D:D))</f>
        <v>Credit Card</v>
      </c>
      <c r="T2627">
        <f>SUMIF(J:J,Table1[[#This Row],[Season]],F:F)</f>
        <v>55777</v>
      </c>
    </row>
    <row r="2628" spans="1:20" x14ac:dyDescent="0.3">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c r="S2628" t="str">
        <f>INDEX(Q:Q,MATCH(Table1[[#This Row],[Item Purchased]],D:D))</f>
        <v>Debit Card</v>
      </c>
      <c r="T2628">
        <f>SUMIF(J:J,Table1[[#This Row],[Season]],F:F)</f>
        <v>60018</v>
      </c>
    </row>
    <row r="2629" spans="1:20" x14ac:dyDescent="0.3">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c r="S2629" t="str">
        <f>INDEX(Q:Q,MATCH(Table1[[#This Row],[Item Purchased]],D:D))</f>
        <v>Bank Transfer</v>
      </c>
      <c r="T2629">
        <f>SUMIF(J:J,Table1[[#This Row],[Season]],F:F)</f>
        <v>60018</v>
      </c>
    </row>
    <row r="2630" spans="1:20" x14ac:dyDescent="0.3">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c r="S2630" t="str">
        <f>INDEX(Q:Q,MATCH(Table1[[#This Row],[Item Purchased]],D:D))</f>
        <v>Venmo</v>
      </c>
      <c r="T2630">
        <f>SUMIF(J:J,Table1[[#This Row],[Season]],F:F)</f>
        <v>55777</v>
      </c>
    </row>
    <row r="2631" spans="1:20" x14ac:dyDescent="0.3">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c r="S2631" t="str">
        <f>INDEX(Q:Q,MATCH(Table1[[#This Row],[Item Purchased]],D:D))</f>
        <v>Bank Transfer</v>
      </c>
      <c r="T2631">
        <f>SUMIF(J:J,Table1[[#This Row],[Season]],F:F)</f>
        <v>58607</v>
      </c>
    </row>
    <row r="2632" spans="1:20" x14ac:dyDescent="0.3">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c r="S2632" t="str">
        <f>INDEX(Q:Q,MATCH(Table1[[#This Row],[Item Purchased]],D:D))</f>
        <v>Credit Card</v>
      </c>
      <c r="T2632">
        <f>SUMIF(J:J,Table1[[#This Row],[Season]],F:F)</f>
        <v>58679</v>
      </c>
    </row>
    <row r="2633" spans="1:20" x14ac:dyDescent="0.3">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c r="S2633" t="str">
        <f>INDEX(Q:Q,MATCH(Table1[[#This Row],[Item Purchased]],D:D))</f>
        <v>Credit Card</v>
      </c>
      <c r="T2633">
        <f>SUMIF(J:J,Table1[[#This Row],[Season]],F:F)</f>
        <v>55777</v>
      </c>
    </row>
    <row r="2634" spans="1:20" x14ac:dyDescent="0.3">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c r="S2634" t="str">
        <f>INDEX(Q:Q,MATCH(Table1[[#This Row],[Item Purchased]],D:D))</f>
        <v>Bank Transfer</v>
      </c>
      <c r="T2634">
        <f>SUMIF(J:J,Table1[[#This Row],[Season]],F:F)</f>
        <v>60018</v>
      </c>
    </row>
    <row r="2635" spans="1:20" x14ac:dyDescent="0.3">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c r="S2635" t="str">
        <f>INDEX(Q:Q,MATCH(Table1[[#This Row],[Item Purchased]],D:D))</f>
        <v>Venmo</v>
      </c>
      <c r="T2635">
        <f>SUMIF(J:J,Table1[[#This Row],[Season]],F:F)</f>
        <v>60018</v>
      </c>
    </row>
    <row r="2636" spans="1:20" x14ac:dyDescent="0.3">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c r="S2636" t="str">
        <f>INDEX(Q:Q,MATCH(Table1[[#This Row],[Item Purchased]],D:D))</f>
        <v>Bank Transfer</v>
      </c>
      <c r="T2636">
        <f>SUMIF(J:J,Table1[[#This Row],[Season]],F:F)</f>
        <v>55777</v>
      </c>
    </row>
    <row r="2637" spans="1:20" x14ac:dyDescent="0.3">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c r="S2637" t="str">
        <f>INDEX(Q:Q,MATCH(Table1[[#This Row],[Item Purchased]],D:D))</f>
        <v>Venmo</v>
      </c>
      <c r="T2637">
        <f>SUMIF(J:J,Table1[[#This Row],[Season]],F:F)</f>
        <v>58679</v>
      </c>
    </row>
    <row r="2638" spans="1:20" x14ac:dyDescent="0.3">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c r="S2638" t="str">
        <f>INDEX(Q:Q,MATCH(Table1[[#This Row],[Item Purchased]],D:D))</f>
        <v>Debit Card</v>
      </c>
      <c r="T2638">
        <f>SUMIF(J:J,Table1[[#This Row],[Season]],F:F)</f>
        <v>58607</v>
      </c>
    </row>
    <row r="2639" spans="1:20" x14ac:dyDescent="0.3">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c r="S2639" t="str">
        <f>INDEX(Q:Q,MATCH(Table1[[#This Row],[Item Purchased]],D:D))</f>
        <v>Cash</v>
      </c>
      <c r="T2639">
        <f>SUMIF(J:J,Table1[[#This Row],[Season]],F:F)</f>
        <v>58679</v>
      </c>
    </row>
    <row r="2640" spans="1:20" x14ac:dyDescent="0.3">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c r="S2640" t="str">
        <f>INDEX(Q:Q,MATCH(Table1[[#This Row],[Item Purchased]],D:D))</f>
        <v>Bank Transfer</v>
      </c>
      <c r="T2640">
        <f>SUMIF(J:J,Table1[[#This Row],[Season]],F:F)</f>
        <v>58679</v>
      </c>
    </row>
    <row r="2641" spans="1:20" x14ac:dyDescent="0.3">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c r="S2641" t="str">
        <f>INDEX(Q:Q,MATCH(Table1[[#This Row],[Item Purchased]],D:D))</f>
        <v>Venmo</v>
      </c>
      <c r="T2641">
        <f>SUMIF(J:J,Table1[[#This Row],[Season]],F:F)</f>
        <v>58607</v>
      </c>
    </row>
    <row r="2642" spans="1:20" x14ac:dyDescent="0.3">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c r="S2642" t="str">
        <f>INDEX(Q:Q,MATCH(Table1[[#This Row],[Item Purchased]],D:D))</f>
        <v>Credit Card</v>
      </c>
      <c r="T2642">
        <f>SUMIF(J:J,Table1[[#This Row],[Season]],F:F)</f>
        <v>55777</v>
      </c>
    </row>
    <row r="2643" spans="1:20" x14ac:dyDescent="0.3">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c r="S2643" t="str">
        <f>INDEX(Q:Q,MATCH(Table1[[#This Row],[Item Purchased]],D:D))</f>
        <v>Venmo</v>
      </c>
      <c r="T2643">
        <f>SUMIF(J:J,Table1[[#This Row],[Season]],F:F)</f>
        <v>58607</v>
      </c>
    </row>
    <row r="2644" spans="1:20" x14ac:dyDescent="0.3">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c r="S2644" t="e">
        <f>INDEX(Q:Q,MATCH(Table1[[#This Row],[Item Purchased]],D:D))</f>
        <v>#N/A</v>
      </c>
      <c r="T2644">
        <f>SUMIF(J:J,Table1[[#This Row],[Season]],F:F)</f>
        <v>55777</v>
      </c>
    </row>
    <row r="2645" spans="1:20" x14ac:dyDescent="0.3">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c r="S2645" t="str">
        <f>INDEX(Q:Q,MATCH(Table1[[#This Row],[Item Purchased]],D:D))</f>
        <v>Debit Card</v>
      </c>
      <c r="T2645">
        <f>SUMIF(J:J,Table1[[#This Row],[Season]],F:F)</f>
        <v>58679</v>
      </c>
    </row>
    <row r="2646" spans="1:20" x14ac:dyDescent="0.3">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c r="S2646" t="str">
        <f>INDEX(Q:Q,MATCH(Table1[[#This Row],[Item Purchased]],D:D))</f>
        <v>Cash</v>
      </c>
      <c r="T2646">
        <f>SUMIF(J:J,Table1[[#This Row],[Season]],F:F)</f>
        <v>58679</v>
      </c>
    </row>
    <row r="2647" spans="1:20" x14ac:dyDescent="0.3">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c r="S2647" t="str">
        <f>INDEX(Q:Q,MATCH(Table1[[#This Row],[Item Purchased]],D:D))</f>
        <v>Bank Transfer</v>
      </c>
      <c r="T2647">
        <f>SUMIF(J:J,Table1[[#This Row],[Season]],F:F)</f>
        <v>58679</v>
      </c>
    </row>
    <row r="2648" spans="1:20" x14ac:dyDescent="0.3">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c r="S2648" t="str">
        <f>INDEX(Q:Q,MATCH(Table1[[#This Row],[Item Purchased]],D:D))</f>
        <v>Venmo</v>
      </c>
      <c r="T2648">
        <f>SUMIF(J:J,Table1[[#This Row],[Season]],F:F)</f>
        <v>55777</v>
      </c>
    </row>
    <row r="2649" spans="1:20" x14ac:dyDescent="0.3">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c r="S2649" t="str">
        <f>INDEX(Q:Q,MATCH(Table1[[#This Row],[Item Purchased]],D:D))</f>
        <v>PayPal</v>
      </c>
      <c r="T2649">
        <f>SUMIF(J:J,Table1[[#This Row],[Season]],F:F)</f>
        <v>55777</v>
      </c>
    </row>
    <row r="2650" spans="1:20" x14ac:dyDescent="0.3">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c r="S2650" t="str">
        <f>INDEX(Q:Q,MATCH(Table1[[#This Row],[Item Purchased]],D:D))</f>
        <v>Cash</v>
      </c>
      <c r="T2650">
        <f>SUMIF(J:J,Table1[[#This Row],[Season]],F:F)</f>
        <v>58679</v>
      </c>
    </row>
    <row r="2651" spans="1:20" x14ac:dyDescent="0.3">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c r="S2651" t="str">
        <f>INDEX(Q:Q,MATCH(Table1[[#This Row],[Item Purchased]],D:D))</f>
        <v>Debit Card</v>
      </c>
      <c r="T2651">
        <f>SUMIF(J:J,Table1[[#This Row],[Season]],F:F)</f>
        <v>60018</v>
      </c>
    </row>
    <row r="2652" spans="1:20" x14ac:dyDescent="0.3">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c r="S2652" t="str">
        <f>INDEX(Q:Q,MATCH(Table1[[#This Row],[Item Purchased]],D:D))</f>
        <v>Venmo</v>
      </c>
      <c r="T2652">
        <f>SUMIF(J:J,Table1[[#This Row],[Season]],F:F)</f>
        <v>55777</v>
      </c>
    </row>
    <row r="2653" spans="1:20" x14ac:dyDescent="0.3">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c r="S2653" t="str">
        <f>INDEX(Q:Q,MATCH(Table1[[#This Row],[Item Purchased]],D:D))</f>
        <v>Venmo</v>
      </c>
      <c r="T2653">
        <f>SUMIF(J:J,Table1[[#This Row],[Season]],F:F)</f>
        <v>55777</v>
      </c>
    </row>
    <row r="2654" spans="1:20" x14ac:dyDescent="0.3">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c r="S2654" t="str">
        <f>INDEX(Q:Q,MATCH(Table1[[#This Row],[Item Purchased]],D:D))</f>
        <v>PayPal</v>
      </c>
      <c r="T2654">
        <f>SUMIF(J:J,Table1[[#This Row],[Season]],F:F)</f>
        <v>55777</v>
      </c>
    </row>
    <row r="2655" spans="1:20" x14ac:dyDescent="0.3">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c r="S2655" t="str">
        <f>INDEX(Q:Q,MATCH(Table1[[#This Row],[Item Purchased]],D:D))</f>
        <v>Venmo</v>
      </c>
      <c r="T2655">
        <f>SUMIF(J:J,Table1[[#This Row],[Season]],F:F)</f>
        <v>60018</v>
      </c>
    </row>
    <row r="2656" spans="1:20" x14ac:dyDescent="0.3">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c r="S2656" t="str">
        <f>INDEX(Q:Q,MATCH(Table1[[#This Row],[Item Purchased]],D:D))</f>
        <v>Debit Card</v>
      </c>
      <c r="T2656">
        <f>SUMIF(J:J,Table1[[#This Row],[Season]],F:F)</f>
        <v>60018</v>
      </c>
    </row>
    <row r="2657" spans="1:20" x14ac:dyDescent="0.3">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c r="S2657" t="str">
        <f>INDEX(Q:Q,MATCH(Table1[[#This Row],[Item Purchased]],D:D))</f>
        <v>Venmo</v>
      </c>
      <c r="T2657">
        <f>SUMIF(J:J,Table1[[#This Row],[Season]],F:F)</f>
        <v>55777</v>
      </c>
    </row>
    <row r="2658" spans="1:20" x14ac:dyDescent="0.3">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c r="S2658" t="str">
        <f>INDEX(Q:Q,MATCH(Table1[[#This Row],[Item Purchased]],D:D))</f>
        <v>PayPal</v>
      </c>
      <c r="T2658">
        <f>SUMIF(J:J,Table1[[#This Row],[Season]],F:F)</f>
        <v>58607</v>
      </c>
    </row>
    <row r="2659" spans="1:20" x14ac:dyDescent="0.3">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c r="S2659" t="str">
        <f>INDEX(Q:Q,MATCH(Table1[[#This Row],[Item Purchased]],D:D))</f>
        <v>Debit Card</v>
      </c>
      <c r="T2659">
        <f>SUMIF(J:J,Table1[[#This Row],[Season]],F:F)</f>
        <v>55777</v>
      </c>
    </row>
    <row r="2660" spans="1:20" x14ac:dyDescent="0.3">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c r="S2660" t="str">
        <f>INDEX(Q:Q,MATCH(Table1[[#This Row],[Item Purchased]],D:D))</f>
        <v>Cash</v>
      </c>
      <c r="T2660">
        <f>SUMIF(J:J,Table1[[#This Row],[Season]],F:F)</f>
        <v>55777</v>
      </c>
    </row>
    <row r="2661" spans="1:20" x14ac:dyDescent="0.3">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c r="S2661" t="str">
        <f>INDEX(Q:Q,MATCH(Table1[[#This Row],[Item Purchased]],D:D))</f>
        <v>Venmo</v>
      </c>
      <c r="T2661">
        <f>SUMIF(J:J,Table1[[#This Row],[Season]],F:F)</f>
        <v>55777</v>
      </c>
    </row>
    <row r="2662" spans="1:20" x14ac:dyDescent="0.3">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c r="S2662" t="str">
        <f>INDEX(Q:Q,MATCH(Table1[[#This Row],[Item Purchased]],D:D))</f>
        <v>Cash</v>
      </c>
      <c r="T2662">
        <f>SUMIF(J:J,Table1[[#This Row],[Season]],F:F)</f>
        <v>58679</v>
      </c>
    </row>
    <row r="2663" spans="1:20" x14ac:dyDescent="0.3">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c r="S2663" t="str">
        <f>INDEX(Q:Q,MATCH(Table1[[#This Row],[Item Purchased]],D:D))</f>
        <v>Venmo</v>
      </c>
      <c r="T2663">
        <f>SUMIF(J:J,Table1[[#This Row],[Season]],F:F)</f>
        <v>60018</v>
      </c>
    </row>
    <row r="2664" spans="1:20" x14ac:dyDescent="0.3">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c r="S2664" t="str">
        <f>INDEX(Q:Q,MATCH(Table1[[#This Row],[Item Purchased]],D:D))</f>
        <v>Credit Card</v>
      </c>
      <c r="T2664">
        <f>SUMIF(J:J,Table1[[#This Row],[Season]],F:F)</f>
        <v>55777</v>
      </c>
    </row>
    <row r="2665" spans="1:20" x14ac:dyDescent="0.3">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c r="S2665" t="str">
        <f>INDEX(Q:Q,MATCH(Table1[[#This Row],[Item Purchased]],D:D))</f>
        <v>Venmo</v>
      </c>
      <c r="T2665">
        <f>SUMIF(J:J,Table1[[#This Row],[Season]],F:F)</f>
        <v>60018</v>
      </c>
    </row>
    <row r="2666" spans="1:20" x14ac:dyDescent="0.3">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c r="S2666" t="str">
        <f>INDEX(Q:Q,MATCH(Table1[[#This Row],[Item Purchased]],D:D))</f>
        <v>Cash</v>
      </c>
      <c r="T2666">
        <f>SUMIF(J:J,Table1[[#This Row],[Season]],F:F)</f>
        <v>58607</v>
      </c>
    </row>
    <row r="2667" spans="1:20" x14ac:dyDescent="0.3">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c r="S2667" t="str">
        <f>INDEX(Q:Q,MATCH(Table1[[#This Row],[Item Purchased]],D:D))</f>
        <v>Venmo</v>
      </c>
      <c r="T2667">
        <f>SUMIF(J:J,Table1[[#This Row],[Season]],F:F)</f>
        <v>58607</v>
      </c>
    </row>
    <row r="2668" spans="1:20" x14ac:dyDescent="0.3">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c r="S2668" t="str">
        <f>INDEX(Q:Q,MATCH(Table1[[#This Row],[Item Purchased]],D:D))</f>
        <v>Bank Transfer</v>
      </c>
      <c r="T2668">
        <f>SUMIF(J:J,Table1[[#This Row],[Season]],F:F)</f>
        <v>58607</v>
      </c>
    </row>
    <row r="2669" spans="1:20" x14ac:dyDescent="0.3">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c r="S2669" t="str">
        <f>INDEX(Q:Q,MATCH(Table1[[#This Row],[Item Purchased]],D:D))</f>
        <v>Venmo</v>
      </c>
      <c r="T2669">
        <f>SUMIF(J:J,Table1[[#This Row],[Season]],F:F)</f>
        <v>55777</v>
      </c>
    </row>
    <row r="2670" spans="1:20" x14ac:dyDescent="0.3">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c r="S2670" t="str">
        <f>INDEX(Q:Q,MATCH(Table1[[#This Row],[Item Purchased]],D:D))</f>
        <v>Debit Card</v>
      </c>
      <c r="T2670">
        <f>SUMIF(J:J,Table1[[#This Row],[Season]],F:F)</f>
        <v>55777</v>
      </c>
    </row>
    <row r="2671" spans="1:20" x14ac:dyDescent="0.3">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c r="S2671" t="e">
        <f>INDEX(Q:Q,MATCH(Table1[[#This Row],[Item Purchased]],D:D))</f>
        <v>#N/A</v>
      </c>
      <c r="T2671">
        <f>SUMIF(J:J,Table1[[#This Row],[Season]],F:F)</f>
        <v>58679</v>
      </c>
    </row>
    <row r="2672" spans="1:20" x14ac:dyDescent="0.3">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c r="S2672" t="str">
        <f>INDEX(Q:Q,MATCH(Table1[[#This Row],[Item Purchased]],D:D))</f>
        <v>Venmo</v>
      </c>
      <c r="T2672">
        <f>SUMIF(J:J,Table1[[#This Row],[Season]],F:F)</f>
        <v>60018</v>
      </c>
    </row>
    <row r="2673" spans="1:20" x14ac:dyDescent="0.3">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c r="S2673" t="str">
        <f>INDEX(Q:Q,MATCH(Table1[[#This Row],[Item Purchased]],D:D))</f>
        <v>Bank Transfer</v>
      </c>
      <c r="T2673">
        <f>SUMIF(J:J,Table1[[#This Row],[Season]],F:F)</f>
        <v>58607</v>
      </c>
    </row>
    <row r="2674" spans="1:20" x14ac:dyDescent="0.3">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c r="S2674" t="str">
        <f>INDEX(Q:Q,MATCH(Table1[[#This Row],[Item Purchased]],D:D))</f>
        <v>Venmo</v>
      </c>
      <c r="T2674">
        <f>SUMIF(J:J,Table1[[#This Row],[Season]],F:F)</f>
        <v>58679</v>
      </c>
    </row>
    <row r="2675" spans="1:20" x14ac:dyDescent="0.3">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c r="S2675" t="str">
        <f>INDEX(Q:Q,MATCH(Table1[[#This Row],[Item Purchased]],D:D))</f>
        <v>Venmo</v>
      </c>
      <c r="T2675">
        <f>SUMIF(J:J,Table1[[#This Row],[Season]],F:F)</f>
        <v>55777</v>
      </c>
    </row>
    <row r="2676" spans="1:20" x14ac:dyDescent="0.3">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c r="S2676" t="str">
        <f>INDEX(Q:Q,MATCH(Table1[[#This Row],[Item Purchased]],D:D))</f>
        <v>Venmo</v>
      </c>
      <c r="T2676">
        <f>SUMIF(J:J,Table1[[#This Row],[Season]],F:F)</f>
        <v>60018</v>
      </c>
    </row>
    <row r="2677" spans="1:20" x14ac:dyDescent="0.3">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c r="S2677" t="str">
        <f>INDEX(Q:Q,MATCH(Table1[[#This Row],[Item Purchased]],D:D))</f>
        <v>PayPal</v>
      </c>
      <c r="T2677">
        <f>SUMIF(J:J,Table1[[#This Row],[Season]],F:F)</f>
        <v>58607</v>
      </c>
    </row>
    <row r="2678" spans="1:20" x14ac:dyDescent="0.3">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c r="S2678" t="e">
        <f>INDEX(Q:Q,MATCH(Table1[[#This Row],[Item Purchased]],D:D))</f>
        <v>#N/A</v>
      </c>
      <c r="T2678">
        <f>SUMIF(J:J,Table1[[#This Row],[Season]],F:F)</f>
        <v>58679</v>
      </c>
    </row>
    <row r="2679" spans="1:20" x14ac:dyDescent="0.3">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c r="S2679" t="str">
        <f>INDEX(Q:Q,MATCH(Table1[[#This Row],[Item Purchased]],D:D))</f>
        <v>PayPal</v>
      </c>
      <c r="T2679">
        <f>SUMIF(J:J,Table1[[#This Row],[Season]],F:F)</f>
        <v>58679</v>
      </c>
    </row>
    <row r="2680" spans="1:20" x14ac:dyDescent="0.3">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c r="S2680" t="e">
        <f>INDEX(Q:Q,MATCH(Table1[[#This Row],[Item Purchased]],D:D))</f>
        <v>#N/A</v>
      </c>
      <c r="T2680">
        <f>SUMIF(J:J,Table1[[#This Row],[Season]],F:F)</f>
        <v>58679</v>
      </c>
    </row>
    <row r="2681" spans="1:20" x14ac:dyDescent="0.3">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c r="S2681" t="str">
        <f>INDEX(Q:Q,MATCH(Table1[[#This Row],[Item Purchased]],D:D))</f>
        <v>PayPal</v>
      </c>
      <c r="T2681">
        <f>SUMIF(J:J,Table1[[#This Row],[Season]],F:F)</f>
        <v>58679</v>
      </c>
    </row>
    <row r="2682" spans="1:20" x14ac:dyDescent="0.3">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c r="S2682" t="str">
        <f>INDEX(Q:Q,MATCH(Table1[[#This Row],[Item Purchased]],D:D))</f>
        <v>Venmo</v>
      </c>
      <c r="T2682">
        <f>SUMIF(J:J,Table1[[#This Row],[Season]],F:F)</f>
        <v>60018</v>
      </c>
    </row>
    <row r="2683" spans="1:20" x14ac:dyDescent="0.3">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c r="S2683" t="str">
        <f>INDEX(Q:Q,MATCH(Table1[[#This Row],[Item Purchased]],D:D))</f>
        <v>PayPal</v>
      </c>
      <c r="T2683">
        <f>SUMIF(J:J,Table1[[#This Row],[Season]],F:F)</f>
        <v>55777</v>
      </c>
    </row>
    <row r="2684" spans="1:20" x14ac:dyDescent="0.3">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c r="S2684" t="str">
        <f>INDEX(Q:Q,MATCH(Table1[[#This Row],[Item Purchased]],D:D))</f>
        <v>Venmo</v>
      </c>
      <c r="T2684">
        <f>SUMIF(J:J,Table1[[#This Row],[Season]],F:F)</f>
        <v>58607</v>
      </c>
    </row>
    <row r="2685" spans="1:20" x14ac:dyDescent="0.3">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c r="S2685" t="e">
        <f>INDEX(Q:Q,MATCH(Table1[[#This Row],[Item Purchased]],D:D))</f>
        <v>#N/A</v>
      </c>
      <c r="T2685">
        <f>SUMIF(J:J,Table1[[#This Row],[Season]],F:F)</f>
        <v>55777</v>
      </c>
    </row>
    <row r="2686" spans="1:20" x14ac:dyDescent="0.3">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c r="S2686" t="str">
        <f>INDEX(Q:Q,MATCH(Table1[[#This Row],[Item Purchased]],D:D))</f>
        <v>Debit Card</v>
      </c>
      <c r="T2686">
        <f>SUMIF(J:J,Table1[[#This Row],[Season]],F:F)</f>
        <v>55777</v>
      </c>
    </row>
    <row r="2687" spans="1:20" x14ac:dyDescent="0.3">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c r="S2687" t="str">
        <f>INDEX(Q:Q,MATCH(Table1[[#This Row],[Item Purchased]],D:D))</f>
        <v>Venmo</v>
      </c>
      <c r="T2687">
        <f>SUMIF(J:J,Table1[[#This Row],[Season]],F:F)</f>
        <v>58607</v>
      </c>
    </row>
    <row r="2688" spans="1:20" x14ac:dyDescent="0.3">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c r="S2688" t="str">
        <f>INDEX(Q:Q,MATCH(Table1[[#This Row],[Item Purchased]],D:D))</f>
        <v>Venmo</v>
      </c>
      <c r="T2688">
        <f>SUMIF(J:J,Table1[[#This Row],[Season]],F:F)</f>
        <v>58607</v>
      </c>
    </row>
    <row r="2689" spans="1:20" x14ac:dyDescent="0.3">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c r="S2689" t="str">
        <f>INDEX(Q:Q,MATCH(Table1[[#This Row],[Item Purchased]],D:D))</f>
        <v>Debit Card</v>
      </c>
      <c r="T2689">
        <f>SUMIF(J:J,Table1[[#This Row],[Season]],F:F)</f>
        <v>60018</v>
      </c>
    </row>
    <row r="2690" spans="1:20" x14ac:dyDescent="0.3">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c r="S2690" t="str">
        <f>INDEX(Q:Q,MATCH(Table1[[#This Row],[Item Purchased]],D:D))</f>
        <v>Cash</v>
      </c>
      <c r="T2690">
        <f>SUMIF(J:J,Table1[[#This Row],[Season]],F:F)</f>
        <v>58679</v>
      </c>
    </row>
    <row r="2691" spans="1:20" x14ac:dyDescent="0.3">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c r="S2691" t="str">
        <f>INDEX(Q:Q,MATCH(Table1[[#This Row],[Item Purchased]],D:D))</f>
        <v>Venmo</v>
      </c>
      <c r="T2691">
        <f>SUMIF(J:J,Table1[[#This Row],[Season]],F:F)</f>
        <v>60018</v>
      </c>
    </row>
    <row r="2692" spans="1:20" x14ac:dyDescent="0.3">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c r="S2692" t="e">
        <f>INDEX(Q:Q,MATCH(Table1[[#This Row],[Item Purchased]],D:D))</f>
        <v>#N/A</v>
      </c>
      <c r="T2692">
        <f>SUMIF(J:J,Table1[[#This Row],[Season]],F:F)</f>
        <v>55777</v>
      </c>
    </row>
    <row r="2693" spans="1:20" x14ac:dyDescent="0.3">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c r="S2693" t="str">
        <f>INDEX(Q:Q,MATCH(Table1[[#This Row],[Item Purchased]],D:D))</f>
        <v>Cash</v>
      </c>
      <c r="T2693">
        <f>SUMIF(J:J,Table1[[#This Row],[Season]],F:F)</f>
        <v>58607</v>
      </c>
    </row>
    <row r="2694" spans="1:20" x14ac:dyDescent="0.3">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c r="S2694" t="str">
        <f>INDEX(Q:Q,MATCH(Table1[[#This Row],[Item Purchased]],D:D))</f>
        <v>Venmo</v>
      </c>
      <c r="T2694">
        <f>SUMIF(J:J,Table1[[#This Row],[Season]],F:F)</f>
        <v>58679</v>
      </c>
    </row>
    <row r="2695" spans="1:20" x14ac:dyDescent="0.3">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c r="S2695" t="str">
        <f>INDEX(Q:Q,MATCH(Table1[[#This Row],[Item Purchased]],D:D))</f>
        <v>Venmo</v>
      </c>
      <c r="T2695">
        <f>SUMIF(J:J,Table1[[#This Row],[Season]],F:F)</f>
        <v>55777</v>
      </c>
    </row>
    <row r="2696" spans="1:20" x14ac:dyDescent="0.3">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c r="S2696" t="str">
        <f>INDEX(Q:Q,MATCH(Table1[[#This Row],[Item Purchased]],D:D))</f>
        <v>Venmo</v>
      </c>
      <c r="T2696">
        <f>SUMIF(J:J,Table1[[#This Row],[Season]],F:F)</f>
        <v>58679</v>
      </c>
    </row>
    <row r="2697" spans="1:20" x14ac:dyDescent="0.3">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c r="S2697" t="str">
        <f>INDEX(Q:Q,MATCH(Table1[[#This Row],[Item Purchased]],D:D))</f>
        <v>Venmo</v>
      </c>
      <c r="T2697">
        <f>SUMIF(J:J,Table1[[#This Row],[Season]],F:F)</f>
        <v>60018</v>
      </c>
    </row>
    <row r="2698" spans="1:20" x14ac:dyDescent="0.3">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c r="S2698" t="str">
        <f>INDEX(Q:Q,MATCH(Table1[[#This Row],[Item Purchased]],D:D))</f>
        <v>Debit Card</v>
      </c>
      <c r="T2698">
        <f>SUMIF(J:J,Table1[[#This Row],[Season]],F:F)</f>
        <v>58679</v>
      </c>
    </row>
    <row r="2699" spans="1:20" x14ac:dyDescent="0.3">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c r="S2699" t="str">
        <f>INDEX(Q:Q,MATCH(Table1[[#This Row],[Item Purchased]],D:D))</f>
        <v>Debit Card</v>
      </c>
      <c r="T2699">
        <f>SUMIF(J:J,Table1[[#This Row],[Season]],F:F)</f>
        <v>58607</v>
      </c>
    </row>
    <row r="2700" spans="1:20" x14ac:dyDescent="0.3">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c r="S2700" t="str">
        <f>INDEX(Q:Q,MATCH(Table1[[#This Row],[Item Purchased]],D:D))</f>
        <v>Venmo</v>
      </c>
      <c r="T2700">
        <f>SUMIF(J:J,Table1[[#This Row],[Season]],F:F)</f>
        <v>55777</v>
      </c>
    </row>
    <row r="2701" spans="1:20" x14ac:dyDescent="0.3">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c r="S2701" t="str">
        <f>INDEX(Q:Q,MATCH(Table1[[#This Row],[Item Purchased]],D:D))</f>
        <v>Venmo</v>
      </c>
      <c r="T2701">
        <f>SUMIF(J:J,Table1[[#This Row],[Season]],F:F)</f>
        <v>60018</v>
      </c>
    </row>
    <row r="2702" spans="1:20" x14ac:dyDescent="0.3">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c r="S2702" t="str">
        <f>INDEX(Q:Q,MATCH(Table1[[#This Row],[Item Purchased]],D:D))</f>
        <v>Venmo</v>
      </c>
      <c r="T2702">
        <f>SUMIF(J:J,Table1[[#This Row],[Season]],F:F)</f>
        <v>58607</v>
      </c>
    </row>
    <row r="2703" spans="1:20" x14ac:dyDescent="0.3">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c r="S2703" t="str">
        <f>INDEX(Q:Q,MATCH(Table1[[#This Row],[Item Purchased]],D:D))</f>
        <v>Venmo</v>
      </c>
      <c r="T2703">
        <f>SUMIF(J:J,Table1[[#This Row],[Season]],F:F)</f>
        <v>55777</v>
      </c>
    </row>
    <row r="2704" spans="1:20" x14ac:dyDescent="0.3">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c r="S2704" t="str">
        <f>INDEX(Q:Q,MATCH(Table1[[#This Row],[Item Purchased]],D:D))</f>
        <v>PayPal</v>
      </c>
      <c r="T2704">
        <f>SUMIF(J:J,Table1[[#This Row],[Season]],F:F)</f>
        <v>60018</v>
      </c>
    </row>
    <row r="2705" spans="1:20" x14ac:dyDescent="0.3">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c r="S2705" t="str">
        <f>INDEX(Q:Q,MATCH(Table1[[#This Row],[Item Purchased]],D:D))</f>
        <v>Bank Transfer</v>
      </c>
      <c r="T2705">
        <f>SUMIF(J:J,Table1[[#This Row],[Season]],F:F)</f>
        <v>58607</v>
      </c>
    </row>
    <row r="2706" spans="1:20" x14ac:dyDescent="0.3">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c r="S2706" t="str">
        <f>INDEX(Q:Q,MATCH(Table1[[#This Row],[Item Purchased]],D:D))</f>
        <v>Debit Card</v>
      </c>
      <c r="T2706">
        <f>SUMIF(J:J,Table1[[#This Row],[Season]],F:F)</f>
        <v>58679</v>
      </c>
    </row>
    <row r="2707" spans="1:20" x14ac:dyDescent="0.3">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c r="S2707" t="str">
        <f>INDEX(Q:Q,MATCH(Table1[[#This Row],[Item Purchased]],D:D))</f>
        <v>Debit Card</v>
      </c>
      <c r="T2707">
        <f>SUMIF(J:J,Table1[[#This Row],[Season]],F:F)</f>
        <v>58679</v>
      </c>
    </row>
    <row r="2708" spans="1:20" x14ac:dyDescent="0.3">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c r="S2708" t="str">
        <f>INDEX(Q:Q,MATCH(Table1[[#This Row],[Item Purchased]],D:D))</f>
        <v>PayPal</v>
      </c>
      <c r="T2708">
        <f>SUMIF(J:J,Table1[[#This Row],[Season]],F:F)</f>
        <v>58679</v>
      </c>
    </row>
    <row r="2709" spans="1:20" x14ac:dyDescent="0.3">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c r="S2709" t="e">
        <f>INDEX(Q:Q,MATCH(Table1[[#This Row],[Item Purchased]],D:D))</f>
        <v>#N/A</v>
      </c>
      <c r="T2709">
        <f>SUMIF(J:J,Table1[[#This Row],[Season]],F:F)</f>
        <v>60018</v>
      </c>
    </row>
    <row r="2710" spans="1:20" x14ac:dyDescent="0.3">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c r="S2710" t="str">
        <f>INDEX(Q:Q,MATCH(Table1[[#This Row],[Item Purchased]],D:D))</f>
        <v>Debit Card</v>
      </c>
      <c r="T2710">
        <f>SUMIF(J:J,Table1[[#This Row],[Season]],F:F)</f>
        <v>55777</v>
      </c>
    </row>
    <row r="2711" spans="1:20" x14ac:dyDescent="0.3">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c r="S2711" t="str">
        <f>INDEX(Q:Q,MATCH(Table1[[#This Row],[Item Purchased]],D:D))</f>
        <v>Bank Transfer</v>
      </c>
      <c r="T2711">
        <f>SUMIF(J:J,Table1[[#This Row],[Season]],F:F)</f>
        <v>58607</v>
      </c>
    </row>
    <row r="2712" spans="1:20" x14ac:dyDescent="0.3">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c r="S2712" t="str">
        <f>INDEX(Q:Q,MATCH(Table1[[#This Row],[Item Purchased]],D:D))</f>
        <v>Debit Card</v>
      </c>
      <c r="T2712">
        <f>SUMIF(J:J,Table1[[#This Row],[Season]],F:F)</f>
        <v>55777</v>
      </c>
    </row>
    <row r="2713" spans="1:20" x14ac:dyDescent="0.3">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c r="S2713" t="str">
        <f>INDEX(Q:Q,MATCH(Table1[[#This Row],[Item Purchased]],D:D))</f>
        <v>Venmo</v>
      </c>
      <c r="T2713">
        <f>SUMIF(J:J,Table1[[#This Row],[Season]],F:F)</f>
        <v>58679</v>
      </c>
    </row>
    <row r="2714" spans="1:20" x14ac:dyDescent="0.3">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c r="S2714" t="str">
        <f>INDEX(Q:Q,MATCH(Table1[[#This Row],[Item Purchased]],D:D))</f>
        <v>Debit Card</v>
      </c>
      <c r="T2714">
        <f>SUMIF(J:J,Table1[[#This Row],[Season]],F:F)</f>
        <v>60018</v>
      </c>
    </row>
    <row r="2715" spans="1:20" x14ac:dyDescent="0.3">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c r="S2715" t="str">
        <f>INDEX(Q:Q,MATCH(Table1[[#This Row],[Item Purchased]],D:D))</f>
        <v>Debit Card</v>
      </c>
      <c r="T2715">
        <f>SUMIF(J:J,Table1[[#This Row],[Season]],F:F)</f>
        <v>60018</v>
      </c>
    </row>
    <row r="2716" spans="1:20" x14ac:dyDescent="0.3">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c r="S2716" t="str">
        <f>INDEX(Q:Q,MATCH(Table1[[#This Row],[Item Purchased]],D:D))</f>
        <v>Venmo</v>
      </c>
      <c r="T2716">
        <f>SUMIF(J:J,Table1[[#This Row],[Season]],F:F)</f>
        <v>58607</v>
      </c>
    </row>
    <row r="2717" spans="1:20" x14ac:dyDescent="0.3">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c r="S2717" t="str">
        <f>INDEX(Q:Q,MATCH(Table1[[#This Row],[Item Purchased]],D:D))</f>
        <v>Venmo</v>
      </c>
      <c r="T2717">
        <f>SUMIF(J:J,Table1[[#This Row],[Season]],F:F)</f>
        <v>58607</v>
      </c>
    </row>
    <row r="2718" spans="1:20" x14ac:dyDescent="0.3">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c r="S2718" t="str">
        <f>INDEX(Q:Q,MATCH(Table1[[#This Row],[Item Purchased]],D:D))</f>
        <v>PayPal</v>
      </c>
      <c r="T2718">
        <f>SUMIF(J:J,Table1[[#This Row],[Season]],F:F)</f>
        <v>58679</v>
      </c>
    </row>
    <row r="2719" spans="1:20" x14ac:dyDescent="0.3">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c r="S2719" t="str">
        <f>INDEX(Q:Q,MATCH(Table1[[#This Row],[Item Purchased]],D:D))</f>
        <v>Venmo</v>
      </c>
      <c r="T2719">
        <f>SUMIF(J:J,Table1[[#This Row],[Season]],F:F)</f>
        <v>58607</v>
      </c>
    </row>
    <row r="2720" spans="1:20" x14ac:dyDescent="0.3">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c r="S2720" t="str">
        <f>INDEX(Q:Q,MATCH(Table1[[#This Row],[Item Purchased]],D:D))</f>
        <v>PayPal</v>
      </c>
      <c r="T2720">
        <f>SUMIF(J:J,Table1[[#This Row],[Season]],F:F)</f>
        <v>58607</v>
      </c>
    </row>
    <row r="2721" spans="1:20" x14ac:dyDescent="0.3">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c r="S2721" t="str">
        <f>INDEX(Q:Q,MATCH(Table1[[#This Row],[Item Purchased]],D:D))</f>
        <v>Venmo</v>
      </c>
      <c r="T2721">
        <f>SUMIF(J:J,Table1[[#This Row],[Season]],F:F)</f>
        <v>60018</v>
      </c>
    </row>
    <row r="2722" spans="1:20" x14ac:dyDescent="0.3">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c r="S2722" t="str">
        <f>INDEX(Q:Q,MATCH(Table1[[#This Row],[Item Purchased]],D:D))</f>
        <v>Bank Transfer</v>
      </c>
      <c r="T2722">
        <f>SUMIF(J:J,Table1[[#This Row],[Season]],F:F)</f>
        <v>58679</v>
      </c>
    </row>
    <row r="2723" spans="1:20" x14ac:dyDescent="0.3">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c r="S2723" t="str">
        <f>INDEX(Q:Q,MATCH(Table1[[#This Row],[Item Purchased]],D:D))</f>
        <v>Bank Transfer</v>
      </c>
      <c r="T2723">
        <f>SUMIF(J:J,Table1[[#This Row],[Season]],F:F)</f>
        <v>58679</v>
      </c>
    </row>
    <row r="2724" spans="1:20" x14ac:dyDescent="0.3">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c r="S2724" t="str">
        <f>INDEX(Q:Q,MATCH(Table1[[#This Row],[Item Purchased]],D:D))</f>
        <v>Venmo</v>
      </c>
      <c r="T2724">
        <f>SUMIF(J:J,Table1[[#This Row],[Season]],F:F)</f>
        <v>58679</v>
      </c>
    </row>
    <row r="2725" spans="1:20" x14ac:dyDescent="0.3">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c r="S2725" t="str">
        <f>INDEX(Q:Q,MATCH(Table1[[#This Row],[Item Purchased]],D:D))</f>
        <v>PayPal</v>
      </c>
      <c r="T2725">
        <f>SUMIF(J:J,Table1[[#This Row],[Season]],F:F)</f>
        <v>55777</v>
      </c>
    </row>
    <row r="2726" spans="1:20" x14ac:dyDescent="0.3">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c r="S2726" t="str">
        <f>INDEX(Q:Q,MATCH(Table1[[#This Row],[Item Purchased]],D:D))</f>
        <v>Venmo</v>
      </c>
      <c r="T2726">
        <f>SUMIF(J:J,Table1[[#This Row],[Season]],F:F)</f>
        <v>58679</v>
      </c>
    </row>
    <row r="2727" spans="1:20" x14ac:dyDescent="0.3">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c r="S2727" t="e">
        <f>INDEX(Q:Q,MATCH(Table1[[#This Row],[Item Purchased]],D:D))</f>
        <v>#N/A</v>
      </c>
      <c r="T2727">
        <f>SUMIF(J:J,Table1[[#This Row],[Season]],F:F)</f>
        <v>55777</v>
      </c>
    </row>
    <row r="2728" spans="1:20" x14ac:dyDescent="0.3">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c r="S2728" t="e">
        <f>INDEX(Q:Q,MATCH(Table1[[#This Row],[Item Purchased]],D:D))</f>
        <v>#N/A</v>
      </c>
      <c r="T2728">
        <f>SUMIF(J:J,Table1[[#This Row],[Season]],F:F)</f>
        <v>58607</v>
      </c>
    </row>
    <row r="2729" spans="1:20" x14ac:dyDescent="0.3">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c r="S2729" t="str">
        <f>INDEX(Q:Q,MATCH(Table1[[#This Row],[Item Purchased]],D:D))</f>
        <v>Bank Transfer</v>
      </c>
      <c r="T2729">
        <f>SUMIF(J:J,Table1[[#This Row],[Season]],F:F)</f>
        <v>58607</v>
      </c>
    </row>
    <row r="2730" spans="1:20" x14ac:dyDescent="0.3">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c r="S2730" t="str">
        <f>INDEX(Q:Q,MATCH(Table1[[#This Row],[Item Purchased]],D:D))</f>
        <v>Credit Card</v>
      </c>
      <c r="T2730">
        <f>SUMIF(J:J,Table1[[#This Row],[Season]],F:F)</f>
        <v>58607</v>
      </c>
    </row>
    <row r="2731" spans="1:20" x14ac:dyDescent="0.3">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c r="S2731" t="str">
        <f>INDEX(Q:Q,MATCH(Table1[[#This Row],[Item Purchased]],D:D))</f>
        <v>Debit Card</v>
      </c>
      <c r="T2731">
        <f>SUMIF(J:J,Table1[[#This Row],[Season]],F:F)</f>
        <v>55777</v>
      </c>
    </row>
    <row r="2732" spans="1:20" x14ac:dyDescent="0.3">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c r="S2732" t="str">
        <f>INDEX(Q:Q,MATCH(Table1[[#This Row],[Item Purchased]],D:D))</f>
        <v>Debit Card</v>
      </c>
      <c r="T2732">
        <f>SUMIF(J:J,Table1[[#This Row],[Season]],F:F)</f>
        <v>58607</v>
      </c>
    </row>
    <row r="2733" spans="1:20" x14ac:dyDescent="0.3">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c r="S2733" t="str">
        <f>INDEX(Q:Q,MATCH(Table1[[#This Row],[Item Purchased]],D:D))</f>
        <v>Cash</v>
      </c>
      <c r="T2733">
        <f>SUMIF(J:J,Table1[[#This Row],[Season]],F:F)</f>
        <v>55777</v>
      </c>
    </row>
    <row r="2734" spans="1:20" x14ac:dyDescent="0.3">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c r="S2734" t="str">
        <f>INDEX(Q:Q,MATCH(Table1[[#This Row],[Item Purchased]],D:D))</f>
        <v>Venmo</v>
      </c>
      <c r="T2734">
        <f>SUMIF(J:J,Table1[[#This Row],[Season]],F:F)</f>
        <v>58607</v>
      </c>
    </row>
    <row r="2735" spans="1:20" x14ac:dyDescent="0.3">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c r="S2735" t="e">
        <f>INDEX(Q:Q,MATCH(Table1[[#This Row],[Item Purchased]],D:D))</f>
        <v>#N/A</v>
      </c>
      <c r="T2735">
        <f>SUMIF(J:J,Table1[[#This Row],[Season]],F:F)</f>
        <v>55777</v>
      </c>
    </row>
    <row r="2736" spans="1:20" x14ac:dyDescent="0.3">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c r="S2736" t="str">
        <f>INDEX(Q:Q,MATCH(Table1[[#This Row],[Item Purchased]],D:D))</f>
        <v>Cash</v>
      </c>
      <c r="T2736">
        <f>SUMIF(J:J,Table1[[#This Row],[Season]],F:F)</f>
        <v>55777</v>
      </c>
    </row>
    <row r="2737" spans="1:20" x14ac:dyDescent="0.3">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c r="S2737" t="str">
        <f>INDEX(Q:Q,MATCH(Table1[[#This Row],[Item Purchased]],D:D))</f>
        <v>Credit Card</v>
      </c>
      <c r="T2737">
        <f>SUMIF(J:J,Table1[[#This Row],[Season]],F:F)</f>
        <v>58679</v>
      </c>
    </row>
    <row r="2738" spans="1:20" x14ac:dyDescent="0.3">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c r="S2738" t="str">
        <f>INDEX(Q:Q,MATCH(Table1[[#This Row],[Item Purchased]],D:D))</f>
        <v>Venmo</v>
      </c>
      <c r="T2738">
        <f>SUMIF(J:J,Table1[[#This Row],[Season]],F:F)</f>
        <v>58679</v>
      </c>
    </row>
    <row r="2739" spans="1:20" x14ac:dyDescent="0.3">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c r="S2739" t="str">
        <f>INDEX(Q:Q,MATCH(Table1[[#This Row],[Item Purchased]],D:D))</f>
        <v>Cash</v>
      </c>
      <c r="T2739">
        <f>SUMIF(J:J,Table1[[#This Row],[Season]],F:F)</f>
        <v>58679</v>
      </c>
    </row>
    <row r="2740" spans="1:20" x14ac:dyDescent="0.3">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c r="S2740" t="str">
        <f>INDEX(Q:Q,MATCH(Table1[[#This Row],[Item Purchased]],D:D))</f>
        <v>Venmo</v>
      </c>
      <c r="T2740">
        <f>SUMIF(J:J,Table1[[#This Row],[Season]],F:F)</f>
        <v>55777</v>
      </c>
    </row>
    <row r="2741" spans="1:20" x14ac:dyDescent="0.3">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c r="S2741" t="str">
        <f>INDEX(Q:Q,MATCH(Table1[[#This Row],[Item Purchased]],D:D))</f>
        <v>Bank Transfer</v>
      </c>
      <c r="T2741">
        <f>SUMIF(J:J,Table1[[#This Row],[Season]],F:F)</f>
        <v>58607</v>
      </c>
    </row>
    <row r="2742" spans="1:20" x14ac:dyDescent="0.3">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c r="S2742" t="str">
        <f>INDEX(Q:Q,MATCH(Table1[[#This Row],[Item Purchased]],D:D))</f>
        <v>Venmo</v>
      </c>
      <c r="T2742">
        <f>SUMIF(J:J,Table1[[#This Row],[Season]],F:F)</f>
        <v>55777</v>
      </c>
    </row>
    <row r="2743" spans="1:20" x14ac:dyDescent="0.3">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c r="S2743" t="str">
        <f>INDEX(Q:Q,MATCH(Table1[[#This Row],[Item Purchased]],D:D))</f>
        <v>Debit Card</v>
      </c>
      <c r="T2743">
        <f>SUMIF(J:J,Table1[[#This Row],[Season]],F:F)</f>
        <v>60018</v>
      </c>
    </row>
    <row r="2744" spans="1:20" x14ac:dyDescent="0.3">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c r="S2744" t="str">
        <f>INDEX(Q:Q,MATCH(Table1[[#This Row],[Item Purchased]],D:D))</f>
        <v>PayPal</v>
      </c>
      <c r="T2744">
        <f>SUMIF(J:J,Table1[[#This Row],[Season]],F:F)</f>
        <v>58679</v>
      </c>
    </row>
    <row r="2745" spans="1:20" x14ac:dyDescent="0.3">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c r="S2745" t="e">
        <f>INDEX(Q:Q,MATCH(Table1[[#This Row],[Item Purchased]],D:D))</f>
        <v>#N/A</v>
      </c>
      <c r="T2745">
        <f>SUMIF(J:J,Table1[[#This Row],[Season]],F:F)</f>
        <v>60018</v>
      </c>
    </row>
    <row r="2746" spans="1:20" x14ac:dyDescent="0.3">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c r="S2746" t="str">
        <f>INDEX(Q:Q,MATCH(Table1[[#This Row],[Item Purchased]],D:D))</f>
        <v>Bank Transfer</v>
      </c>
      <c r="T2746">
        <f>SUMIF(J:J,Table1[[#This Row],[Season]],F:F)</f>
        <v>58607</v>
      </c>
    </row>
    <row r="2747" spans="1:20" x14ac:dyDescent="0.3">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c r="S2747" t="str">
        <f>INDEX(Q:Q,MATCH(Table1[[#This Row],[Item Purchased]],D:D))</f>
        <v>Venmo</v>
      </c>
      <c r="T2747">
        <f>SUMIF(J:J,Table1[[#This Row],[Season]],F:F)</f>
        <v>55777</v>
      </c>
    </row>
    <row r="2748" spans="1:20" x14ac:dyDescent="0.3">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c r="S2748" t="str">
        <f>INDEX(Q:Q,MATCH(Table1[[#This Row],[Item Purchased]],D:D))</f>
        <v>Venmo</v>
      </c>
      <c r="T2748">
        <f>SUMIF(J:J,Table1[[#This Row],[Season]],F:F)</f>
        <v>60018</v>
      </c>
    </row>
    <row r="2749" spans="1:20" x14ac:dyDescent="0.3">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c r="S2749" t="str">
        <f>INDEX(Q:Q,MATCH(Table1[[#This Row],[Item Purchased]],D:D))</f>
        <v>Cash</v>
      </c>
      <c r="T2749">
        <f>SUMIF(J:J,Table1[[#This Row],[Season]],F:F)</f>
        <v>58607</v>
      </c>
    </row>
    <row r="2750" spans="1:20" x14ac:dyDescent="0.3">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c r="S2750" t="str">
        <f>INDEX(Q:Q,MATCH(Table1[[#This Row],[Item Purchased]],D:D))</f>
        <v>Debit Card</v>
      </c>
      <c r="T2750">
        <f>SUMIF(J:J,Table1[[#This Row],[Season]],F:F)</f>
        <v>58679</v>
      </c>
    </row>
    <row r="2751" spans="1:20" x14ac:dyDescent="0.3">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c r="S2751" t="str">
        <f>INDEX(Q:Q,MATCH(Table1[[#This Row],[Item Purchased]],D:D))</f>
        <v>Debit Card</v>
      </c>
      <c r="T2751">
        <f>SUMIF(J:J,Table1[[#This Row],[Season]],F:F)</f>
        <v>58679</v>
      </c>
    </row>
    <row r="2752" spans="1:20" x14ac:dyDescent="0.3">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c r="S2752" t="str">
        <f>INDEX(Q:Q,MATCH(Table1[[#This Row],[Item Purchased]],D:D))</f>
        <v>Bank Transfer</v>
      </c>
      <c r="T2752">
        <f>SUMIF(J:J,Table1[[#This Row],[Season]],F:F)</f>
        <v>58679</v>
      </c>
    </row>
    <row r="2753" spans="1:20" x14ac:dyDescent="0.3">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c r="S2753" t="str">
        <f>INDEX(Q:Q,MATCH(Table1[[#This Row],[Item Purchased]],D:D))</f>
        <v>Debit Card</v>
      </c>
      <c r="T2753">
        <f>SUMIF(J:J,Table1[[#This Row],[Season]],F:F)</f>
        <v>60018</v>
      </c>
    </row>
    <row r="2754" spans="1:20" x14ac:dyDescent="0.3">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c r="S2754" t="str">
        <f>INDEX(Q:Q,MATCH(Table1[[#This Row],[Item Purchased]],D:D))</f>
        <v>Venmo</v>
      </c>
      <c r="T2754">
        <f>SUMIF(J:J,Table1[[#This Row],[Season]],F:F)</f>
        <v>58607</v>
      </c>
    </row>
    <row r="2755" spans="1:20" x14ac:dyDescent="0.3">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c r="S2755" t="str">
        <f>INDEX(Q:Q,MATCH(Table1[[#This Row],[Item Purchased]],D:D))</f>
        <v>Debit Card</v>
      </c>
      <c r="T2755">
        <f>SUMIF(J:J,Table1[[#This Row],[Season]],F:F)</f>
        <v>58679</v>
      </c>
    </row>
    <row r="2756" spans="1:20" x14ac:dyDescent="0.3">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c r="S2756" t="str">
        <f>INDEX(Q:Q,MATCH(Table1[[#This Row],[Item Purchased]],D:D))</f>
        <v>Venmo</v>
      </c>
      <c r="T2756">
        <f>SUMIF(J:J,Table1[[#This Row],[Season]],F:F)</f>
        <v>55777</v>
      </c>
    </row>
    <row r="2757" spans="1:20" x14ac:dyDescent="0.3">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c r="S2757" t="e">
        <f>INDEX(Q:Q,MATCH(Table1[[#This Row],[Item Purchased]],D:D))</f>
        <v>#N/A</v>
      </c>
      <c r="T2757">
        <f>SUMIF(J:J,Table1[[#This Row],[Season]],F:F)</f>
        <v>58607</v>
      </c>
    </row>
    <row r="2758" spans="1:20" x14ac:dyDescent="0.3">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c r="S2758" t="str">
        <f>INDEX(Q:Q,MATCH(Table1[[#This Row],[Item Purchased]],D:D))</f>
        <v>Venmo</v>
      </c>
      <c r="T2758">
        <f>SUMIF(J:J,Table1[[#This Row],[Season]],F:F)</f>
        <v>58607</v>
      </c>
    </row>
    <row r="2759" spans="1:20" x14ac:dyDescent="0.3">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c r="S2759" t="str">
        <f>INDEX(Q:Q,MATCH(Table1[[#This Row],[Item Purchased]],D:D))</f>
        <v>Venmo</v>
      </c>
      <c r="T2759">
        <f>SUMIF(J:J,Table1[[#This Row],[Season]],F:F)</f>
        <v>60018</v>
      </c>
    </row>
    <row r="2760" spans="1:20" x14ac:dyDescent="0.3">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c r="S2760" t="str">
        <f>INDEX(Q:Q,MATCH(Table1[[#This Row],[Item Purchased]],D:D))</f>
        <v>Venmo</v>
      </c>
      <c r="T2760">
        <f>SUMIF(J:J,Table1[[#This Row],[Season]],F:F)</f>
        <v>55777</v>
      </c>
    </row>
    <row r="2761" spans="1:20" x14ac:dyDescent="0.3">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c r="S2761" t="str">
        <f>INDEX(Q:Q,MATCH(Table1[[#This Row],[Item Purchased]],D:D))</f>
        <v>PayPal</v>
      </c>
      <c r="T2761">
        <f>SUMIF(J:J,Table1[[#This Row],[Season]],F:F)</f>
        <v>55777</v>
      </c>
    </row>
    <row r="2762" spans="1:20" x14ac:dyDescent="0.3">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c r="S2762" t="str">
        <f>INDEX(Q:Q,MATCH(Table1[[#This Row],[Item Purchased]],D:D))</f>
        <v>Credit Card</v>
      </c>
      <c r="T2762">
        <f>SUMIF(J:J,Table1[[#This Row],[Season]],F:F)</f>
        <v>60018</v>
      </c>
    </row>
    <row r="2763" spans="1:20" x14ac:dyDescent="0.3">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c r="S2763" t="str">
        <f>INDEX(Q:Q,MATCH(Table1[[#This Row],[Item Purchased]],D:D))</f>
        <v>Venmo</v>
      </c>
      <c r="T2763">
        <f>SUMIF(J:J,Table1[[#This Row],[Season]],F:F)</f>
        <v>60018</v>
      </c>
    </row>
    <row r="2764" spans="1:20" x14ac:dyDescent="0.3">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c r="S2764" t="str">
        <f>INDEX(Q:Q,MATCH(Table1[[#This Row],[Item Purchased]],D:D))</f>
        <v>Venmo</v>
      </c>
      <c r="T2764">
        <f>SUMIF(J:J,Table1[[#This Row],[Season]],F:F)</f>
        <v>60018</v>
      </c>
    </row>
    <row r="2765" spans="1:20" x14ac:dyDescent="0.3">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c r="S2765" t="str">
        <f>INDEX(Q:Q,MATCH(Table1[[#This Row],[Item Purchased]],D:D))</f>
        <v>Cash</v>
      </c>
      <c r="T2765">
        <f>SUMIF(J:J,Table1[[#This Row],[Season]],F:F)</f>
        <v>60018</v>
      </c>
    </row>
    <row r="2766" spans="1:20" x14ac:dyDescent="0.3">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c r="S2766" t="str">
        <f>INDEX(Q:Q,MATCH(Table1[[#This Row],[Item Purchased]],D:D))</f>
        <v>Venmo</v>
      </c>
      <c r="T2766">
        <f>SUMIF(J:J,Table1[[#This Row],[Season]],F:F)</f>
        <v>58679</v>
      </c>
    </row>
    <row r="2767" spans="1:20" x14ac:dyDescent="0.3">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c r="S2767" t="str">
        <f>INDEX(Q:Q,MATCH(Table1[[#This Row],[Item Purchased]],D:D))</f>
        <v>Debit Card</v>
      </c>
      <c r="T2767">
        <f>SUMIF(J:J,Table1[[#This Row],[Season]],F:F)</f>
        <v>55777</v>
      </c>
    </row>
    <row r="2768" spans="1:20" x14ac:dyDescent="0.3">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c r="S2768" t="str">
        <f>INDEX(Q:Q,MATCH(Table1[[#This Row],[Item Purchased]],D:D))</f>
        <v>Debit Card</v>
      </c>
      <c r="T2768">
        <f>SUMIF(J:J,Table1[[#This Row],[Season]],F:F)</f>
        <v>58607</v>
      </c>
    </row>
    <row r="2769" spans="1:20" x14ac:dyDescent="0.3">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c r="S2769" t="str">
        <f>INDEX(Q:Q,MATCH(Table1[[#This Row],[Item Purchased]],D:D))</f>
        <v>Debit Card</v>
      </c>
      <c r="T2769">
        <f>SUMIF(J:J,Table1[[#This Row],[Season]],F:F)</f>
        <v>58679</v>
      </c>
    </row>
    <row r="2770" spans="1:20" x14ac:dyDescent="0.3">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c r="S2770" t="str">
        <f>INDEX(Q:Q,MATCH(Table1[[#This Row],[Item Purchased]],D:D))</f>
        <v>Venmo</v>
      </c>
      <c r="T2770">
        <f>SUMIF(J:J,Table1[[#This Row],[Season]],F:F)</f>
        <v>58679</v>
      </c>
    </row>
    <row r="2771" spans="1:20" x14ac:dyDescent="0.3">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c r="S2771" t="str">
        <f>INDEX(Q:Q,MATCH(Table1[[#This Row],[Item Purchased]],D:D))</f>
        <v>Bank Transfer</v>
      </c>
      <c r="T2771">
        <f>SUMIF(J:J,Table1[[#This Row],[Season]],F:F)</f>
        <v>60018</v>
      </c>
    </row>
    <row r="2772" spans="1:20" x14ac:dyDescent="0.3">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c r="S2772" t="str">
        <f>INDEX(Q:Q,MATCH(Table1[[#This Row],[Item Purchased]],D:D))</f>
        <v>Venmo</v>
      </c>
      <c r="T2772">
        <f>SUMIF(J:J,Table1[[#This Row],[Season]],F:F)</f>
        <v>60018</v>
      </c>
    </row>
    <row r="2773" spans="1:20" x14ac:dyDescent="0.3">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c r="S2773" t="str">
        <f>INDEX(Q:Q,MATCH(Table1[[#This Row],[Item Purchased]],D:D))</f>
        <v>Debit Card</v>
      </c>
      <c r="T2773">
        <f>SUMIF(J:J,Table1[[#This Row],[Season]],F:F)</f>
        <v>55777</v>
      </c>
    </row>
    <row r="2774" spans="1:20" x14ac:dyDescent="0.3">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c r="S2774" t="e">
        <f>INDEX(Q:Q,MATCH(Table1[[#This Row],[Item Purchased]],D:D))</f>
        <v>#N/A</v>
      </c>
      <c r="T2774">
        <f>SUMIF(J:J,Table1[[#This Row],[Season]],F:F)</f>
        <v>58679</v>
      </c>
    </row>
    <row r="2775" spans="1:20" x14ac:dyDescent="0.3">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c r="S2775" t="str">
        <f>INDEX(Q:Q,MATCH(Table1[[#This Row],[Item Purchased]],D:D))</f>
        <v>Cash</v>
      </c>
      <c r="T2775">
        <f>SUMIF(J:J,Table1[[#This Row],[Season]],F:F)</f>
        <v>58679</v>
      </c>
    </row>
    <row r="2776" spans="1:20" x14ac:dyDescent="0.3">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c r="S2776" t="str">
        <f>INDEX(Q:Q,MATCH(Table1[[#This Row],[Item Purchased]],D:D))</f>
        <v>Venmo</v>
      </c>
      <c r="T2776">
        <f>SUMIF(J:J,Table1[[#This Row],[Season]],F:F)</f>
        <v>60018</v>
      </c>
    </row>
    <row r="2777" spans="1:20" x14ac:dyDescent="0.3">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c r="S2777" t="str">
        <f>INDEX(Q:Q,MATCH(Table1[[#This Row],[Item Purchased]],D:D))</f>
        <v>Venmo</v>
      </c>
      <c r="T2777">
        <f>SUMIF(J:J,Table1[[#This Row],[Season]],F:F)</f>
        <v>60018</v>
      </c>
    </row>
    <row r="2778" spans="1:20" x14ac:dyDescent="0.3">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c r="S2778" t="str">
        <f>INDEX(Q:Q,MATCH(Table1[[#This Row],[Item Purchased]],D:D))</f>
        <v>Bank Transfer</v>
      </c>
      <c r="T2778">
        <f>SUMIF(J:J,Table1[[#This Row],[Season]],F:F)</f>
        <v>60018</v>
      </c>
    </row>
    <row r="2779" spans="1:20" x14ac:dyDescent="0.3">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c r="S2779" t="str">
        <f>INDEX(Q:Q,MATCH(Table1[[#This Row],[Item Purchased]],D:D))</f>
        <v>Venmo</v>
      </c>
      <c r="T2779">
        <f>SUMIF(J:J,Table1[[#This Row],[Season]],F:F)</f>
        <v>60018</v>
      </c>
    </row>
    <row r="2780" spans="1:20" x14ac:dyDescent="0.3">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c r="S2780" t="e">
        <f>INDEX(Q:Q,MATCH(Table1[[#This Row],[Item Purchased]],D:D))</f>
        <v>#N/A</v>
      </c>
      <c r="T2780">
        <f>SUMIF(J:J,Table1[[#This Row],[Season]],F:F)</f>
        <v>58679</v>
      </c>
    </row>
    <row r="2781" spans="1:20" x14ac:dyDescent="0.3">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c r="S2781" t="str">
        <f>INDEX(Q:Q,MATCH(Table1[[#This Row],[Item Purchased]],D:D))</f>
        <v>Venmo</v>
      </c>
      <c r="T2781">
        <f>SUMIF(J:J,Table1[[#This Row],[Season]],F:F)</f>
        <v>58607</v>
      </c>
    </row>
    <row r="2782" spans="1:20" x14ac:dyDescent="0.3">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c r="S2782" t="str">
        <f>INDEX(Q:Q,MATCH(Table1[[#This Row],[Item Purchased]],D:D))</f>
        <v>Venmo</v>
      </c>
      <c r="T2782">
        <f>SUMIF(J:J,Table1[[#This Row],[Season]],F:F)</f>
        <v>58607</v>
      </c>
    </row>
    <row r="2783" spans="1:20" x14ac:dyDescent="0.3">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c r="S2783" t="str">
        <f>INDEX(Q:Q,MATCH(Table1[[#This Row],[Item Purchased]],D:D))</f>
        <v>Bank Transfer</v>
      </c>
      <c r="T2783">
        <f>SUMIF(J:J,Table1[[#This Row],[Season]],F:F)</f>
        <v>58679</v>
      </c>
    </row>
    <row r="2784" spans="1:20" x14ac:dyDescent="0.3">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c r="S2784" t="str">
        <f>INDEX(Q:Q,MATCH(Table1[[#This Row],[Item Purchased]],D:D))</f>
        <v>Debit Card</v>
      </c>
      <c r="T2784">
        <f>SUMIF(J:J,Table1[[#This Row],[Season]],F:F)</f>
        <v>58679</v>
      </c>
    </row>
    <row r="2785" spans="1:20" x14ac:dyDescent="0.3">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c r="S2785" t="str">
        <f>INDEX(Q:Q,MATCH(Table1[[#This Row],[Item Purchased]],D:D))</f>
        <v>Credit Card</v>
      </c>
      <c r="T2785">
        <f>SUMIF(J:J,Table1[[#This Row],[Season]],F:F)</f>
        <v>58679</v>
      </c>
    </row>
    <row r="2786" spans="1:20" x14ac:dyDescent="0.3">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c r="S2786" t="str">
        <f>INDEX(Q:Q,MATCH(Table1[[#This Row],[Item Purchased]],D:D))</f>
        <v>Credit Card</v>
      </c>
      <c r="T2786">
        <f>SUMIF(J:J,Table1[[#This Row],[Season]],F:F)</f>
        <v>58607</v>
      </c>
    </row>
    <row r="2787" spans="1:20" x14ac:dyDescent="0.3">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c r="S2787" t="str">
        <f>INDEX(Q:Q,MATCH(Table1[[#This Row],[Item Purchased]],D:D))</f>
        <v>Venmo</v>
      </c>
      <c r="T2787">
        <f>SUMIF(J:J,Table1[[#This Row],[Season]],F:F)</f>
        <v>55777</v>
      </c>
    </row>
    <row r="2788" spans="1:20" x14ac:dyDescent="0.3">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c r="S2788" t="str">
        <f>INDEX(Q:Q,MATCH(Table1[[#This Row],[Item Purchased]],D:D))</f>
        <v>Cash</v>
      </c>
      <c r="T2788">
        <f>SUMIF(J:J,Table1[[#This Row],[Season]],F:F)</f>
        <v>58679</v>
      </c>
    </row>
    <row r="2789" spans="1:20" x14ac:dyDescent="0.3">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c r="S2789" t="str">
        <f>INDEX(Q:Q,MATCH(Table1[[#This Row],[Item Purchased]],D:D))</f>
        <v>Venmo</v>
      </c>
      <c r="T2789">
        <f>SUMIF(J:J,Table1[[#This Row],[Season]],F:F)</f>
        <v>58679</v>
      </c>
    </row>
    <row r="2790" spans="1:20" x14ac:dyDescent="0.3">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c r="S2790" t="str">
        <f>INDEX(Q:Q,MATCH(Table1[[#This Row],[Item Purchased]],D:D))</f>
        <v>Venmo</v>
      </c>
      <c r="T2790">
        <f>SUMIF(J:J,Table1[[#This Row],[Season]],F:F)</f>
        <v>55777</v>
      </c>
    </row>
    <row r="2791" spans="1:20" x14ac:dyDescent="0.3">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c r="S2791" t="str">
        <f>INDEX(Q:Q,MATCH(Table1[[#This Row],[Item Purchased]],D:D))</f>
        <v>Venmo</v>
      </c>
      <c r="T2791">
        <f>SUMIF(J:J,Table1[[#This Row],[Season]],F:F)</f>
        <v>60018</v>
      </c>
    </row>
    <row r="2792" spans="1:20" x14ac:dyDescent="0.3">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c r="S2792" t="str">
        <f>INDEX(Q:Q,MATCH(Table1[[#This Row],[Item Purchased]],D:D))</f>
        <v>Venmo</v>
      </c>
      <c r="T2792">
        <f>SUMIF(J:J,Table1[[#This Row],[Season]],F:F)</f>
        <v>58679</v>
      </c>
    </row>
    <row r="2793" spans="1:20" x14ac:dyDescent="0.3">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c r="S2793" t="str">
        <f>INDEX(Q:Q,MATCH(Table1[[#This Row],[Item Purchased]],D:D))</f>
        <v>Debit Card</v>
      </c>
      <c r="T2793">
        <f>SUMIF(J:J,Table1[[#This Row],[Season]],F:F)</f>
        <v>60018</v>
      </c>
    </row>
    <row r="2794" spans="1:20" x14ac:dyDescent="0.3">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c r="S2794" t="str">
        <f>INDEX(Q:Q,MATCH(Table1[[#This Row],[Item Purchased]],D:D))</f>
        <v>PayPal</v>
      </c>
      <c r="T2794">
        <f>SUMIF(J:J,Table1[[#This Row],[Season]],F:F)</f>
        <v>58607</v>
      </c>
    </row>
    <row r="2795" spans="1:20" x14ac:dyDescent="0.3">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c r="S2795" t="str">
        <f>INDEX(Q:Q,MATCH(Table1[[#This Row],[Item Purchased]],D:D))</f>
        <v>Venmo</v>
      </c>
      <c r="T2795">
        <f>SUMIF(J:J,Table1[[#This Row],[Season]],F:F)</f>
        <v>58679</v>
      </c>
    </row>
    <row r="2796" spans="1:20" x14ac:dyDescent="0.3">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c r="S2796" t="str">
        <f>INDEX(Q:Q,MATCH(Table1[[#This Row],[Item Purchased]],D:D))</f>
        <v>Debit Card</v>
      </c>
      <c r="T2796">
        <f>SUMIF(J:J,Table1[[#This Row],[Season]],F:F)</f>
        <v>60018</v>
      </c>
    </row>
    <row r="2797" spans="1:20" x14ac:dyDescent="0.3">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c r="S2797" t="str">
        <f>INDEX(Q:Q,MATCH(Table1[[#This Row],[Item Purchased]],D:D))</f>
        <v>Bank Transfer</v>
      </c>
      <c r="T2797">
        <f>SUMIF(J:J,Table1[[#This Row],[Season]],F:F)</f>
        <v>58607</v>
      </c>
    </row>
    <row r="2798" spans="1:20" x14ac:dyDescent="0.3">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c r="S2798" t="str">
        <f>INDEX(Q:Q,MATCH(Table1[[#This Row],[Item Purchased]],D:D))</f>
        <v>Debit Card</v>
      </c>
      <c r="T2798">
        <f>SUMIF(J:J,Table1[[#This Row],[Season]],F:F)</f>
        <v>58607</v>
      </c>
    </row>
    <row r="2799" spans="1:20" x14ac:dyDescent="0.3">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c r="S2799" t="str">
        <f>INDEX(Q:Q,MATCH(Table1[[#This Row],[Item Purchased]],D:D))</f>
        <v>Cash</v>
      </c>
      <c r="T2799">
        <f>SUMIF(J:J,Table1[[#This Row],[Season]],F:F)</f>
        <v>58607</v>
      </c>
    </row>
    <row r="2800" spans="1:20" x14ac:dyDescent="0.3">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c r="S2800" t="str">
        <f>INDEX(Q:Q,MATCH(Table1[[#This Row],[Item Purchased]],D:D))</f>
        <v>Venmo</v>
      </c>
      <c r="T2800">
        <f>SUMIF(J:J,Table1[[#This Row],[Season]],F:F)</f>
        <v>58607</v>
      </c>
    </row>
    <row r="2801" spans="1:20" x14ac:dyDescent="0.3">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c r="S2801" t="str">
        <f>INDEX(Q:Q,MATCH(Table1[[#This Row],[Item Purchased]],D:D))</f>
        <v>Venmo</v>
      </c>
      <c r="T2801">
        <f>SUMIF(J:J,Table1[[#This Row],[Season]],F:F)</f>
        <v>58679</v>
      </c>
    </row>
    <row r="2802" spans="1:20" x14ac:dyDescent="0.3">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c r="S2802" t="str">
        <f>INDEX(Q:Q,MATCH(Table1[[#This Row],[Item Purchased]],D:D))</f>
        <v>Bank Transfer</v>
      </c>
      <c r="T2802">
        <f>SUMIF(J:J,Table1[[#This Row],[Season]],F:F)</f>
        <v>60018</v>
      </c>
    </row>
    <row r="2803" spans="1:20" x14ac:dyDescent="0.3">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c r="S2803" t="str">
        <f>INDEX(Q:Q,MATCH(Table1[[#This Row],[Item Purchased]],D:D))</f>
        <v>Bank Transfer</v>
      </c>
      <c r="T2803">
        <f>SUMIF(J:J,Table1[[#This Row],[Season]],F:F)</f>
        <v>58607</v>
      </c>
    </row>
    <row r="2804" spans="1:20" x14ac:dyDescent="0.3">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c r="S2804" t="str">
        <f>INDEX(Q:Q,MATCH(Table1[[#This Row],[Item Purchased]],D:D))</f>
        <v>Debit Card</v>
      </c>
      <c r="T2804">
        <f>SUMIF(J:J,Table1[[#This Row],[Season]],F:F)</f>
        <v>60018</v>
      </c>
    </row>
    <row r="2805" spans="1:20" x14ac:dyDescent="0.3">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c r="S2805" t="str">
        <f>INDEX(Q:Q,MATCH(Table1[[#This Row],[Item Purchased]],D:D))</f>
        <v>Venmo</v>
      </c>
      <c r="T2805">
        <f>SUMIF(J:J,Table1[[#This Row],[Season]],F:F)</f>
        <v>58607</v>
      </c>
    </row>
    <row r="2806" spans="1:20" x14ac:dyDescent="0.3">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c r="S2806" t="str">
        <f>INDEX(Q:Q,MATCH(Table1[[#This Row],[Item Purchased]],D:D))</f>
        <v>Venmo</v>
      </c>
      <c r="T2806">
        <f>SUMIF(J:J,Table1[[#This Row],[Season]],F:F)</f>
        <v>58679</v>
      </c>
    </row>
    <row r="2807" spans="1:20" x14ac:dyDescent="0.3">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c r="S2807" t="str">
        <f>INDEX(Q:Q,MATCH(Table1[[#This Row],[Item Purchased]],D:D))</f>
        <v>Venmo</v>
      </c>
      <c r="T2807">
        <f>SUMIF(J:J,Table1[[#This Row],[Season]],F:F)</f>
        <v>60018</v>
      </c>
    </row>
    <row r="2808" spans="1:20" x14ac:dyDescent="0.3">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c r="S2808" t="str">
        <f>INDEX(Q:Q,MATCH(Table1[[#This Row],[Item Purchased]],D:D))</f>
        <v>Venmo</v>
      </c>
      <c r="T2808">
        <f>SUMIF(J:J,Table1[[#This Row],[Season]],F:F)</f>
        <v>58679</v>
      </c>
    </row>
    <row r="2809" spans="1:20" x14ac:dyDescent="0.3">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c r="S2809" t="str">
        <f>INDEX(Q:Q,MATCH(Table1[[#This Row],[Item Purchased]],D:D))</f>
        <v>Venmo</v>
      </c>
      <c r="T2809">
        <f>SUMIF(J:J,Table1[[#This Row],[Season]],F:F)</f>
        <v>58679</v>
      </c>
    </row>
    <row r="2810" spans="1:20" x14ac:dyDescent="0.3">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c r="S2810" t="str">
        <f>INDEX(Q:Q,MATCH(Table1[[#This Row],[Item Purchased]],D:D))</f>
        <v>Credit Card</v>
      </c>
      <c r="T2810">
        <f>SUMIF(J:J,Table1[[#This Row],[Season]],F:F)</f>
        <v>58679</v>
      </c>
    </row>
    <row r="2811" spans="1:20" x14ac:dyDescent="0.3">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c r="S2811" t="str">
        <f>INDEX(Q:Q,MATCH(Table1[[#This Row],[Item Purchased]],D:D))</f>
        <v>PayPal</v>
      </c>
      <c r="T2811">
        <f>SUMIF(J:J,Table1[[#This Row],[Season]],F:F)</f>
        <v>55777</v>
      </c>
    </row>
    <row r="2812" spans="1:20" x14ac:dyDescent="0.3">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c r="S2812" t="str">
        <f>INDEX(Q:Q,MATCH(Table1[[#This Row],[Item Purchased]],D:D))</f>
        <v>Cash</v>
      </c>
      <c r="T2812">
        <f>SUMIF(J:J,Table1[[#This Row],[Season]],F:F)</f>
        <v>55777</v>
      </c>
    </row>
    <row r="2813" spans="1:20" x14ac:dyDescent="0.3">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c r="S2813" t="str">
        <f>INDEX(Q:Q,MATCH(Table1[[#This Row],[Item Purchased]],D:D))</f>
        <v>Debit Card</v>
      </c>
      <c r="T2813">
        <f>SUMIF(J:J,Table1[[#This Row],[Season]],F:F)</f>
        <v>60018</v>
      </c>
    </row>
    <row r="2814" spans="1:20" x14ac:dyDescent="0.3">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c r="S2814" t="str">
        <f>INDEX(Q:Q,MATCH(Table1[[#This Row],[Item Purchased]],D:D))</f>
        <v>Venmo</v>
      </c>
      <c r="T2814">
        <f>SUMIF(J:J,Table1[[#This Row],[Season]],F:F)</f>
        <v>60018</v>
      </c>
    </row>
    <row r="2815" spans="1:20" x14ac:dyDescent="0.3">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c r="S2815" t="str">
        <f>INDEX(Q:Q,MATCH(Table1[[#This Row],[Item Purchased]],D:D))</f>
        <v>Bank Transfer</v>
      </c>
      <c r="T2815">
        <f>SUMIF(J:J,Table1[[#This Row],[Season]],F:F)</f>
        <v>55777</v>
      </c>
    </row>
    <row r="2816" spans="1:20" x14ac:dyDescent="0.3">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c r="S2816" t="str">
        <f>INDEX(Q:Q,MATCH(Table1[[#This Row],[Item Purchased]],D:D))</f>
        <v>Venmo</v>
      </c>
      <c r="T2816">
        <f>SUMIF(J:J,Table1[[#This Row],[Season]],F:F)</f>
        <v>58607</v>
      </c>
    </row>
    <row r="2817" spans="1:20" x14ac:dyDescent="0.3">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c r="S2817" t="str">
        <f>INDEX(Q:Q,MATCH(Table1[[#This Row],[Item Purchased]],D:D))</f>
        <v>Venmo</v>
      </c>
      <c r="T2817">
        <f>SUMIF(J:J,Table1[[#This Row],[Season]],F:F)</f>
        <v>60018</v>
      </c>
    </row>
    <row r="2818" spans="1:20" x14ac:dyDescent="0.3">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c r="S2818" t="str">
        <f>INDEX(Q:Q,MATCH(Table1[[#This Row],[Item Purchased]],D:D))</f>
        <v>Credit Card</v>
      </c>
      <c r="T2818">
        <f>SUMIF(J:J,Table1[[#This Row],[Season]],F:F)</f>
        <v>58679</v>
      </c>
    </row>
    <row r="2819" spans="1:20" x14ac:dyDescent="0.3">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c r="S2819" t="e">
        <f>INDEX(Q:Q,MATCH(Table1[[#This Row],[Item Purchased]],D:D))</f>
        <v>#N/A</v>
      </c>
      <c r="T2819">
        <f>SUMIF(J:J,Table1[[#This Row],[Season]],F:F)</f>
        <v>58607</v>
      </c>
    </row>
    <row r="2820" spans="1:20" x14ac:dyDescent="0.3">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c r="S2820" t="str">
        <f>INDEX(Q:Q,MATCH(Table1[[#This Row],[Item Purchased]],D:D))</f>
        <v>PayPal</v>
      </c>
      <c r="T2820">
        <f>SUMIF(J:J,Table1[[#This Row],[Season]],F:F)</f>
        <v>60018</v>
      </c>
    </row>
    <row r="2821" spans="1:20" x14ac:dyDescent="0.3">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c r="S2821" t="str">
        <f>INDEX(Q:Q,MATCH(Table1[[#This Row],[Item Purchased]],D:D))</f>
        <v>Bank Transfer</v>
      </c>
      <c r="T2821">
        <f>SUMIF(J:J,Table1[[#This Row],[Season]],F:F)</f>
        <v>58679</v>
      </c>
    </row>
    <row r="2822" spans="1:20" x14ac:dyDescent="0.3">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c r="S2822" t="e">
        <f>INDEX(Q:Q,MATCH(Table1[[#This Row],[Item Purchased]],D:D))</f>
        <v>#N/A</v>
      </c>
      <c r="T2822">
        <f>SUMIF(J:J,Table1[[#This Row],[Season]],F:F)</f>
        <v>55777</v>
      </c>
    </row>
    <row r="2823" spans="1:20" x14ac:dyDescent="0.3">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c r="S2823" t="str">
        <f>INDEX(Q:Q,MATCH(Table1[[#This Row],[Item Purchased]],D:D))</f>
        <v>PayPal</v>
      </c>
      <c r="T2823">
        <f>SUMIF(J:J,Table1[[#This Row],[Season]],F:F)</f>
        <v>55777</v>
      </c>
    </row>
    <row r="2824" spans="1:20" x14ac:dyDescent="0.3">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c r="S2824" t="str">
        <f>INDEX(Q:Q,MATCH(Table1[[#This Row],[Item Purchased]],D:D))</f>
        <v>Credit Card</v>
      </c>
      <c r="T2824">
        <f>SUMIF(J:J,Table1[[#This Row],[Season]],F:F)</f>
        <v>60018</v>
      </c>
    </row>
    <row r="2825" spans="1:20" x14ac:dyDescent="0.3">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c r="S2825" t="str">
        <f>INDEX(Q:Q,MATCH(Table1[[#This Row],[Item Purchased]],D:D))</f>
        <v>Debit Card</v>
      </c>
      <c r="T2825">
        <f>SUMIF(J:J,Table1[[#This Row],[Season]],F:F)</f>
        <v>55777</v>
      </c>
    </row>
    <row r="2826" spans="1:20" x14ac:dyDescent="0.3">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c r="S2826" t="str">
        <f>INDEX(Q:Q,MATCH(Table1[[#This Row],[Item Purchased]],D:D))</f>
        <v>Venmo</v>
      </c>
      <c r="T2826">
        <f>SUMIF(J:J,Table1[[#This Row],[Season]],F:F)</f>
        <v>60018</v>
      </c>
    </row>
    <row r="2827" spans="1:20" x14ac:dyDescent="0.3">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c r="S2827" t="str">
        <f>INDEX(Q:Q,MATCH(Table1[[#This Row],[Item Purchased]],D:D))</f>
        <v>Cash</v>
      </c>
      <c r="T2827">
        <f>SUMIF(J:J,Table1[[#This Row],[Season]],F:F)</f>
        <v>58607</v>
      </c>
    </row>
    <row r="2828" spans="1:20" x14ac:dyDescent="0.3">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c r="S2828" t="str">
        <f>INDEX(Q:Q,MATCH(Table1[[#This Row],[Item Purchased]],D:D))</f>
        <v>Cash</v>
      </c>
      <c r="T2828">
        <f>SUMIF(J:J,Table1[[#This Row],[Season]],F:F)</f>
        <v>60018</v>
      </c>
    </row>
    <row r="2829" spans="1:20" x14ac:dyDescent="0.3">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c r="S2829" t="str">
        <f>INDEX(Q:Q,MATCH(Table1[[#This Row],[Item Purchased]],D:D))</f>
        <v>Venmo</v>
      </c>
      <c r="T2829">
        <f>SUMIF(J:J,Table1[[#This Row],[Season]],F:F)</f>
        <v>60018</v>
      </c>
    </row>
    <row r="2830" spans="1:20" x14ac:dyDescent="0.3">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c r="S2830" t="str">
        <f>INDEX(Q:Q,MATCH(Table1[[#This Row],[Item Purchased]],D:D))</f>
        <v>Bank Transfer</v>
      </c>
      <c r="T2830">
        <f>SUMIF(J:J,Table1[[#This Row],[Season]],F:F)</f>
        <v>60018</v>
      </c>
    </row>
    <row r="2831" spans="1:20" x14ac:dyDescent="0.3">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c r="S2831" t="str">
        <f>INDEX(Q:Q,MATCH(Table1[[#This Row],[Item Purchased]],D:D))</f>
        <v>Cash</v>
      </c>
      <c r="T2831">
        <f>SUMIF(J:J,Table1[[#This Row],[Season]],F:F)</f>
        <v>60018</v>
      </c>
    </row>
    <row r="2832" spans="1:20" x14ac:dyDescent="0.3">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c r="S2832" t="str">
        <f>INDEX(Q:Q,MATCH(Table1[[#This Row],[Item Purchased]],D:D))</f>
        <v>Credit Card</v>
      </c>
      <c r="T2832">
        <f>SUMIF(J:J,Table1[[#This Row],[Season]],F:F)</f>
        <v>58679</v>
      </c>
    </row>
    <row r="2833" spans="1:20" x14ac:dyDescent="0.3">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c r="S2833" t="str">
        <f>INDEX(Q:Q,MATCH(Table1[[#This Row],[Item Purchased]],D:D))</f>
        <v>Venmo</v>
      </c>
      <c r="T2833">
        <f>SUMIF(J:J,Table1[[#This Row],[Season]],F:F)</f>
        <v>58607</v>
      </c>
    </row>
    <row r="2834" spans="1:20" x14ac:dyDescent="0.3">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c r="S2834" t="str">
        <f>INDEX(Q:Q,MATCH(Table1[[#This Row],[Item Purchased]],D:D))</f>
        <v>Bank Transfer</v>
      </c>
      <c r="T2834">
        <f>SUMIF(J:J,Table1[[#This Row],[Season]],F:F)</f>
        <v>55777</v>
      </c>
    </row>
    <row r="2835" spans="1:20" x14ac:dyDescent="0.3">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c r="S2835" t="str">
        <f>INDEX(Q:Q,MATCH(Table1[[#This Row],[Item Purchased]],D:D))</f>
        <v>Cash</v>
      </c>
      <c r="T2835">
        <f>SUMIF(J:J,Table1[[#This Row],[Season]],F:F)</f>
        <v>60018</v>
      </c>
    </row>
    <row r="2836" spans="1:20" x14ac:dyDescent="0.3">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c r="S2836" t="str">
        <f>INDEX(Q:Q,MATCH(Table1[[#This Row],[Item Purchased]],D:D))</f>
        <v>Debit Card</v>
      </c>
      <c r="T2836">
        <f>SUMIF(J:J,Table1[[#This Row],[Season]],F:F)</f>
        <v>60018</v>
      </c>
    </row>
    <row r="2837" spans="1:20" x14ac:dyDescent="0.3">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c r="S2837" t="str">
        <f>INDEX(Q:Q,MATCH(Table1[[#This Row],[Item Purchased]],D:D))</f>
        <v>Venmo</v>
      </c>
      <c r="T2837">
        <f>SUMIF(J:J,Table1[[#This Row],[Season]],F:F)</f>
        <v>58607</v>
      </c>
    </row>
    <row r="2838" spans="1:20" x14ac:dyDescent="0.3">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c r="S2838" t="str">
        <f>INDEX(Q:Q,MATCH(Table1[[#This Row],[Item Purchased]],D:D))</f>
        <v>Cash</v>
      </c>
      <c r="T2838">
        <f>SUMIF(J:J,Table1[[#This Row],[Season]],F:F)</f>
        <v>58607</v>
      </c>
    </row>
    <row r="2839" spans="1:20" x14ac:dyDescent="0.3">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c r="S2839" t="str">
        <f>INDEX(Q:Q,MATCH(Table1[[#This Row],[Item Purchased]],D:D))</f>
        <v>PayPal</v>
      </c>
      <c r="T2839">
        <f>SUMIF(J:J,Table1[[#This Row],[Season]],F:F)</f>
        <v>55777</v>
      </c>
    </row>
    <row r="2840" spans="1:20" x14ac:dyDescent="0.3">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c r="S2840" t="str">
        <f>INDEX(Q:Q,MATCH(Table1[[#This Row],[Item Purchased]],D:D))</f>
        <v>Debit Card</v>
      </c>
      <c r="T2840">
        <f>SUMIF(J:J,Table1[[#This Row],[Season]],F:F)</f>
        <v>60018</v>
      </c>
    </row>
    <row r="2841" spans="1:20" x14ac:dyDescent="0.3">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c r="S2841" t="str">
        <f>INDEX(Q:Q,MATCH(Table1[[#This Row],[Item Purchased]],D:D))</f>
        <v>Bank Transfer</v>
      </c>
      <c r="T2841">
        <f>SUMIF(J:J,Table1[[#This Row],[Season]],F:F)</f>
        <v>55777</v>
      </c>
    </row>
    <row r="2842" spans="1:20" x14ac:dyDescent="0.3">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c r="S2842" t="str">
        <f>INDEX(Q:Q,MATCH(Table1[[#This Row],[Item Purchased]],D:D))</f>
        <v>Venmo</v>
      </c>
      <c r="T2842">
        <f>SUMIF(J:J,Table1[[#This Row],[Season]],F:F)</f>
        <v>58679</v>
      </c>
    </row>
    <row r="2843" spans="1:20" x14ac:dyDescent="0.3">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c r="S2843" t="str">
        <f>INDEX(Q:Q,MATCH(Table1[[#This Row],[Item Purchased]],D:D))</f>
        <v>Debit Card</v>
      </c>
      <c r="T2843">
        <f>SUMIF(J:J,Table1[[#This Row],[Season]],F:F)</f>
        <v>58607</v>
      </c>
    </row>
    <row r="2844" spans="1:20" x14ac:dyDescent="0.3">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c r="S2844" t="str">
        <f>INDEX(Q:Q,MATCH(Table1[[#This Row],[Item Purchased]],D:D))</f>
        <v>Debit Card</v>
      </c>
      <c r="T2844">
        <f>SUMIF(J:J,Table1[[#This Row],[Season]],F:F)</f>
        <v>60018</v>
      </c>
    </row>
    <row r="2845" spans="1:20" x14ac:dyDescent="0.3">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c r="S2845" t="str">
        <f>INDEX(Q:Q,MATCH(Table1[[#This Row],[Item Purchased]],D:D))</f>
        <v>Venmo</v>
      </c>
      <c r="T2845">
        <f>SUMIF(J:J,Table1[[#This Row],[Season]],F:F)</f>
        <v>55777</v>
      </c>
    </row>
    <row r="2846" spans="1:20" x14ac:dyDescent="0.3">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c r="S2846" t="str">
        <f>INDEX(Q:Q,MATCH(Table1[[#This Row],[Item Purchased]],D:D))</f>
        <v>Venmo</v>
      </c>
      <c r="T2846">
        <f>SUMIF(J:J,Table1[[#This Row],[Season]],F:F)</f>
        <v>55777</v>
      </c>
    </row>
    <row r="2847" spans="1:20" x14ac:dyDescent="0.3">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c r="S2847" t="e">
        <f>INDEX(Q:Q,MATCH(Table1[[#This Row],[Item Purchased]],D:D))</f>
        <v>#N/A</v>
      </c>
      <c r="T2847">
        <f>SUMIF(J:J,Table1[[#This Row],[Season]],F:F)</f>
        <v>55777</v>
      </c>
    </row>
    <row r="2848" spans="1:20" x14ac:dyDescent="0.3">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c r="S2848" t="str">
        <f>INDEX(Q:Q,MATCH(Table1[[#This Row],[Item Purchased]],D:D))</f>
        <v>Venmo</v>
      </c>
      <c r="T2848">
        <f>SUMIF(J:J,Table1[[#This Row],[Season]],F:F)</f>
        <v>60018</v>
      </c>
    </row>
    <row r="2849" spans="1:20" x14ac:dyDescent="0.3">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c r="S2849" t="str">
        <f>INDEX(Q:Q,MATCH(Table1[[#This Row],[Item Purchased]],D:D))</f>
        <v>Cash</v>
      </c>
      <c r="T2849">
        <f>SUMIF(J:J,Table1[[#This Row],[Season]],F:F)</f>
        <v>58607</v>
      </c>
    </row>
    <row r="2850" spans="1:20" x14ac:dyDescent="0.3">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c r="S2850" t="str">
        <f>INDEX(Q:Q,MATCH(Table1[[#This Row],[Item Purchased]],D:D))</f>
        <v>Venmo</v>
      </c>
      <c r="T2850">
        <f>SUMIF(J:J,Table1[[#This Row],[Season]],F:F)</f>
        <v>60018</v>
      </c>
    </row>
    <row r="2851" spans="1:20" x14ac:dyDescent="0.3">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c r="S2851" t="str">
        <f>INDEX(Q:Q,MATCH(Table1[[#This Row],[Item Purchased]],D:D))</f>
        <v>Debit Card</v>
      </c>
      <c r="T2851">
        <f>SUMIF(J:J,Table1[[#This Row],[Season]],F:F)</f>
        <v>58679</v>
      </c>
    </row>
    <row r="2852" spans="1:20" x14ac:dyDescent="0.3">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c r="S2852" t="str">
        <f>INDEX(Q:Q,MATCH(Table1[[#This Row],[Item Purchased]],D:D))</f>
        <v>Venmo</v>
      </c>
      <c r="T2852">
        <f>SUMIF(J:J,Table1[[#This Row],[Season]],F:F)</f>
        <v>58679</v>
      </c>
    </row>
    <row r="2853" spans="1:20" x14ac:dyDescent="0.3">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c r="S2853" t="str">
        <f>INDEX(Q:Q,MATCH(Table1[[#This Row],[Item Purchased]],D:D))</f>
        <v>Venmo</v>
      </c>
      <c r="T2853">
        <f>SUMIF(J:J,Table1[[#This Row],[Season]],F:F)</f>
        <v>55777</v>
      </c>
    </row>
    <row r="2854" spans="1:20" x14ac:dyDescent="0.3">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c r="S2854" t="e">
        <f>INDEX(Q:Q,MATCH(Table1[[#This Row],[Item Purchased]],D:D))</f>
        <v>#N/A</v>
      </c>
      <c r="T2854">
        <f>SUMIF(J:J,Table1[[#This Row],[Season]],F:F)</f>
        <v>58679</v>
      </c>
    </row>
    <row r="2855" spans="1:20" x14ac:dyDescent="0.3">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c r="S2855" t="str">
        <f>INDEX(Q:Q,MATCH(Table1[[#This Row],[Item Purchased]],D:D))</f>
        <v>Venmo</v>
      </c>
      <c r="T2855">
        <f>SUMIF(J:J,Table1[[#This Row],[Season]],F:F)</f>
        <v>58607</v>
      </c>
    </row>
    <row r="2856" spans="1:20" x14ac:dyDescent="0.3">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c r="S2856" t="str">
        <f>INDEX(Q:Q,MATCH(Table1[[#This Row],[Item Purchased]],D:D))</f>
        <v>Bank Transfer</v>
      </c>
      <c r="T2856">
        <f>SUMIF(J:J,Table1[[#This Row],[Season]],F:F)</f>
        <v>60018</v>
      </c>
    </row>
    <row r="2857" spans="1:20" x14ac:dyDescent="0.3">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c r="S2857" t="str">
        <f>INDEX(Q:Q,MATCH(Table1[[#This Row],[Item Purchased]],D:D))</f>
        <v>Venmo</v>
      </c>
      <c r="T2857">
        <f>SUMIF(J:J,Table1[[#This Row],[Season]],F:F)</f>
        <v>58607</v>
      </c>
    </row>
    <row r="2858" spans="1:20" x14ac:dyDescent="0.3">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c r="S2858" t="str">
        <f>INDEX(Q:Q,MATCH(Table1[[#This Row],[Item Purchased]],D:D))</f>
        <v>Debit Card</v>
      </c>
      <c r="T2858">
        <f>SUMIF(J:J,Table1[[#This Row],[Season]],F:F)</f>
        <v>58607</v>
      </c>
    </row>
    <row r="2859" spans="1:20" x14ac:dyDescent="0.3">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c r="S2859" t="str">
        <f>INDEX(Q:Q,MATCH(Table1[[#This Row],[Item Purchased]],D:D))</f>
        <v>Debit Card</v>
      </c>
      <c r="T2859">
        <f>SUMIF(J:J,Table1[[#This Row],[Season]],F:F)</f>
        <v>58679</v>
      </c>
    </row>
    <row r="2860" spans="1:20" x14ac:dyDescent="0.3">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c r="S2860" t="str">
        <f>INDEX(Q:Q,MATCH(Table1[[#This Row],[Item Purchased]],D:D))</f>
        <v>Cash</v>
      </c>
      <c r="T2860">
        <f>SUMIF(J:J,Table1[[#This Row],[Season]],F:F)</f>
        <v>55777</v>
      </c>
    </row>
    <row r="2861" spans="1:20" x14ac:dyDescent="0.3">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c r="S2861" t="str">
        <f>INDEX(Q:Q,MATCH(Table1[[#This Row],[Item Purchased]],D:D))</f>
        <v>PayPal</v>
      </c>
      <c r="T2861">
        <f>SUMIF(J:J,Table1[[#This Row],[Season]],F:F)</f>
        <v>60018</v>
      </c>
    </row>
    <row r="2862" spans="1:20" x14ac:dyDescent="0.3">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c r="S2862" t="str">
        <f>INDEX(Q:Q,MATCH(Table1[[#This Row],[Item Purchased]],D:D))</f>
        <v>Bank Transfer</v>
      </c>
      <c r="T2862">
        <f>SUMIF(J:J,Table1[[#This Row],[Season]],F:F)</f>
        <v>58679</v>
      </c>
    </row>
    <row r="2863" spans="1:20" x14ac:dyDescent="0.3">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c r="S2863" t="str">
        <f>INDEX(Q:Q,MATCH(Table1[[#This Row],[Item Purchased]],D:D))</f>
        <v>Debit Card</v>
      </c>
      <c r="T2863">
        <f>SUMIF(J:J,Table1[[#This Row],[Season]],F:F)</f>
        <v>60018</v>
      </c>
    </row>
    <row r="2864" spans="1:20" x14ac:dyDescent="0.3">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c r="S2864" t="str">
        <f>INDEX(Q:Q,MATCH(Table1[[#This Row],[Item Purchased]],D:D))</f>
        <v>Debit Card</v>
      </c>
      <c r="T2864">
        <f>SUMIF(J:J,Table1[[#This Row],[Season]],F:F)</f>
        <v>55777</v>
      </c>
    </row>
    <row r="2865" spans="1:20" x14ac:dyDescent="0.3">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c r="S2865" t="str">
        <f>INDEX(Q:Q,MATCH(Table1[[#This Row],[Item Purchased]],D:D))</f>
        <v>Venmo</v>
      </c>
      <c r="T2865">
        <f>SUMIF(J:J,Table1[[#This Row],[Season]],F:F)</f>
        <v>60018</v>
      </c>
    </row>
    <row r="2866" spans="1:20" x14ac:dyDescent="0.3">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c r="S2866" t="str">
        <f>INDEX(Q:Q,MATCH(Table1[[#This Row],[Item Purchased]],D:D))</f>
        <v>Venmo</v>
      </c>
      <c r="T2866">
        <f>SUMIF(J:J,Table1[[#This Row],[Season]],F:F)</f>
        <v>60018</v>
      </c>
    </row>
    <row r="2867" spans="1:20" x14ac:dyDescent="0.3">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c r="S2867" t="str">
        <f>INDEX(Q:Q,MATCH(Table1[[#This Row],[Item Purchased]],D:D))</f>
        <v>Credit Card</v>
      </c>
      <c r="T2867">
        <f>SUMIF(J:J,Table1[[#This Row],[Season]],F:F)</f>
        <v>60018</v>
      </c>
    </row>
    <row r="2868" spans="1:20" x14ac:dyDescent="0.3">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c r="S2868" t="str">
        <f>INDEX(Q:Q,MATCH(Table1[[#This Row],[Item Purchased]],D:D))</f>
        <v>Venmo</v>
      </c>
      <c r="T2868">
        <f>SUMIF(J:J,Table1[[#This Row],[Season]],F:F)</f>
        <v>55777</v>
      </c>
    </row>
    <row r="2869" spans="1:20" x14ac:dyDescent="0.3">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c r="S2869" t="str">
        <f>INDEX(Q:Q,MATCH(Table1[[#This Row],[Item Purchased]],D:D))</f>
        <v>Venmo</v>
      </c>
      <c r="T2869">
        <f>SUMIF(J:J,Table1[[#This Row],[Season]],F:F)</f>
        <v>55777</v>
      </c>
    </row>
    <row r="2870" spans="1:20" x14ac:dyDescent="0.3">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c r="S2870" t="e">
        <f>INDEX(Q:Q,MATCH(Table1[[#This Row],[Item Purchased]],D:D))</f>
        <v>#N/A</v>
      </c>
      <c r="T2870">
        <f>SUMIF(J:J,Table1[[#This Row],[Season]],F:F)</f>
        <v>58607</v>
      </c>
    </row>
    <row r="2871" spans="1:20" x14ac:dyDescent="0.3">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c r="S2871" t="str">
        <f>INDEX(Q:Q,MATCH(Table1[[#This Row],[Item Purchased]],D:D))</f>
        <v>Venmo</v>
      </c>
      <c r="T2871">
        <f>SUMIF(J:J,Table1[[#This Row],[Season]],F:F)</f>
        <v>55777</v>
      </c>
    </row>
    <row r="2872" spans="1:20" x14ac:dyDescent="0.3">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c r="S2872" t="str">
        <f>INDEX(Q:Q,MATCH(Table1[[#This Row],[Item Purchased]],D:D))</f>
        <v>Cash</v>
      </c>
      <c r="T2872">
        <f>SUMIF(J:J,Table1[[#This Row],[Season]],F:F)</f>
        <v>58607</v>
      </c>
    </row>
    <row r="2873" spans="1:20" x14ac:dyDescent="0.3">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c r="S2873" t="str">
        <f>INDEX(Q:Q,MATCH(Table1[[#This Row],[Item Purchased]],D:D))</f>
        <v>PayPal</v>
      </c>
      <c r="T2873">
        <f>SUMIF(J:J,Table1[[#This Row],[Season]],F:F)</f>
        <v>55777</v>
      </c>
    </row>
    <row r="2874" spans="1:20" x14ac:dyDescent="0.3">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c r="S2874" t="str">
        <f>INDEX(Q:Q,MATCH(Table1[[#This Row],[Item Purchased]],D:D))</f>
        <v>Cash</v>
      </c>
      <c r="T2874">
        <f>SUMIF(J:J,Table1[[#This Row],[Season]],F:F)</f>
        <v>60018</v>
      </c>
    </row>
    <row r="2875" spans="1:20" x14ac:dyDescent="0.3">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c r="S2875" t="str">
        <f>INDEX(Q:Q,MATCH(Table1[[#This Row],[Item Purchased]],D:D))</f>
        <v>Venmo</v>
      </c>
      <c r="T2875">
        <f>SUMIF(J:J,Table1[[#This Row],[Season]],F:F)</f>
        <v>58679</v>
      </c>
    </row>
    <row r="2876" spans="1:20" x14ac:dyDescent="0.3">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c r="S2876" t="str">
        <f>INDEX(Q:Q,MATCH(Table1[[#This Row],[Item Purchased]],D:D))</f>
        <v>Bank Transfer</v>
      </c>
      <c r="T2876">
        <f>SUMIF(J:J,Table1[[#This Row],[Season]],F:F)</f>
        <v>55777</v>
      </c>
    </row>
    <row r="2877" spans="1:20" x14ac:dyDescent="0.3">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c r="S2877" t="str">
        <f>INDEX(Q:Q,MATCH(Table1[[#This Row],[Item Purchased]],D:D))</f>
        <v>Cash</v>
      </c>
      <c r="T2877">
        <f>SUMIF(J:J,Table1[[#This Row],[Season]],F:F)</f>
        <v>60018</v>
      </c>
    </row>
    <row r="2878" spans="1:20" x14ac:dyDescent="0.3">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c r="S2878" t="str">
        <f>INDEX(Q:Q,MATCH(Table1[[#This Row],[Item Purchased]],D:D))</f>
        <v>Venmo</v>
      </c>
      <c r="T2878">
        <f>SUMIF(J:J,Table1[[#This Row],[Season]],F:F)</f>
        <v>58679</v>
      </c>
    </row>
    <row r="2879" spans="1:20" x14ac:dyDescent="0.3">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c r="S2879" t="str">
        <f>INDEX(Q:Q,MATCH(Table1[[#This Row],[Item Purchased]],D:D))</f>
        <v>Venmo</v>
      </c>
      <c r="T2879">
        <f>SUMIF(J:J,Table1[[#This Row],[Season]],F:F)</f>
        <v>55777</v>
      </c>
    </row>
    <row r="2880" spans="1:20" x14ac:dyDescent="0.3">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c r="S2880" t="str">
        <f>INDEX(Q:Q,MATCH(Table1[[#This Row],[Item Purchased]],D:D))</f>
        <v>Debit Card</v>
      </c>
      <c r="T2880">
        <f>SUMIF(J:J,Table1[[#This Row],[Season]],F:F)</f>
        <v>55777</v>
      </c>
    </row>
    <row r="2881" spans="1:20" x14ac:dyDescent="0.3">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c r="S2881" t="str">
        <f>INDEX(Q:Q,MATCH(Table1[[#This Row],[Item Purchased]],D:D))</f>
        <v>Venmo</v>
      </c>
      <c r="T2881">
        <f>SUMIF(J:J,Table1[[#This Row],[Season]],F:F)</f>
        <v>58607</v>
      </c>
    </row>
    <row r="2882" spans="1:20" x14ac:dyDescent="0.3">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c r="S2882" t="str">
        <f>INDEX(Q:Q,MATCH(Table1[[#This Row],[Item Purchased]],D:D))</f>
        <v>Credit Card</v>
      </c>
      <c r="T2882">
        <f>SUMIF(J:J,Table1[[#This Row],[Season]],F:F)</f>
        <v>58607</v>
      </c>
    </row>
    <row r="2883" spans="1:20" x14ac:dyDescent="0.3">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c r="S2883" t="e">
        <f>INDEX(Q:Q,MATCH(Table1[[#This Row],[Item Purchased]],D:D))</f>
        <v>#N/A</v>
      </c>
      <c r="T2883">
        <f>SUMIF(J:J,Table1[[#This Row],[Season]],F:F)</f>
        <v>58607</v>
      </c>
    </row>
    <row r="2884" spans="1:20" x14ac:dyDescent="0.3">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c r="S2884" t="str">
        <f>INDEX(Q:Q,MATCH(Table1[[#This Row],[Item Purchased]],D:D))</f>
        <v>Venmo</v>
      </c>
      <c r="T2884">
        <f>SUMIF(J:J,Table1[[#This Row],[Season]],F:F)</f>
        <v>58607</v>
      </c>
    </row>
    <row r="2885" spans="1:20" x14ac:dyDescent="0.3">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c r="S2885" t="str">
        <f>INDEX(Q:Q,MATCH(Table1[[#This Row],[Item Purchased]],D:D))</f>
        <v>Venmo</v>
      </c>
      <c r="T2885">
        <f>SUMIF(J:J,Table1[[#This Row],[Season]],F:F)</f>
        <v>58679</v>
      </c>
    </row>
    <row r="2886" spans="1:20" x14ac:dyDescent="0.3">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c r="S2886" t="str">
        <f>INDEX(Q:Q,MATCH(Table1[[#This Row],[Item Purchased]],D:D))</f>
        <v>Venmo</v>
      </c>
      <c r="T2886">
        <f>SUMIF(J:J,Table1[[#This Row],[Season]],F:F)</f>
        <v>55777</v>
      </c>
    </row>
    <row r="2887" spans="1:20" x14ac:dyDescent="0.3">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c r="S2887" t="e">
        <f>INDEX(Q:Q,MATCH(Table1[[#This Row],[Item Purchased]],D:D))</f>
        <v>#N/A</v>
      </c>
      <c r="T2887">
        <f>SUMIF(J:J,Table1[[#This Row],[Season]],F:F)</f>
        <v>55777</v>
      </c>
    </row>
    <row r="2888" spans="1:20" x14ac:dyDescent="0.3">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c r="S2888" t="str">
        <f>INDEX(Q:Q,MATCH(Table1[[#This Row],[Item Purchased]],D:D))</f>
        <v>Venmo</v>
      </c>
      <c r="T2888">
        <f>SUMIF(J:J,Table1[[#This Row],[Season]],F:F)</f>
        <v>58679</v>
      </c>
    </row>
    <row r="2889" spans="1:20" x14ac:dyDescent="0.3">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c r="S2889" t="str">
        <f>INDEX(Q:Q,MATCH(Table1[[#This Row],[Item Purchased]],D:D))</f>
        <v>Bank Transfer</v>
      </c>
      <c r="T2889">
        <f>SUMIF(J:J,Table1[[#This Row],[Season]],F:F)</f>
        <v>58607</v>
      </c>
    </row>
    <row r="2890" spans="1:20" x14ac:dyDescent="0.3">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c r="S2890" t="str">
        <f>INDEX(Q:Q,MATCH(Table1[[#This Row],[Item Purchased]],D:D))</f>
        <v>Venmo</v>
      </c>
      <c r="T2890">
        <f>SUMIF(J:J,Table1[[#This Row],[Season]],F:F)</f>
        <v>58679</v>
      </c>
    </row>
    <row r="2891" spans="1:20" x14ac:dyDescent="0.3">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c r="S2891" t="str">
        <f>INDEX(Q:Q,MATCH(Table1[[#This Row],[Item Purchased]],D:D))</f>
        <v>Venmo</v>
      </c>
      <c r="T2891">
        <f>SUMIF(J:J,Table1[[#This Row],[Season]],F:F)</f>
        <v>60018</v>
      </c>
    </row>
    <row r="2892" spans="1:20" x14ac:dyDescent="0.3">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c r="S2892" t="str">
        <f>INDEX(Q:Q,MATCH(Table1[[#This Row],[Item Purchased]],D:D))</f>
        <v>Cash</v>
      </c>
      <c r="T2892">
        <f>SUMIF(J:J,Table1[[#This Row],[Season]],F:F)</f>
        <v>58607</v>
      </c>
    </row>
    <row r="2893" spans="1:20" x14ac:dyDescent="0.3">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c r="S2893" t="str">
        <f>INDEX(Q:Q,MATCH(Table1[[#This Row],[Item Purchased]],D:D))</f>
        <v>Venmo</v>
      </c>
      <c r="T2893">
        <f>SUMIF(J:J,Table1[[#This Row],[Season]],F:F)</f>
        <v>58607</v>
      </c>
    </row>
    <row r="2894" spans="1:20" x14ac:dyDescent="0.3">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c r="S2894" t="str">
        <f>INDEX(Q:Q,MATCH(Table1[[#This Row],[Item Purchased]],D:D))</f>
        <v>Debit Card</v>
      </c>
      <c r="T2894">
        <f>SUMIF(J:J,Table1[[#This Row],[Season]],F:F)</f>
        <v>58679</v>
      </c>
    </row>
    <row r="2895" spans="1:20" x14ac:dyDescent="0.3">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c r="S2895" t="e">
        <f>INDEX(Q:Q,MATCH(Table1[[#This Row],[Item Purchased]],D:D))</f>
        <v>#N/A</v>
      </c>
      <c r="T2895">
        <f>SUMIF(J:J,Table1[[#This Row],[Season]],F:F)</f>
        <v>58679</v>
      </c>
    </row>
    <row r="2896" spans="1:20" x14ac:dyDescent="0.3">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c r="S2896" t="str">
        <f>INDEX(Q:Q,MATCH(Table1[[#This Row],[Item Purchased]],D:D))</f>
        <v>Cash</v>
      </c>
      <c r="T2896">
        <f>SUMIF(J:J,Table1[[#This Row],[Season]],F:F)</f>
        <v>58679</v>
      </c>
    </row>
    <row r="2897" spans="1:20" x14ac:dyDescent="0.3">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c r="S2897" t="str">
        <f>INDEX(Q:Q,MATCH(Table1[[#This Row],[Item Purchased]],D:D))</f>
        <v>Venmo</v>
      </c>
      <c r="T2897">
        <f>SUMIF(J:J,Table1[[#This Row],[Season]],F:F)</f>
        <v>55777</v>
      </c>
    </row>
    <row r="2898" spans="1:20" x14ac:dyDescent="0.3">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c r="S2898" t="str">
        <f>INDEX(Q:Q,MATCH(Table1[[#This Row],[Item Purchased]],D:D))</f>
        <v>Venmo</v>
      </c>
      <c r="T2898">
        <f>SUMIF(J:J,Table1[[#This Row],[Season]],F:F)</f>
        <v>55777</v>
      </c>
    </row>
    <row r="2899" spans="1:20" x14ac:dyDescent="0.3">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c r="S2899" t="str">
        <f>INDEX(Q:Q,MATCH(Table1[[#This Row],[Item Purchased]],D:D))</f>
        <v>Debit Card</v>
      </c>
      <c r="T2899">
        <f>SUMIF(J:J,Table1[[#This Row],[Season]],F:F)</f>
        <v>60018</v>
      </c>
    </row>
    <row r="2900" spans="1:20" x14ac:dyDescent="0.3">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c r="S2900" t="str">
        <f>INDEX(Q:Q,MATCH(Table1[[#This Row],[Item Purchased]],D:D))</f>
        <v>Venmo</v>
      </c>
      <c r="T2900">
        <f>SUMIF(J:J,Table1[[#This Row],[Season]],F:F)</f>
        <v>55777</v>
      </c>
    </row>
    <row r="2901" spans="1:20" x14ac:dyDescent="0.3">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c r="S2901" t="str">
        <f>INDEX(Q:Q,MATCH(Table1[[#This Row],[Item Purchased]],D:D))</f>
        <v>Venmo</v>
      </c>
      <c r="T2901">
        <f>SUMIF(J:J,Table1[[#This Row],[Season]],F:F)</f>
        <v>58679</v>
      </c>
    </row>
    <row r="2902" spans="1:20" x14ac:dyDescent="0.3">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c r="S2902" t="str">
        <f>INDEX(Q:Q,MATCH(Table1[[#This Row],[Item Purchased]],D:D))</f>
        <v>Venmo</v>
      </c>
      <c r="T2902">
        <f>SUMIF(J:J,Table1[[#This Row],[Season]],F:F)</f>
        <v>58607</v>
      </c>
    </row>
    <row r="2903" spans="1:20" x14ac:dyDescent="0.3">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c r="S2903" t="str">
        <f>INDEX(Q:Q,MATCH(Table1[[#This Row],[Item Purchased]],D:D))</f>
        <v>Venmo</v>
      </c>
      <c r="T2903">
        <f>SUMIF(J:J,Table1[[#This Row],[Season]],F:F)</f>
        <v>58607</v>
      </c>
    </row>
    <row r="2904" spans="1:20" x14ac:dyDescent="0.3">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c r="S2904" t="str">
        <f>INDEX(Q:Q,MATCH(Table1[[#This Row],[Item Purchased]],D:D))</f>
        <v>Venmo</v>
      </c>
      <c r="T2904">
        <f>SUMIF(J:J,Table1[[#This Row],[Season]],F:F)</f>
        <v>58679</v>
      </c>
    </row>
    <row r="2905" spans="1:20" x14ac:dyDescent="0.3">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c r="S2905" t="str">
        <f>INDEX(Q:Q,MATCH(Table1[[#This Row],[Item Purchased]],D:D))</f>
        <v>Bank Transfer</v>
      </c>
      <c r="T2905">
        <f>SUMIF(J:J,Table1[[#This Row],[Season]],F:F)</f>
        <v>58679</v>
      </c>
    </row>
    <row r="2906" spans="1:20" x14ac:dyDescent="0.3">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c r="S2906" t="str">
        <f>INDEX(Q:Q,MATCH(Table1[[#This Row],[Item Purchased]],D:D))</f>
        <v>Bank Transfer</v>
      </c>
      <c r="T2906">
        <f>SUMIF(J:J,Table1[[#This Row],[Season]],F:F)</f>
        <v>58679</v>
      </c>
    </row>
    <row r="2907" spans="1:20" x14ac:dyDescent="0.3">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c r="S2907" t="str">
        <f>INDEX(Q:Q,MATCH(Table1[[#This Row],[Item Purchased]],D:D))</f>
        <v>Venmo</v>
      </c>
      <c r="T2907">
        <f>SUMIF(J:J,Table1[[#This Row],[Season]],F:F)</f>
        <v>58607</v>
      </c>
    </row>
    <row r="2908" spans="1:20" x14ac:dyDescent="0.3">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c r="S2908" t="str">
        <f>INDEX(Q:Q,MATCH(Table1[[#This Row],[Item Purchased]],D:D))</f>
        <v>Debit Card</v>
      </c>
      <c r="T2908">
        <f>SUMIF(J:J,Table1[[#This Row],[Season]],F:F)</f>
        <v>58679</v>
      </c>
    </row>
    <row r="2909" spans="1:20" x14ac:dyDescent="0.3">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c r="S2909" t="str">
        <f>INDEX(Q:Q,MATCH(Table1[[#This Row],[Item Purchased]],D:D))</f>
        <v>Venmo</v>
      </c>
      <c r="T2909">
        <f>SUMIF(J:J,Table1[[#This Row],[Season]],F:F)</f>
        <v>55777</v>
      </c>
    </row>
    <row r="2910" spans="1:20" x14ac:dyDescent="0.3">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c r="S2910" t="str">
        <f>INDEX(Q:Q,MATCH(Table1[[#This Row],[Item Purchased]],D:D))</f>
        <v>Venmo</v>
      </c>
      <c r="T2910">
        <f>SUMIF(J:J,Table1[[#This Row],[Season]],F:F)</f>
        <v>58607</v>
      </c>
    </row>
    <row r="2911" spans="1:20" x14ac:dyDescent="0.3">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c r="S2911" t="e">
        <f>INDEX(Q:Q,MATCH(Table1[[#This Row],[Item Purchased]],D:D))</f>
        <v>#N/A</v>
      </c>
      <c r="T2911">
        <f>SUMIF(J:J,Table1[[#This Row],[Season]],F:F)</f>
        <v>58607</v>
      </c>
    </row>
    <row r="2912" spans="1:20" x14ac:dyDescent="0.3">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c r="S2912" t="e">
        <f>INDEX(Q:Q,MATCH(Table1[[#This Row],[Item Purchased]],D:D))</f>
        <v>#N/A</v>
      </c>
      <c r="T2912">
        <f>SUMIF(J:J,Table1[[#This Row],[Season]],F:F)</f>
        <v>55777</v>
      </c>
    </row>
    <row r="2913" spans="1:20" x14ac:dyDescent="0.3">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c r="S2913" t="str">
        <f>INDEX(Q:Q,MATCH(Table1[[#This Row],[Item Purchased]],D:D))</f>
        <v>Venmo</v>
      </c>
      <c r="T2913">
        <f>SUMIF(J:J,Table1[[#This Row],[Season]],F:F)</f>
        <v>60018</v>
      </c>
    </row>
    <row r="2914" spans="1:20" x14ac:dyDescent="0.3">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c r="S2914" t="str">
        <f>INDEX(Q:Q,MATCH(Table1[[#This Row],[Item Purchased]],D:D))</f>
        <v>PayPal</v>
      </c>
      <c r="T2914">
        <f>SUMIF(J:J,Table1[[#This Row],[Season]],F:F)</f>
        <v>58607</v>
      </c>
    </row>
    <row r="2915" spans="1:20" x14ac:dyDescent="0.3">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c r="S2915" t="str">
        <f>INDEX(Q:Q,MATCH(Table1[[#This Row],[Item Purchased]],D:D))</f>
        <v>Debit Card</v>
      </c>
      <c r="T2915">
        <f>SUMIF(J:J,Table1[[#This Row],[Season]],F:F)</f>
        <v>58607</v>
      </c>
    </row>
    <row r="2916" spans="1:20" x14ac:dyDescent="0.3">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c r="S2916" t="str">
        <f>INDEX(Q:Q,MATCH(Table1[[#This Row],[Item Purchased]],D:D))</f>
        <v>Venmo</v>
      </c>
      <c r="T2916">
        <f>SUMIF(J:J,Table1[[#This Row],[Season]],F:F)</f>
        <v>60018</v>
      </c>
    </row>
    <row r="2917" spans="1:20" x14ac:dyDescent="0.3">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c r="S2917" t="str">
        <f>INDEX(Q:Q,MATCH(Table1[[#This Row],[Item Purchased]],D:D))</f>
        <v>Bank Transfer</v>
      </c>
      <c r="T2917">
        <f>SUMIF(J:J,Table1[[#This Row],[Season]],F:F)</f>
        <v>60018</v>
      </c>
    </row>
    <row r="2918" spans="1:20" x14ac:dyDescent="0.3">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c r="S2918" t="str">
        <f>INDEX(Q:Q,MATCH(Table1[[#This Row],[Item Purchased]],D:D))</f>
        <v>PayPal</v>
      </c>
      <c r="T2918">
        <f>SUMIF(J:J,Table1[[#This Row],[Season]],F:F)</f>
        <v>58607</v>
      </c>
    </row>
    <row r="2919" spans="1:20" x14ac:dyDescent="0.3">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c r="S2919" t="str">
        <f>INDEX(Q:Q,MATCH(Table1[[#This Row],[Item Purchased]],D:D))</f>
        <v>Bank Transfer</v>
      </c>
      <c r="T2919">
        <f>SUMIF(J:J,Table1[[#This Row],[Season]],F:F)</f>
        <v>58607</v>
      </c>
    </row>
    <row r="2920" spans="1:20" x14ac:dyDescent="0.3">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c r="S2920" t="str">
        <f>INDEX(Q:Q,MATCH(Table1[[#This Row],[Item Purchased]],D:D))</f>
        <v>Venmo</v>
      </c>
      <c r="T2920">
        <f>SUMIF(J:J,Table1[[#This Row],[Season]],F:F)</f>
        <v>60018</v>
      </c>
    </row>
    <row r="2921" spans="1:20" x14ac:dyDescent="0.3">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c r="S2921" t="str">
        <f>INDEX(Q:Q,MATCH(Table1[[#This Row],[Item Purchased]],D:D))</f>
        <v>PayPal</v>
      </c>
      <c r="T2921">
        <f>SUMIF(J:J,Table1[[#This Row],[Season]],F:F)</f>
        <v>58607</v>
      </c>
    </row>
    <row r="2922" spans="1:20" x14ac:dyDescent="0.3">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c r="S2922" t="str">
        <f>INDEX(Q:Q,MATCH(Table1[[#This Row],[Item Purchased]],D:D))</f>
        <v>Venmo</v>
      </c>
      <c r="T2922">
        <f>SUMIF(J:J,Table1[[#This Row],[Season]],F:F)</f>
        <v>58679</v>
      </c>
    </row>
    <row r="2923" spans="1:20" x14ac:dyDescent="0.3">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c r="S2923" t="str">
        <f>INDEX(Q:Q,MATCH(Table1[[#This Row],[Item Purchased]],D:D))</f>
        <v>Cash</v>
      </c>
      <c r="T2923">
        <f>SUMIF(J:J,Table1[[#This Row],[Season]],F:F)</f>
        <v>60018</v>
      </c>
    </row>
    <row r="2924" spans="1:20" x14ac:dyDescent="0.3">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c r="S2924" t="str">
        <f>INDEX(Q:Q,MATCH(Table1[[#This Row],[Item Purchased]],D:D))</f>
        <v>Venmo</v>
      </c>
      <c r="T2924">
        <f>SUMIF(J:J,Table1[[#This Row],[Season]],F:F)</f>
        <v>58607</v>
      </c>
    </row>
    <row r="2925" spans="1:20" x14ac:dyDescent="0.3">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c r="S2925" t="str">
        <f>INDEX(Q:Q,MATCH(Table1[[#This Row],[Item Purchased]],D:D))</f>
        <v>Bank Transfer</v>
      </c>
      <c r="T2925">
        <f>SUMIF(J:J,Table1[[#This Row],[Season]],F:F)</f>
        <v>58679</v>
      </c>
    </row>
    <row r="2926" spans="1:20" x14ac:dyDescent="0.3">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c r="S2926" t="str">
        <f>INDEX(Q:Q,MATCH(Table1[[#This Row],[Item Purchased]],D:D))</f>
        <v>Bank Transfer</v>
      </c>
      <c r="T2926">
        <f>SUMIF(J:J,Table1[[#This Row],[Season]],F:F)</f>
        <v>58607</v>
      </c>
    </row>
    <row r="2927" spans="1:20" x14ac:dyDescent="0.3">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c r="S2927" t="str">
        <f>INDEX(Q:Q,MATCH(Table1[[#This Row],[Item Purchased]],D:D))</f>
        <v>Venmo</v>
      </c>
      <c r="T2927">
        <f>SUMIF(J:J,Table1[[#This Row],[Season]],F:F)</f>
        <v>58679</v>
      </c>
    </row>
    <row r="2928" spans="1:20" x14ac:dyDescent="0.3">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c r="S2928" t="str">
        <f>INDEX(Q:Q,MATCH(Table1[[#This Row],[Item Purchased]],D:D))</f>
        <v>Cash</v>
      </c>
      <c r="T2928">
        <f>SUMIF(J:J,Table1[[#This Row],[Season]],F:F)</f>
        <v>58607</v>
      </c>
    </row>
    <row r="2929" spans="1:20" x14ac:dyDescent="0.3">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c r="S2929" t="str">
        <f>INDEX(Q:Q,MATCH(Table1[[#This Row],[Item Purchased]],D:D))</f>
        <v>Bank Transfer</v>
      </c>
      <c r="T2929">
        <f>SUMIF(J:J,Table1[[#This Row],[Season]],F:F)</f>
        <v>55777</v>
      </c>
    </row>
    <row r="2930" spans="1:20" x14ac:dyDescent="0.3">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c r="S2930" t="str">
        <f>INDEX(Q:Q,MATCH(Table1[[#This Row],[Item Purchased]],D:D))</f>
        <v>Cash</v>
      </c>
      <c r="T2930">
        <f>SUMIF(J:J,Table1[[#This Row],[Season]],F:F)</f>
        <v>58679</v>
      </c>
    </row>
    <row r="2931" spans="1:20" x14ac:dyDescent="0.3">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c r="S2931" t="str">
        <f>INDEX(Q:Q,MATCH(Table1[[#This Row],[Item Purchased]],D:D))</f>
        <v>Venmo</v>
      </c>
      <c r="T2931">
        <f>SUMIF(J:J,Table1[[#This Row],[Season]],F:F)</f>
        <v>58607</v>
      </c>
    </row>
    <row r="2932" spans="1:20" x14ac:dyDescent="0.3">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c r="S2932" t="str">
        <f>INDEX(Q:Q,MATCH(Table1[[#This Row],[Item Purchased]],D:D))</f>
        <v>Venmo</v>
      </c>
      <c r="T2932">
        <f>SUMIF(J:J,Table1[[#This Row],[Season]],F:F)</f>
        <v>58679</v>
      </c>
    </row>
    <row r="2933" spans="1:20" x14ac:dyDescent="0.3">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c r="S2933" t="str">
        <f>INDEX(Q:Q,MATCH(Table1[[#This Row],[Item Purchased]],D:D))</f>
        <v>Cash</v>
      </c>
      <c r="T2933">
        <f>SUMIF(J:J,Table1[[#This Row],[Season]],F:F)</f>
        <v>60018</v>
      </c>
    </row>
    <row r="2934" spans="1:20" x14ac:dyDescent="0.3">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c r="S2934" t="e">
        <f>INDEX(Q:Q,MATCH(Table1[[#This Row],[Item Purchased]],D:D))</f>
        <v>#N/A</v>
      </c>
      <c r="T2934">
        <f>SUMIF(J:J,Table1[[#This Row],[Season]],F:F)</f>
        <v>58679</v>
      </c>
    </row>
    <row r="2935" spans="1:20" x14ac:dyDescent="0.3">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c r="S2935" t="str">
        <f>INDEX(Q:Q,MATCH(Table1[[#This Row],[Item Purchased]],D:D))</f>
        <v>Venmo</v>
      </c>
      <c r="T2935">
        <f>SUMIF(J:J,Table1[[#This Row],[Season]],F:F)</f>
        <v>55777</v>
      </c>
    </row>
    <row r="2936" spans="1:20" x14ac:dyDescent="0.3">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c r="S2936" t="str">
        <f>INDEX(Q:Q,MATCH(Table1[[#This Row],[Item Purchased]],D:D))</f>
        <v>Debit Card</v>
      </c>
      <c r="T2936">
        <f>SUMIF(J:J,Table1[[#This Row],[Season]],F:F)</f>
        <v>60018</v>
      </c>
    </row>
    <row r="2937" spans="1:20" x14ac:dyDescent="0.3">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c r="S2937" t="str">
        <f>INDEX(Q:Q,MATCH(Table1[[#This Row],[Item Purchased]],D:D))</f>
        <v>Venmo</v>
      </c>
      <c r="T2937">
        <f>SUMIF(J:J,Table1[[#This Row],[Season]],F:F)</f>
        <v>58679</v>
      </c>
    </row>
    <row r="2938" spans="1:20" x14ac:dyDescent="0.3">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c r="S2938" t="str">
        <f>INDEX(Q:Q,MATCH(Table1[[#This Row],[Item Purchased]],D:D))</f>
        <v>Credit Card</v>
      </c>
      <c r="T2938">
        <f>SUMIF(J:J,Table1[[#This Row],[Season]],F:F)</f>
        <v>58679</v>
      </c>
    </row>
    <row r="2939" spans="1:20" x14ac:dyDescent="0.3">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c r="S2939" t="str">
        <f>INDEX(Q:Q,MATCH(Table1[[#This Row],[Item Purchased]],D:D))</f>
        <v>Cash</v>
      </c>
      <c r="T2939">
        <f>SUMIF(J:J,Table1[[#This Row],[Season]],F:F)</f>
        <v>58679</v>
      </c>
    </row>
    <row r="2940" spans="1:20" x14ac:dyDescent="0.3">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c r="S2940" t="str">
        <f>INDEX(Q:Q,MATCH(Table1[[#This Row],[Item Purchased]],D:D))</f>
        <v>Venmo</v>
      </c>
      <c r="T2940">
        <f>SUMIF(J:J,Table1[[#This Row],[Season]],F:F)</f>
        <v>60018</v>
      </c>
    </row>
    <row r="2941" spans="1:20" x14ac:dyDescent="0.3">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c r="S2941" t="str">
        <f>INDEX(Q:Q,MATCH(Table1[[#This Row],[Item Purchased]],D:D))</f>
        <v>Venmo</v>
      </c>
      <c r="T2941">
        <f>SUMIF(J:J,Table1[[#This Row],[Season]],F:F)</f>
        <v>58607</v>
      </c>
    </row>
    <row r="2942" spans="1:20" x14ac:dyDescent="0.3">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c r="S2942" t="str">
        <f>INDEX(Q:Q,MATCH(Table1[[#This Row],[Item Purchased]],D:D))</f>
        <v>Cash</v>
      </c>
      <c r="T2942">
        <f>SUMIF(J:J,Table1[[#This Row],[Season]],F:F)</f>
        <v>55777</v>
      </c>
    </row>
    <row r="2943" spans="1:20" x14ac:dyDescent="0.3">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c r="S2943" t="str">
        <f>INDEX(Q:Q,MATCH(Table1[[#This Row],[Item Purchased]],D:D))</f>
        <v>Credit Card</v>
      </c>
      <c r="T2943">
        <f>SUMIF(J:J,Table1[[#This Row],[Season]],F:F)</f>
        <v>58679</v>
      </c>
    </row>
    <row r="2944" spans="1:20" x14ac:dyDescent="0.3">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c r="S2944" t="str">
        <f>INDEX(Q:Q,MATCH(Table1[[#This Row],[Item Purchased]],D:D))</f>
        <v>Venmo</v>
      </c>
      <c r="T2944">
        <f>SUMIF(J:J,Table1[[#This Row],[Season]],F:F)</f>
        <v>55777</v>
      </c>
    </row>
    <row r="2945" spans="1:20" x14ac:dyDescent="0.3">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c r="S2945" t="str">
        <f>INDEX(Q:Q,MATCH(Table1[[#This Row],[Item Purchased]],D:D))</f>
        <v>Bank Transfer</v>
      </c>
      <c r="T2945">
        <f>SUMIF(J:J,Table1[[#This Row],[Season]],F:F)</f>
        <v>58679</v>
      </c>
    </row>
    <row r="2946" spans="1:20" x14ac:dyDescent="0.3">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c r="S2946" t="str">
        <f>INDEX(Q:Q,MATCH(Table1[[#This Row],[Item Purchased]],D:D))</f>
        <v>Venmo</v>
      </c>
      <c r="T2946">
        <f>SUMIF(J:J,Table1[[#This Row],[Season]],F:F)</f>
        <v>55777</v>
      </c>
    </row>
    <row r="2947" spans="1:20" x14ac:dyDescent="0.3">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c r="S2947" t="e">
        <f>INDEX(Q:Q,MATCH(Table1[[#This Row],[Item Purchased]],D:D))</f>
        <v>#N/A</v>
      </c>
      <c r="T2947">
        <f>SUMIF(J:J,Table1[[#This Row],[Season]],F:F)</f>
        <v>55777</v>
      </c>
    </row>
    <row r="2948" spans="1:20" x14ac:dyDescent="0.3">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c r="S2948" t="str">
        <f>INDEX(Q:Q,MATCH(Table1[[#This Row],[Item Purchased]],D:D))</f>
        <v>Cash</v>
      </c>
      <c r="T2948">
        <f>SUMIF(J:J,Table1[[#This Row],[Season]],F:F)</f>
        <v>58679</v>
      </c>
    </row>
    <row r="2949" spans="1:20" x14ac:dyDescent="0.3">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c r="S2949" t="str">
        <f>INDEX(Q:Q,MATCH(Table1[[#This Row],[Item Purchased]],D:D))</f>
        <v>Cash</v>
      </c>
      <c r="T2949">
        <f>SUMIF(J:J,Table1[[#This Row],[Season]],F:F)</f>
        <v>58679</v>
      </c>
    </row>
    <row r="2950" spans="1:20" x14ac:dyDescent="0.3">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c r="S2950" t="str">
        <f>INDEX(Q:Q,MATCH(Table1[[#This Row],[Item Purchased]],D:D))</f>
        <v>Cash</v>
      </c>
      <c r="T2950">
        <f>SUMIF(J:J,Table1[[#This Row],[Season]],F:F)</f>
        <v>58607</v>
      </c>
    </row>
    <row r="2951" spans="1:20" x14ac:dyDescent="0.3">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c r="S2951" t="str">
        <f>INDEX(Q:Q,MATCH(Table1[[#This Row],[Item Purchased]],D:D))</f>
        <v>Cash</v>
      </c>
      <c r="T2951">
        <f>SUMIF(J:J,Table1[[#This Row],[Season]],F:F)</f>
        <v>58679</v>
      </c>
    </row>
    <row r="2952" spans="1:20" x14ac:dyDescent="0.3">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c r="S2952" t="str">
        <f>INDEX(Q:Q,MATCH(Table1[[#This Row],[Item Purchased]],D:D))</f>
        <v>Cash</v>
      </c>
      <c r="T2952">
        <f>SUMIF(J:J,Table1[[#This Row],[Season]],F:F)</f>
        <v>58607</v>
      </c>
    </row>
    <row r="2953" spans="1:20" x14ac:dyDescent="0.3">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c r="S2953" t="str">
        <f>INDEX(Q:Q,MATCH(Table1[[#This Row],[Item Purchased]],D:D))</f>
        <v>Bank Transfer</v>
      </c>
      <c r="T2953">
        <f>SUMIF(J:J,Table1[[#This Row],[Season]],F:F)</f>
        <v>60018</v>
      </c>
    </row>
    <row r="2954" spans="1:20" x14ac:dyDescent="0.3">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c r="S2954" t="e">
        <f>INDEX(Q:Q,MATCH(Table1[[#This Row],[Item Purchased]],D:D))</f>
        <v>#N/A</v>
      </c>
      <c r="T2954">
        <f>SUMIF(J:J,Table1[[#This Row],[Season]],F:F)</f>
        <v>58679</v>
      </c>
    </row>
    <row r="2955" spans="1:20" x14ac:dyDescent="0.3">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c r="S2955" t="str">
        <f>INDEX(Q:Q,MATCH(Table1[[#This Row],[Item Purchased]],D:D))</f>
        <v>Debit Card</v>
      </c>
      <c r="T2955">
        <f>SUMIF(J:J,Table1[[#This Row],[Season]],F:F)</f>
        <v>55777</v>
      </c>
    </row>
    <row r="2956" spans="1:20" x14ac:dyDescent="0.3">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c r="S2956" t="str">
        <f>INDEX(Q:Q,MATCH(Table1[[#This Row],[Item Purchased]],D:D))</f>
        <v>Venmo</v>
      </c>
      <c r="T2956">
        <f>SUMIF(J:J,Table1[[#This Row],[Season]],F:F)</f>
        <v>58607</v>
      </c>
    </row>
    <row r="2957" spans="1:20" x14ac:dyDescent="0.3">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c r="S2957" t="str">
        <f>INDEX(Q:Q,MATCH(Table1[[#This Row],[Item Purchased]],D:D))</f>
        <v>Venmo</v>
      </c>
      <c r="T2957">
        <f>SUMIF(J:J,Table1[[#This Row],[Season]],F:F)</f>
        <v>58607</v>
      </c>
    </row>
    <row r="2958" spans="1:20" x14ac:dyDescent="0.3">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c r="S2958" t="str">
        <f>INDEX(Q:Q,MATCH(Table1[[#This Row],[Item Purchased]],D:D))</f>
        <v>Debit Card</v>
      </c>
      <c r="T2958">
        <f>SUMIF(J:J,Table1[[#This Row],[Season]],F:F)</f>
        <v>60018</v>
      </c>
    </row>
    <row r="2959" spans="1:20" x14ac:dyDescent="0.3">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c r="S2959" t="str">
        <f>INDEX(Q:Q,MATCH(Table1[[#This Row],[Item Purchased]],D:D))</f>
        <v>Cash</v>
      </c>
      <c r="T2959">
        <f>SUMIF(J:J,Table1[[#This Row],[Season]],F:F)</f>
        <v>60018</v>
      </c>
    </row>
    <row r="2960" spans="1:20" x14ac:dyDescent="0.3">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c r="S2960" t="str">
        <f>INDEX(Q:Q,MATCH(Table1[[#This Row],[Item Purchased]],D:D))</f>
        <v>Credit Card</v>
      </c>
      <c r="T2960">
        <f>SUMIF(J:J,Table1[[#This Row],[Season]],F:F)</f>
        <v>55777</v>
      </c>
    </row>
    <row r="2961" spans="1:20" x14ac:dyDescent="0.3">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c r="S2961" t="str">
        <f>INDEX(Q:Q,MATCH(Table1[[#This Row],[Item Purchased]],D:D))</f>
        <v>Cash</v>
      </c>
      <c r="T2961">
        <f>SUMIF(J:J,Table1[[#This Row],[Season]],F:F)</f>
        <v>55777</v>
      </c>
    </row>
    <row r="2962" spans="1:20" x14ac:dyDescent="0.3">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c r="S2962" t="str">
        <f>INDEX(Q:Q,MATCH(Table1[[#This Row],[Item Purchased]],D:D))</f>
        <v>Debit Card</v>
      </c>
      <c r="T2962">
        <f>SUMIF(J:J,Table1[[#This Row],[Season]],F:F)</f>
        <v>58679</v>
      </c>
    </row>
    <row r="2963" spans="1:20" x14ac:dyDescent="0.3">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c r="S2963" t="str">
        <f>INDEX(Q:Q,MATCH(Table1[[#This Row],[Item Purchased]],D:D))</f>
        <v>Venmo</v>
      </c>
      <c r="T2963">
        <f>SUMIF(J:J,Table1[[#This Row],[Season]],F:F)</f>
        <v>60018</v>
      </c>
    </row>
    <row r="2964" spans="1:20" x14ac:dyDescent="0.3">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c r="S2964" t="str">
        <f>INDEX(Q:Q,MATCH(Table1[[#This Row],[Item Purchased]],D:D))</f>
        <v>Cash</v>
      </c>
      <c r="T2964">
        <f>SUMIF(J:J,Table1[[#This Row],[Season]],F:F)</f>
        <v>60018</v>
      </c>
    </row>
    <row r="2965" spans="1:20" x14ac:dyDescent="0.3">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c r="S2965" t="str">
        <f>INDEX(Q:Q,MATCH(Table1[[#This Row],[Item Purchased]],D:D))</f>
        <v>Venmo</v>
      </c>
      <c r="T2965">
        <f>SUMIF(J:J,Table1[[#This Row],[Season]],F:F)</f>
        <v>58679</v>
      </c>
    </row>
    <row r="2966" spans="1:20" x14ac:dyDescent="0.3">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c r="S2966" t="str">
        <f>INDEX(Q:Q,MATCH(Table1[[#This Row],[Item Purchased]],D:D))</f>
        <v>Debit Card</v>
      </c>
      <c r="T2966">
        <f>SUMIF(J:J,Table1[[#This Row],[Season]],F:F)</f>
        <v>60018</v>
      </c>
    </row>
    <row r="2967" spans="1:20" x14ac:dyDescent="0.3">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c r="S2967" t="str">
        <f>INDEX(Q:Q,MATCH(Table1[[#This Row],[Item Purchased]],D:D))</f>
        <v>Bank Transfer</v>
      </c>
      <c r="T2967">
        <f>SUMIF(J:J,Table1[[#This Row],[Season]],F:F)</f>
        <v>55777</v>
      </c>
    </row>
    <row r="2968" spans="1:20" x14ac:dyDescent="0.3">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c r="S2968" t="str">
        <f>INDEX(Q:Q,MATCH(Table1[[#This Row],[Item Purchased]],D:D))</f>
        <v>Venmo</v>
      </c>
      <c r="T2968">
        <f>SUMIF(J:J,Table1[[#This Row],[Season]],F:F)</f>
        <v>60018</v>
      </c>
    </row>
    <row r="2969" spans="1:20" x14ac:dyDescent="0.3">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c r="S2969" t="str">
        <f>INDEX(Q:Q,MATCH(Table1[[#This Row],[Item Purchased]],D:D))</f>
        <v>Venmo</v>
      </c>
      <c r="T2969">
        <f>SUMIF(J:J,Table1[[#This Row],[Season]],F:F)</f>
        <v>55777</v>
      </c>
    </row>
    <row r="2970" spans="1:20" x14ac:dyDescent="0.3">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c r="S2970" t="str">
        <f>INDEX(Q:Q,MATCH(Table1[[#This Row],[Item Purchased]],D:D))</f>
        <v>Venmo</v>
      </c>
      <c r="T2970">
        <f>SUMIF(J:J,Table1[[#This Row],[Season]],F:F)</f>
        <v>60018</v>
      </c>
    </row>
    <row r="2971" spans="1:20" x14ac:dyDescent="0.3">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c r="S2971" t="e">
        <f>INDEX(Q:Q,MATCH(Table1[[#This Row],[Item Purchased]],D:D))</f>
        <v>#N/A</v>
      </c>
      <c r="T2971">
        <f>SUMIF(J:J,Table1[[#This Row],[Season]],F:F)</f>
        <v>60018</v>
      </c>
    </row>
    <row r="2972" spans="1:20" x14ac:dyDescent="0.3">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c r="S2972" t="str">
        <f>INDEX(Q:Q,MATCH(Table1[[#This Row],[Item Purchased]],D:D))</f>
        <v>Cash</v>
      </c>
      <c r="T2972">
        <f>SUMIF(J:J,Table1[[#This Row],[Season]],F:F)</f>
        <v>58607</v>
      </c>
    </row>
    <row r="2973" spans="1:20" x14ac:dyDescent="0.3">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c r="S2973" t="str">
        <f>INDEX(Q:Q,MATCH(Table1[[#This Row],[Item Purchased]],D:D))</f>
        <v>Cash</v>
      </c>
      <c r="T2973">
        <f>SUMIF(J:J,Table1[[#This Row],[Season]],F:F)</f>
        <v>60018</v>
      </c>
    </row>
    <row r="2974" spans="1:20" x14ac:dyDescent="0.3">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c r="S2974" t="str">
        <f>INDEX(Q:Q,MATCH(Table1[[#This Row],[Item Purchased]],D:D))</f>
        <v>Debit Card</v>
      </c>
      <c r="T2974">
        <f>SUMIF(J:J,Table1[[#This Row],[Season]],F:F)</f>
        <v>60018</v>
      </c>
    </row>
    <row r="2975" spans="1:20" x14ac:dyDescent="0.3">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c r="S2975" t="str">
        <f>INDEX(Q:Q,MATCH(Table1[[#This Row],[Item Purchased]],D:D))</f>
        <v>Venmo</v>
      </c>
      <c r="T2975">
        <f>SUMIF(J:J,Table1[[#This Row],[Season]],F:F)</f>
        <v>55777</v>
      </c>
    </row>
    <row r="2976" spans="1:20" x14ac:dyDescent="0.3">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c r="S2976" t="str">
        <f>INDEX(Q:Q,MATCH(Table1[[#This Row],[Item Purchased]],D:D))</f>
        <v>Venmo</v>
      </c>
      <c r="T2976">
        <f>SUMIF(J:J,Table1[[#This Row],[Season]],F:F)</f>
        <v>55777</v>
      </c>
    </row>
    <row r="2977" spans="1:20" x14ac:dyDescent="0.3">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c r="S2977" t="str">
        <f>INDEX(Q:Q,MATCH(Table1[[#This Row],[Item Purchased]],D:D))</f>
        <v>Bank Transfer</v>
      </c>
      <c r="T2977">
        <f>SUMIF(J:J,Table1[[#This Row],[Season]],F:F)</f>
        <v>58607</v>
      </c>
    </row>
    <row r="2978" spans="1:20" x14ac:dyDescent="0.3">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c r="S2978" t="str">
        <f>INDEX(Q:Q,MATCH(Table1[[#This Row],[Item Purchased]],D:D))</f>
        <v>Debit Card</v>
      </c>
      <c r="T2978">
        <f>SUMIF(J:J,Table1[[#This Row],[Season]],F:F)</f>
        <v>55777</v>
      </c>
    </row>
    <row r="2979" spans="1:20" x14ac:dyDescent="0.3">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c r="S2979" t="str">
        <f>INDEX(Q:Q,MATCH(Table1[[#This Row],[Item Purchased]],D:D))</f>
        <v>PayPal</v>
      </c>
      <c r="T2979">
        <f>SUMIF(J:J,Table1[[#This Row],[Season]],F:F)</f>
        <v>58607</v>
      </c>
    </row>
    <row r="2980" spans="1:20" x14ac:dyDescent="0.3">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c r="S2980" t="str">
        <f>INDEX(Q:Q,MATCH(Table1[[#This Row],[Item Purchased]],D:D))</f>
        <v>PayPal</v>
      </c>
      <c r="T2980">
        <f>SUMIF(J:J,Table1[[#This Row],[Season]],F:F)</f>
        <v>58679</v>
      </c>
    </row>
    <row r="2981" spans="1:20" x14ac:dyDescent="0.3">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c r="S2981" t="str">
        <f>INDEX(Q:Q,MATCH(Table1[[#This Row],[Item Purchased]],D:D))</f>
        <v>Cash</v>
      </c>
      <c r="T2981">
        <f>SUMIF(J:J,Table1[[#This Row],[Season]],F:F)</f>
        <v>60018</v>
      </c>
    </row>
    <row r="2982" spans="1:20" x14ac:dyDescent="0.3">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c r="S2982" t="str">
        <f>INDEX(Q:Q,MATCH(Table1[[#This Row],[Item Purchased]],D:D))</f>
        <v>Debit Card</v>
      </c>
      <c r="T2982">
        <f>SUMIF(J:J,Table1[[#This Row],[Season]],F:F)</f>
        <v>60018</v>
      </c>
    </row>
    <row r="2983" spans="1:20" x14ac:dyDescent="0.3">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c r="S2983" t="str">
        <f>INDEX(Q:Q,MATCH(Table1[[#This Row],[Item Purchased]],D:D))</f>
        <v>Cash</v>
      </c>
      <c r="T2983">
        <f>SUMIF(J:J,Table1[[#This Row],[Season]],F:F)</f>
        <v>58607</v>
      </c>
    </row>
    <row r="2984" spans="1:20" x14ac:dyDescent="0.3">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c r="S2984" t="str">
        <f>INDEX(Q:Q,MATCH(Table1[[#This Row],[Item Purchased]],D:D))</f>
        <v>Debit Card</v>
      </c>
      <c r="T2984">
        <f>SUMIF(J:J,Table1[[#This Row],[Season]],F:F)</f>
        <v>55777</v>
      </c>
    </row>
    <row r="2985" spans="1:20" x14ac:dyDescent="0.3">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c r="S2985" t="str">
        <f>INDEX(Q:Q,MATCH(Table1[[#This Row],[Item Purchased]],D:D))</f>
        <v>Cash</v>
      </c>
      <c r="T2985">
        <f>SUMIF(J:J,Table1[[#This Row],[Season]],F:F)</f>
        <v>58607</v>
      </c>
    </row>
    <row r="2986" spans="1:20" x14ac:dyDescent="0.3">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c r="S2986" t="str">
        <f>INDEX(Q:Q,MATCH(Table1[[#This Row],[Item Purchased]],D:D))</f>
        <v>Debit Card</v>
      </c>
      <c r="T2986">
        <f>SUMIF(J:J,Table1[[#This Row],[Season]],F:F)</f>
        <v>58679</v>
      </c>
    </row>
    <row r="2987" spans="1:20" x14ac:dyDescent="0.3">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c r="S2987" t="e">
        <f>INDEX(Q:Q,MATCH(Table1[[#This Row],[Item Purchased]],D:D))</f>
        <v>#N/A</v>
      </c>
      <c r="T2987">
        <f>SUMIF(J:J,Table1[[#This Row],[Season]],F:F)</f>
        <v>55777</v>
      </c>
    </row>
    <row r="2988" spans="1:20" x14ac:dyDescent="0.3">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c r="S2988" t="e">
        <f>INDEX(Q:Q,MATCH(Table1[[#This Row],[Item Purchased]],D:D))</f>
        <v>#N/A</v>
      </c>
      <c r="T2988">
        <f>SUMIF(J:J,Table1[[#This Row],[Season]],F:F)</f>
        <v>55777</v>
      </c>
    </row>
    <row r="2989" spans="1:20" x14ac:dyDescent="0.3">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c r="S2989" t="str">
        <f>INDEX(Q:Q,MATCH(Table1[[#This Row],[Item Purchased]],D:D))</f>
        <v>Credit Card</v>
      </c>
      <c r="T2989">
        <f>SUMIF(J:J,Table1[[#This Row],[Season]],F:F)</f>
        <v>58607</v>
      </c>
    </row>
    <row r="2990" spans="1:20" x14ac:dyDescent="0.3">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c r="S2990" t="str">
        <f>INDEX(Q:Q,MATCH(Table1[[#This Row],[Item Purchased]],D:D))</f>
        <v>Venmo</v>
      </c>
      <c r="T2990">
        <f>SUMIF(J:J,Table1[[#This Row],[Season]],F:F)</f>
        <v>58679</v>
      </c>
    </row>
    <row r="2991" spans="1:20" x14ac:dyDescent="0.3">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c r="S2991" t="e">
        <f>INDEX(Q:Q,MATCH(Table1[[#This Row],[Item Purchased]],D:D))</f>
        <v>#N/A</v>
      </c>
      <c r="T2991">
        <f>SUMIF(J:J,Table1[[#This Row],[Season]],F:F)</f>
        <v>55777</v>
      </c>
    </row>
    <row r="2992" spans="1:20" x14ac:dyDescent="0.3">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c r="S2992" t="str">
        <f>INDEX(Q:Q,MATCH(Table1[[#This Row],[Item Purchased]],D:D))</f>
        <v>Bank Transfer</v>
      </c>
      <c r="T2992">
        <f>SUMIF(J:J,Table1[[#This Row],[Season]],F:F)</f>
        <v>60018</v>
      </c>
    </row>
    <row r="2993" spans="1:20" x14ac:dyDescent="0.3">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c r="S2993" t="str">
        <f>INDEX(Q:Q,MATCH(Table1[[#This Row],[Item Purchased]],D:D))</f>
        <v>Debit Card</v>
      </c>
      <c r="T2993">
        <f>SUMIF(J:J,Table1[[#This Row],[Season]],F:F)</f>
        <v>55777</v>
      </c>
    </row>
    <row r="2994" spans="1:20" x14ac:dyDescent="0.3">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c r="S2994" t="str">
        <f>INDEX(Q:Q,MATCH(Table1[[#This Row],[Item Purchased]],D:D))</f>
        <v>Venmo</v>
      </c>
      <c r="T2994">
        <f>SUMIF(J:J,Table1[[#This Row],[Season]],F:F)</f>
        <v>58679</v>
      </c>
    </row>
    <row r="2995" spans="1:20" x14ac:dyDescent="0.3">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c r="S2995" t="str">
        <f>INDEX(Q:Q,MATCH(Table1[[#This Row],[Item Purchased]],D:D))</f>
        <v>Debit Card</v>
      </c>
      <c r="T2995">
        <f>SUMIF(J:J,Table1[[#This Row],[Season]],F:F)</f>
        <v>58679</v>
      </c>
    </row>
    <row r="2996" spans="1:20" x14ac:dyDescent="0.3">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c r="S2996" t="str">
        <f>INDEX(Q:Q,MATCH(Table1[[#This Row],[Item Purchased]],D:D))</f>
        <v>Venmo</v>
      </c>
      <c r="T2996">
        <f>SUMIF(J:J,Table1[[#This Row],[Season]],F:F)</f>
        <v>58607</v>
      </c>
    </row>
    <row r="2997" spans="1:20" x14ac:dyDescent="0.3">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c r="S2997" t="str">
        <f>INDEX(Q:Q,MATCH(Table1[[#This Row],[Item Purchased]],D:D))</f>
        <v>Cash</v>
      </c>
      <c r="T2997">
        <f>SUMIF(J:J,Table1[[#This Row],[Season]],F:F)</f>
        <v>55777</v>
      </c>
    </row>
    <row r="2998" spans="1:20" x14ac:dyDescent="0.3">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c r="S2998" t="str">
        <f>INDEX(Q:Q,MATCH(Table1[[#This Row],[Item Purchased]],D:D))</f>
        <v>Cash</v>
      </c>
      <c r="T2998">
        <f>SUMIF(J:J,Table1[[#This Row],[Season]],F:F)</f>
        <v>58679</v>
      </c>
    </row>
    <row r="2999" spans="1:20" x14ac:dyDescent="0.3">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c r="S2999" t="str">
        <f>INDEX(Q:Q,MATCH(Table1[[#This Row],[Item Purchased]],D:D))</f>
        <v>Venmo</v>
      </c>
      <c r="T2999">
        <f>SUMIF(J:J,Table1[[#This Row],[Season]],F:F)</f>
        <v>58679</v>
      </c>
    </row>
    <row r="3000" spans="1:20" x14ac:dyDescent="0.3">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c r="S3000" t="str">
        <f>INDEX(Q:Q,MATCH(Table1[[#This Row],[Item Purchased]],D:D))</f>
        <v>Venmo</v>
      </c>
      <c r="T3000">
        <f>SUMIF(J:J,Table1[[#This Row],[Season]],F:F)</f>
        <v>55777</v>
      </c>
    </row>
    <row r="3001" spans="1:20" x14ac:dyDescent="0.3">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c r="S3001" t="str">
        <f>INDEX(Q:Q,MATCH(Table1[[#This Row],[Item Purchased]],D:D))</f>
        <v>Venmo</v>
      </c>
      <c r="T3001">
        <f>SUMIF(J:J,Table1[[#This Row],[Season]],F:F)</f>
        <v>58607</v>
      </c>
    </row>
    <row r="3002" spans="1:20" x14ac:dyDescent="0.3">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c r="S3002" t="str">
        <f>INDEX(Q:Q,MATCH(Table1[[#This Row],[Item Purchased]],D:D))</f>
        <v>Bank Transfer</v>
      </c>
      <c r="T3002">
        <f>SUMIF(J:J,Table1[[#This Row],[Season]],F:F)</f>
        <v>58607</v>
      </c>
    </row>
    <row r="3003" spans="1:20" x14ac:dyDescent="0.3">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c r="S3003" t="str">
        <f>INDEX(Q:Q,MATCH(Table1[[#This Row],[Item Purchased]],D:D))</f>
        <v>Debit Card</v>
      </c>
      <c r="T3003">
        <f>SUMIF(J:J,Table1[[#This Row],[Season]],F:F)</f>
        <v>55777</v>
      </c>
    </row>
    <row r="3004" spans="1:20" x14ac:dyDescent="0.3">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c r="S3004" t="e">
        <f>INDEX(Q:Q,MATCH(Table1[[#This Row],[Item Purchased]],D:D))</f>
        <v>#N/A</v>
      </c>
      <c r="T3004">
        <f>SUMIF(J:J,Table1[[#This Row],[Season]],F:F)</f>
        <v>60018</v>
      </c>
    </row>
    <row r="3005" spans="1:20" x14ac:dyDescent="0.3">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c r="S3005" t="str">
        <f>INDEX(Q:Q,MATCH(Table1[[#This Row],[Item Purchased]],D:D))</f>
        <v>Venmo</v>
      </c>
      <c r="T3005">
        <f>SUMIF(J:J,Table1[[#This Row],[Season]],F:F)</f>
        <v>60018</v>
      </c>
    </row>
    <row r="3006" spans="1:20" x14ac:dyDescent="0.3">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c r="S3006" t="str">
        <f>INDEX(Q:Q,MATCH(Table1[[#This Row],[Item Purchased]],D:D))</f>
        <v>Credit Card</v>
      </c>
      <c r="T3006">
        <f>SUMIF(J:J,Table1[[#This Row],[Season]],F:F)</f>
        <v>58607</v>
      </c>
    </row>
    <row r="3007" spans="1:20" x14ac:dyDescent="0.3">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c r="S3007" t="str">
        <f>INDEX(Q:Q,MATCH(Table1[[#This Row],[Item Purchased]],D:D))</f>
        <v>PayPal</v>
      </c>
      <c r="T3007">
        <f>SUMIF(J:J,Table1[[#This Row],[Season]],F:F)</f>
        <v>58679</v>
      </c>
    </row>
    <row r="3008" spans="1:20" x14ac:dyDescent="0.3">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c r="S3008" t="str">
        <f>INDEX(Q:Q,MATCH(Table1[[#This Row],[Item Purchased]],D:D))</f>
        <v>Debit Card</v>
      </c>
      <c r="T3008">
        <f>SUMIF(J:J,Table1[[#This Row],[Season]],F:F)</f>
        <v>55777</v>
      </c>
    </row>
    <row r="3009" spans="1:20" x14ac:dyDescent="0.3">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c r="S3009" t="str">
        <f>INDEX(Q:Q,MATCH(Table1[[#This Row],[Item Purchased]],D:D))</f>
        <v>Venmo</v>
      </c>
      <c r="T3009">
        <f>SUMIF(J:J,Table1[[#This Row],[Season]],F:F)</f>
        <v>58607</v>
      </c>
    </row>
    <row r="3010" spans="1:20" x14ac:dyDescent="0.3">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c r="S3010" t="str">
        <f>INDEX(Q:Q,MATCH(Table1[[#This Row],[Item Purchased]],D:D))</f>
        <v>PayPal</v>
      </c>
      <c r="T3010">
        <f>SUMIF(J:J,Table1[[#This Row],[Season]],F:F)</f>
        <v>58607</v>
      </c>
    </row>
    <row r="3011" spans="1:20" x14ac:dyDescent="0.3">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c r="S3011" t="e">
        <f>INDEX(Q:Q,MATCH(Table1[[#This Row],[Item Purchased]],D:D))</f>
        <v>#N/A</v>
      </c>
      <c r="T3011">
        <f>SUMIF(J:J,Table1[[#This Row],[Season]],F:F)</f>
        <v>58607</v>
      </c>
    </row>
    <row r="3012" spans="1:20" x14ac:dyDescent="0.3">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c r="S3012" t="e">
        <f>INDEX(Q:Q,MATCH(Table1[[#This Row],[Item Purchased]],D:D))</f>
        <v>#N/A</v>
      </c>
      <c r="T3012">
        <f>SUMIF(J:J,Table1[[#This Row],[Season]],F:F)</f>
        <v>58607</v>
      </c>
    </row>
    <row r="3013" spans="1:20" x14ac:dyDescent="0.3">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c r="S3013" t="e">
        <f>INDEX(Q:Q,MATCH(Table1[[#This Row],[Item Purchased]],D:D))</f>
        <v>#N/A</v>
      </c>
      <c r="T3013">
        <f>SUMIF(J:J,Table1[[#This Row],[Season]],F:F)</f>
        <v>55777</v>
      </c>
    </row>
    <row r="3014" spans="1:20" x14ac:dyDescent="0.3">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c r="S3014" t="e">
        <f>INDEX(Q:Q,MATCH(Table1[[#This Row],[Item Purchased]],D:D))</f>
        <v>#N/A</v>
      </c>
      <c r="T3014">
        <f>SUMIF(J:J,Table1[[#This Row],[Season]],F:F)</f>
        <v>60018</v>
      </c>
    </row>
    <row r="3015" spans="1:20" x14ac:dyDescent="0.3">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c r="S3015" t="str">
        <f>INDEX(Q:Q,MATCH(Table1[[#This Row],[Item Purchased]],D:D))</f>
        <v>Credit Card</v>
      </c>
      <c r="T3015">
        <f>SUMIF(J:J,Table1[[#This Row],[Season]],F:F)</f>
        <v>55777</v>
      </c>
    </row>
    <row r="3016" spans="1:20" x14ac:dyDescent="0.3">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c r="S3016" t="str">
        <f>INDEX(Q:Q,MATCH(Table1[[#This Row],[Item Purchased]],D:D))</f>
        <v>Venmo</v>
      </c>
      <c r="T3016">
        <f>SUMIF(J:J,Table1[[#This Row],[Season]],F:F)</f>
        <v>58679</v>
      </c>
    </row>
    <row r="3017" spans="1:20" x14ac:dyDescent="0.3">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c r="S3017" t="str">
        <f>INDEX(Q:Q,MATCH(Table1[[#This Row],[Item Purchased]],D:D))</f>
        <v>Bank Transfer</v>
      </c>
      <c r="T3017">
        <f>SUMIF(J:J,Table1[[#This Row],[Season]],F:F)</f>
        <v>58679</v>
      </c>
    </row>
    <row r="3018" spans="1:20" x14ac:dyDescent="0.3">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c r="S3018" t="str">
        <f>INDEX(Q:Q,MATCH(Table1[[#This Row],[Item Purchased]],D:D))</f>
        <v>Venmo</v>
      </c>
      <c r="T3018">
        <f>SUMIF(J:J,Table1[[#This Row],[Season]],F:F)</f>
        <v>55777</v>
      </c>
    </row>
    <row r="3019" spans="1:20" x14ac:dyDescent="0.3">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c r="S3019" t="str">
        <f>INDEX(Q:Q,MATCH(Table1[[#This Row],[Item Purchased]],D:D))</f>
        <v>Venmo</v>
      </c>
      <c r="T3019">
        <f>SUMIF(J:J,Table1[[#This Row],[Season]],F:F)</f>
        <v>55777</v>
      </c>
    </row>
    <row r="3020" spans="1:20" x14ac:dyDescent="0.3">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c r="S3020" t="str">
        <f>INDEX(Q:Q,MATCH(Table1[[#This Row],[Item Purchased]],D:D))</f>
        <v>Venmo</v>
      </c>
      <c r="T3020">
        <f>SUMIF(J:J,Table1[[#This Row],[Season]],F:F)</f>
        <v>55777</v>
      </c>
    </row>
    <row r="3021" spans="1:20" x14ac:dyDescent="0.3">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c r="S3021" t="str">
        <f>INDEX(Q:Q,MATCH(Table1[[#This Row],[Item Purchased]],D:D))</f>
        <v>Debit Card</v>
      </c>
      <c r="T3021">
        <f>SUMIF(J:J,Table1[[#This Row],[Season]],F:F)</f>
        <v>58607</v>
      </c>
    </row>
    <row r="3022" spans="1:20" x14ac:dyDescent="0.3">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c r="S3022" t="str">
        <f>INDEX(Q:Q,MATCH(Table1[[#This Row],[Item Purchased]],D:D))</f>
        <v>Cash</v>
      </c>
      <c r="T3022">
        <f>SUMIF(J:J,Table1[[#This Row],[Season]],F:F)</f>
        <v>60018</v>
      </c>
    </row>
    <row r="3023" spans="1:20" x14ac:dyDescent="0.3">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c r="S3023" t="str">
        <f>INDEX(Q:Q,MATCH(Table1[[#This Row],[Item Purchased]],D:D))</f>
        <v>Venmo</v>
      </c>
      <c r="T3023">
        <f>SUMIF(J:J,Table1[[#This Row],[Season]],F:F)</f>
        <v>55777</v>
      </c>
    </row>
    <row r="3024" spans="1:20" x14ac:dyDescent="0.3">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c r="S3024" t="str">
        <f>INDEX(Q:Q,MATCH(Table1[[#This Row],[Item Purchased]],D:D))</f>
        <v>Bank Transfer</v>
      </c>
      <c r="T3024">
        <f>SUMIF(J:J,Table1[[#This Row],[Season]],F:F)</f>
        <v>60018</v>
      </c>
    </row>
    <row r="3025" spans="1:20" x14ac:dyDescent="0.3">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c r="S3025" t="e">
        <f>INDEX(Q:Q,MATCH(Table1[[#This Row],[Item Purchased]],D:D))</f>
        <v>#N/A</v>
      </c>
      <c r="T3025">
        <f>SUMIF(J:J,Table1[[#This Row],[Season]],F:F)</f>
        <v>55777</v>
      </c>
    </row>
    <row r="3026" spans="1:20" x14ac:dyDescent="0.3">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c r="S3026" t="str">
        <f>INDEX(Q:Q,MATCH(Table1[[#This Row],[Item Purchased]],D:D))</f>
        <v>Venmo</v>
      </c>
      <c r="T3026">
        <f>SUMIF(J:J,Table1[[#This Row],[Season]],F:F)</f>
        <v>58679</v>
      </c>
    </row>
    <row r="3027" spans="1:20" x14ac:dyDescent="0.3">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c r="S3027" t="str">
        <f>INDEX(Q:Q,MATCH(Table1[[#This Row],[Item Purchased]],D:D))</f>
        <v>PayPal</v>
      </c>
      <c r="T3027">
        <f>SUMIF(J:J,Table1[[#This Row],[Season]],F:F)</f>
        <v>55777</v>
      </c>
    </row>
    <row r="3028" spans="1:20" x14ac:dyDescent="0.3">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c r="S3028" t="str">
        <f>INDEX(Q:Q,MATCH(Table1[[#This Row],[Item Purchased]],D:D))</f>
        <v>Bank Transfer</v>
      </c>
      <c r="T3028">
        <f>SUMIF(J:J,Table1[[#This Row],[Season]],F:F)</f>
        <v>60018</v>
      </c>
    </row>
    <row r="3029" spans="1:20" x14ac:dyDescent="0.3">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c r="S3029" t="str">
        <f>INDEX(Q:Q,MATCH(Table1[[#This Row],[Item Purchased]],D:D))</f>
        <v>Venmo</v>
      </c>
      <c r="T3029">
        <f>SUMIF(J:J,Table1[[#This Row],[Season]],F:F)</f>
        <v>58607</v>
      </c>
    </row>
    <row r="3030" spans="1:20" x14ac:dyDescent="0.3">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c r="S3030" t="str">
        <f>INDEX(Q:Q,MATCH(Table1[[#This Row],[Item Purchased]],D:D))</f>
        <v>Debit Card</v>
      </c>
      <c r="T3030">
        <f>SUMIF(J:J,Table1[[#This Row],[Season]],F:F)</f>
        <v>55777</v>
      </c>
    </row>
    <row r="3031" spans="1:20" x14ac:dyDescent="0.3">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c r="S3031" t="str">
        <f>INDEX(Q:Q,MATCH(Table1[[#This Row],[Item Purchased]],D:D))</f>
        <v>Debit Card</v>
      </c>
      <c r="T3031">
        <f>SUMIF(J:J,Table1[[#This Row],[Season]],F:F)</f>
        <v>55777</v>
      </c>
    </row>
    <row r="3032" spans="1:20" x14ac:dyDescent="0.3">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c r="S3032" t="str">
        <f>INDEX(Q:Q,MATCH(Table1[[#This Row],[Item Purchased]],D:D))</f>
        <v>Venmo</v>
      </c>
      <c r="T3032">
        <f>SUMIF(J:J,Table1[[#This Row],[Season]],F:F)</f>
        <v>58679</v>
      </c>
    </row>
    <row r="3033" spans="1:20" x14ac:dyDescent="0.3">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c r="S3033" t="str">
        <f>INDEX(Q:Q,MATCH(Table1[[#This Row],[Item Purchased]],D:D))</f>
        <v>Venmo</v>
      </c>
      <c r="T3033">
        <f>SUMIF(J:J,Table1[[#This Row],[Season]],F:F)</f>
        <v>55777</v>
      </c>
    </row>
    <row r="3034" spans="1:20" x14ac:dyDescent="0.3">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c r="S3034" t="e">
        <f>INDEX(Q:Q,MATCH(Table1[[#This Row],[Item Purchased]],D:D))</f>
        <v>#N/A</v>
      </c>
      <c r="T3034">
        <f>SUMIF(J:J,Table1[[#This Row],[Season]],F:F)</f>
        <v>55777</v>
      </c>
    </row>
    <row r="3035" spans="1:20" x14ac:dyDescent="0.3">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c r="S3035" t="str">
        <f>INDEX(Q:Q,MATCH(Table1[[#This Row],[Item Purchased]],D:D))</f>
        <v>Venmo</v>
      </c>
      <c r="T3035">
        <f>SUMIF(J:J,Table1[[#This Row],[Season]],F:F)</f>
        <v>58679</v>
      </c>
    </row>
    <row r="3036" spans="1:20" x14ac:dyDescent="0.3">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c r="S3036" t="str">
        <f>INDEX(Q:Q,MATCH(Table1[[#This Row],[Item Purchased]],D:D))</f>
        <v>Venmo</v>
      </c>
      <c r="T3036">
        <f>SUMIF(J:J,Table1[[#This Row],[Season]],F:F)</f>
        <v>58679</v>
      </c>
    </row>
    <row r="3037" spans="1:20" x14ac:dyDescent="0.3">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c r="S3037" t="str">
        <f>INDEX(Q:Q,MATCH(Table1[[#This Row],[Item Purchased]],D:D))</f>
        <v>Cash</v>
      </c>
      <c r="T3037">
        <f>SUMIF(J:J,Table1[[#This Row],[Season]],F:F)</f>
        <v>58679</v>
      </c>
    </row>
    <row r="3038" spans="1:20" x14ac:dyDescent="0.3">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c r="S3038" t="str">
        <f>INDEX(Q:Q,MATCH(Table1[[#This Row],[Item Purchased]],D:D))</f>
        <v>Venmo</v>
      </c>
      <c r="T3038">
        <f>SUMIF(J:J,Table1[[#This Row],[Season]],F:F)</f>
        <v>58679</v>
      </c>
    </row>
    <row r="3039" spans="1:20" x14ac:dyDescent="0.3">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c r="S3039" t="e">
        <f>INDEX(Q:Q,MATCH(Table1[[#This Row],[Item Purchased]],D:D))</f>
        <v>#N/A</v>
      </c>
      <c r="T3039">
        <f>SUMIF(J:J,Table1[[#This Row],[Season]],F:F)</f>
        <v>55777</v>
      </c>
    </row>
    <row r="3040" spans="1:20" x14ac:dyDescent="0.3">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c r="S3040" t="str">
        <f>INDEX(Q:Q,MATCH(Table1[[#This Row],[Item Purchased]],D:D))</f>
        <v>Cash</v>
      </c>
      <c r="T3040">
        <f>SUMIF(J:J,Table1[[#This Row],[Season]],F:F)</f>
        <v>55777</v>
      </c>
    </row>
    <row r="3041" spans="1:20" x14ac:dyDescent="0.3">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c r="S3041" t="str">
        <f>INDEX(Q:Q,MATCH(Table1[[#This Row],[Item Purchased]],D:D))</f>
        <v>Venmo</v>
      </c>
      <c r="T3041">
        <f>SUMIF(J:J,Table1[[#This Row],[Season]],F:F)</f>
        <v>58679</v>
      </c>
    </row>
    <row r="3042" spans="1:20" x14ac:dyDescent="0.3">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c r="S3042" t="str">
        <f>INDEX(Q:Q,MATCH(Table1[[#This Row],[Item Purchased]],D:D))</f>
        <v>Cash</v>
      </c>
      <c r="T3042">
        <f>SUMIF(J:J,Table1[[#This Row],[Season]],F:F)</f>
        <v>60018</v>
      </c>
    </row>
    <row r="3043" spans="1:20" x14ac:dyDescent="0.3">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c r="S3043" t="str">
        <f>INDEX(Q:Q,MATCH(Table1[[#This Row],[Item Purchased]],D:D))</f>
        <v>Cash</v>
      </c>
      <c r="T3043">
        <f>SUMIF(J:J,Table1[[#This Row],[Season]],F:F)</f>
        <v>58607</v>
      </c>
    </row>
    <row r="3044" spans="1:20" x14ac:dyDescent="0.3">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c r="S3044" t="str">
        <f>INDEX(Q:Q,MATCH(Table1[[#This Row],[Item Purchased]],D:D))</f>
        <v>Debit Card</v>
      </c>
      <c r="T3044">
        <f>SUMIF(J:J,Table1[[#This Row],[Season]],F:F)</f>
        <v>58607</v>
      </c>
    </row>
    <row r="3045" spans="1:20" x14ac:dyDescent="0.3">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c r="S3045" t="e">
        <f>INDEX(Q:Q,MATCH(Table1[[#This Row],[Item Purchased]],D:D))</f>
        <v>#N/A</v>
      </c>
      <c r="T3045">
        <f>SUMIF(J:J,Table1[[#This Row],[Season]],F:F)</f>
        <v>60018</v>
      </c>
    </row>
    <row r="3046" spans="1:20" x14ac:dyDescent="0.3">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c r="S3046" t="str">
        <f>INDEX(Q:Q,MATCH(Table1[[#This Row],[Item Purchased]],D:D))</f>
        <v>Venmo</v>
      </c>
      <c r="T3046">
        <f>SUMIF(J:J,Table1[[#This Row],[Season]],F:F)</f>
        <v>58607</v>
      </c>
    </row>
    <row r="3047" spans="1:20" x14ac:dyDescent="0.3">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c r="S3047" t="str">
        <f>INDEX(Q:Q,MATCH(Table1[[#This Row],[Item Purchased]],D:D))</f>
        <v>Venmo</v>
      </c>
      <c r="T3047">
        <f>SUMIF(J:J,Table1[[#This Row],[Season]],F:F)</f>
        <v>58607</v>
      </c>
    </row>
    <row r="3048" spans="1:20" x14ac:dyDescent="0.3">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c r="S3048" t="str">
        <f>INDEX(Q:Q,MATCH(Table1[[#This Row],[Item Purchased]],D:D))</f>
        <v>PayPal</v>
      </c>
      <c r="T3048">
        <f>SUMIF(J:J,Table1[[#This Row],[Season]],F:F)</f>
        <v>58679</v>
      </c>
    </row>
    <row r="3049" spans="1:20" x14ac:dyDescent="0.3">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c r="S3049" t="str">
        <f>INDEX(Q:Q,MATCH(Table1[[#This Row],[Item Purchased]],D:D))</f>
        <v>Venmo</v>
      </c>
      <c r="T3049">
        <f>SUMIF(J:J,Table1[[#This Row],[Season]],F:F)</f>
        <v>60018</v>
      </c>
    </row>
    <row r="3050" spans="1:20" x14ac:dyDescent="0.3">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c r="S3050" t="str">
        <f>INDEX(Q:Q,MATCH(Table1[[#This Row],[Item Purchased]],D:D))</f>
        <v>Cash</v>
      </c>
      <c r="T3050">
        <f>SUMIF(J:J,Table1[[#This Row],[Season]],F:F)</f>
        <v>55777</v>
      </c>
    </row>
    <row r="3051" spans="1:20" x14ac:dyDescent="0.3">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c r="S3051" t="str">
        <f>INDEX(Q:Q,MATCH(Table1[[#This Row],[Item Purchased]],D:D))</f>
        <v>Cash</v>
      </c>
      <c r="T3051">
        <f>SUMIF(J:J,Table1[[#This Row],[Season]],F:F)</f>
        <v>55777</v>
      </c>
    </row>
    <row r="3052" spans="1:20" x14ac:dyDescent="0.3">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c r="S3052" t="str">
        <f>INDEX(Q:Q,MATCH(Table1[[#This Row],[Item Purchased]],D:D))</f>
        <v>Debit Card</v>
      </c>
      <c r="T3052">
        <f>SUMIF(J:J,Table1[[#This Row],[Season]],F:F)</f>
        <v>58679</v>
      </c>
    </row>
    <row r="3053" spans="1:20" x14ac:dyDescent="0.3">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c r="S3053" t="str">
        <f>INDEX(Q:Q,MATCH(Table1[[#This Row],[Item Purchased]],D:D))</f>
        <v>Venmo</v>
      </c>
      <c r="T3053">
        <f>SUMIF(J:J,Table1[[#This Row],[Season]],F:F)</f>
        <v>55777</v>
      </c>
    </row>
    <row r="3054" spans="1:20" x14ac:dyDescent="0.3">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c r="S3054" t="str">
        <f>INDEX(Q:Q,MATCH(Table1[[#This Row],[Item Purchased]],D:D))</f>
        <v>PayPal</v>
      </c>
      <c r="T3054">
        <f>SUMIF(J:J,Table1[[#This Row],[Season]],F:F)</f>
        <v>58679</v>
      </c>
    </row>
    <row r="3055" spans="1:20" x14ac:dyDescent="0.3">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c r="S3055" t="str">
        <f>INDEX(Q:Q,MATCH(Table1[[#This Row],[Item Purchased]],D:D))</f>
        <v>PayPal</v>
      </c>
      <c r="T3055">
        <f>SUMIF(J:J,Table1[[#This Row],[Season]],F:F)</f>
        <v>58607</v>
      </c>
    </row>
    <row r="3056" spans="1:20" x14ac:dyDescent="0.3">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c r="S3056" t="str">
        <f>INDEX(Q:Q,MATCH(Table1[[#This Row],[Item Purchased]],D:D))</f>
        <v>Venmo</v>
      </c>
      <c r="T3056">
        <f>SUMIF(J:J,Table1[[#This Row],[Season]],F:F)</f>
        <v>55777</v>
      </c>
    </row>
    <row r="3057" spans="1:20" x14ac:dyDescent="0.3">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c r="S3057" t="str">
        <f>INDEX(Q:Q,MATCH(Table1[[#This Row],[Item Purchased]],D:D))</f>
        <v>Bank Transfer</v>
      </c>
      <c r="T3057">
        <f>SUMIF(J:J,Table1[[#This Row],[Season]],F:F)</f>
        <v>60018</v>
      </c>
    </row>
    <row r="3058" spans="1:20" x14ac:dyDescent="0.3">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c r="S3058" t="str">
        <f>INDEX(Q:Q,MATCH(Table1[[#This Row],[Item Purchased]],D:D))</f>
        <v>Debit Card</v>
      </c>
      <c r="T3058">
        <f>SUMIF(J:J,Table1[[#This Row],[Season]],F:F)</f>
        <v>58679</v>
      </c>
    </row>
    <row r="3059" spans="1:20" x14ac:dyDescent="0.3">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c r="S3059" t="e">
        <f>INDEX(Q:Q,MATCH(Table1[[#This Row],[Item Purchased]],D:D))</f>
        <v>#N/A</v>
      </c>
      <c r="T3059">
        <f>SUMIF(J:J,Table1[[#This Row],[Season]],F:F)</f>
        <v>58679</v>
      </c>
    </row>
    <row r="3060" spans="1:20" x14ac:dyDescent="0.3">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c r="S3060" t="str">
        <f>INDEX(Q:Q,MATCH(Table1[[#This Row],[Item Purchased]],D:D))</f>
        <v>Cash</v>
      </c>
      <c r="T3060">
        <f>SUMIF(J:J,Table1[[#This Row],[Season]],F:F)</f>
        <v>58607</v>
      </c>
    </row>
    <row r="3061" spans="1:20" x14ac:dyDescent="0.3">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c r="S3061" t="str">
        <f>INDEX(Q:Q,MATCH(Table1[[#This Row],[Item Purchased]],D:D))</f>
        <v>Venmo</v>
      </c>
      <c r="T3061">
        <f>SUMIF(J:J,Table1[[#This Row],[Season]],F:F)</f>
        <v>58679</v>
      </c>
    </row>
    <row r="3062" spans="1:20" x14ac:dyDescent="0.3">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c r="S3062" t="str">
        <f>INDEX(Q:Q,MATCH(Table1[[#This Row],[Item Purchased]],D:D))</f>
        <v>Debit Card</v>
      </c>
      <c r="T3062">
        <f>SUMIF(J:J,Table1[[#This Row],[Season]],F:F)</f>
        <v>55777</v>
      </c>
    </row>
    <row r="3063" spans="1:20" x14ac:dyDescent="0.3">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c r="S3063" t="str">
        <f>INDEX(Q:Q,MATCH(Table1[[#This Row],[Item Purchased]],D:D))</f>
        <v>Venmo</v>
      </c>
      <c r="T3063">
        <f>SUMIF(J:J,Table1[[#This Row],[Season]],F:F)</f>
        <v>60018</v>
      </c>
    </row>
    <row r="3064" spans="1:20" x14ac:dyDescent="0.3">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c r="S3064" t="e">
        <f>INDEX(Q:Q,MATCH(Table1[[#This Row],[Item Purchased]],D:D))</f>
        <v>#N/A</v>
      </c>
      <c r="T3064">
        <f>SUMIF(J:J,Table1[[#This Row],[Season]],F:F)</f>
        <v>60018</v>
      </c>
    </row>
    <row r="3065" spans="1:20" x14ac:dyDescent="0.3">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c r="S3065" t="str">
        <f>INDEX(Q:Q,MATCH(Table1[[#This Row],[Item Purchased]],D:D))</f>
        <v>Venmo</v>
      </c>
      <c r="T3065">
        <f>SUMIF(J:J,Table1[[#This Row],[Season]],F:F)</f>
        <v>58607</v>
      </c>
    </row>
    <row r="3066" spans="1:20" x14ac:dyDescent="0.3">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c r="S3066" t="e">
        <f>INDEX(Q:Q,MATCH(Table1[[#This Row],[Item Purchased]],D:D))</f>
        <v>#N/A</v>
      </c>
      <c r="T3066">
        <f>SUMIF(J:J,Table1[[#This Row],[Season]],F:F)</f>
        <v>58607</v>
      </c>
    </row>
    <row r="3067" spans="1:20" x14ac:dyDescent="0.3">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c r="S3067" t="str">
        <f>INDEX(Q:Q,MATCH(Table1[[#This Row],[Item Purchased]],D:D))</f>
        <v>Debit Card</v>
      </c>
      <c r="T3067">
        <f>SUMIF(J:J,Table1[[#This Row],[Season]],F:F)</f>
        <v>60018</v>
      </c>
    </row>
    <row r="3068" spans="1:20" x14ac:dyDescent="0.3">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c r="S3068" t="str">
        <f>INDEX(Q:Q,MATCH(Table1[[#This Row],[Item Purchased]],D:D))</f>
        <v>Credit Card</v>
      </c>
      <c r="T3068">
        <f>SUMIF(J:J,Table1[[#This Row],[Season]],F:F)</f>
        <v>55777</v>
      </c>
    </row>
    <row r="3069" spans="1:20" x14ac:dyDescent="0.3">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c r="S3069" t="e">
        <f>INDEX(Q:Q,MATCH(Table1[[#This Row],[Item Purchased]],D:D))</f>
        <v>#N/A</v>
      </c>
      <c r="T3069">
        <f>SUMIF(J:J,Table1[[#This Row],[Season]],F:F)</f>
        <v>58679</v>
      </c>
    </row>
    <row r="3070" spans="1:20" x14ac:dyDescent="0.3">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c r="S3070" t="str">
        <f>INDEX(Q:Q,MATCH(Table1[[#This Row],[Item Purchased]],D:D))</f>
        <v>Venmo</v>
      </c>
      <c r="T3070">
        <f>SUMIF(J:J,Table1[[#This Row],[Season]],F:F)</f>
        <v>58607</v>
      </c>
    </row>
    <row r="3071" spans="1:20" x14ac:dyDescent="0.3">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c r="S3071" t="str">
        <f>INDEX(Q:Q,MATCH(Table1[[#This Row],[Item Purchased]],D:D))</f>
        <v>Cash</v>
      </c>
      <c r="T3071">
        <f>SUMIF(J:J,Table1[[#This Row],[Season]],F:F)</f>
        <v>58679</v>
      </c>
    </row>
    <row r="3072" spans="1:20" x14ac:dyDescent="0.3">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c r="S3072" t="str">
        <f>INDEX(Q:Q,MATCH(Table1[[#This Row],[Item Purchased]],D:D))</f>
        <v>PayPal</v>
      </c>
      <c r="T3072">
        <f>SUMIF(J:J,Table1[[#This Row],[Season]],F:F)</f>
        <v>60018</v>
      </c>
    </row>
    <row r="3073" spans="1:20" x14ac:dyDescent="0.3">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c r="S3073" t="str">
        <f>INDEX(Q:Q,MATCH(Table1[[#This Row],[Item Purchased]],D:D))</f>
        <v>Venmo</v>
      </c>
      <c r="T3073">
        <f>SUMIF(J:J,Table1[[#This Row],[Season]],F:F)</f>
        <v>58679</v>
      </c>
    </row>
    <row r="3074" spans="1:20" x14ac:dyDescent="0.3">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c r="S3074" t="str">
        <f>INDEX(Q:Q,MATCH(Table1[[#This Row],[Item Purchased]],D:D))</f>
        <v>Cash</v>
      </c>
      <c r="T3074">
        <f>SUMIF(J:J,Table1[[#This Row],[Season]],F:F)</f>
        <v>58679</v>
      </c>
    </row>
    <row r="3075" spans="1:20" x14ac:dyDescent="0.3">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c r="S3075" t="str">
        <f>INDEX(Q:Q,MATCH(Table1[[#This Row],[Item Purchased]],D:D))</f>
        <v>Bank Transfer</v>
      </c>
      <c r="T3075">
        <f>SUMIF(J:J,Table1[[#This Row],[Season]],F:F)</f>
        <v>58607</v>
      </c>
    </row>
    <row r="3076" spans="1:20" x14ac:dyDescent="0.3">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c r="S3076" t="str">
        <f>INDEX(Q:Q,MATCH(Table1[[#This Row],[Item Purchased]],D:D))</f>
        <v>Venmo</v>
      </c>
      <c r="T3076">
        <f>SUMIF(J:J,Table1[[#This Row],[Season]],F:F)</f>
        <v>58607</v>
      </c>
    </row>
    <row r="3077" spans="1:20" x14ac:dyDescent="0.3">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c r="S3077" t="str">
        <f>INDEX(Q:Q,MATCH(Table1[[#This Row],[Item Purchased]],D:D))</f>
        <v>PayPal</v>
      </c>
      <c r="T3077">
        <f>SUMIF(J:J,Table1[[#This Row],[Season]],F:F)</f>
        <v>58607</v>
      </c>
    </row>
    <row r="3078" spans="1:20" x14ac:dyDescent="0.3">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c r="S3078" t="str">
        <f>INDEX(Q:Q,MATCH(Table1[[#This Row],[Item Purchased]],D:D))</f>
        <v>Cash</v>
      </c>
      <c r="T3078">
        <f>SUMIF(J:J,Table1[[#This Row],[Season]],F:F)</f>
        <v>55777</v>
      </c>
    </row>
    <row r="3079" spans="1:20" x14ac:dyDescent="0.3">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c r="S3079" t="str">
        <f>INDEX(Q:Q,MATCH(Table1[[#This Row],[Item Purchased]],D:D))</f>
        <v>Venmo</v>
      </c>
      <c r="T3079">
        <f>SUMIF(J:J,Table1[[#This Row],[Season]],F:F)</f>
        <v>58679</v>
      </c>
    </row>
    <row r="3080" spans="1:20" x14ac:dyDescent="0.3">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c r="S3080" t="e">
        <f>INDEX(Q:Q,MATCH(Table1[[#This Row],[Item Purchased]],D:D))</f>
        <v>#N/A</v>
      </c>
      <c r="T3080">
        <f>SUMIF(J:J,Table1[[#This Row],[Season]],F:F)</f>
        <v>58679</v>
      </c>
    </row>
    <row r="3081" spans="1:20" x14ac:dyDescent="0.3">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c r="S3081" t="e">
        <f>INDEX(Q:Q,MATCH(Table1[[#This Row],[Item Purchased]],D:D))</f>
        <v>#N/A</v>
      </c>
      <c r="T3081">
        <f>SUMIF(J:J,Table1[[#This Row],[Season]],F:F)</f>
        <v>60018</v>
      </c>
    </row>
    <row r="3082" spans="1:20" x14ac:dyDescent="0.3">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c r="S3082" t="str">
        <f>INDEX(Q:Q,MATCH(Table1[[#This Row],[Item Purchased]],D:D))</f>
        <v>Venmo</v>
      </c>
      <c r="T3082">
        <f>SUMIF(J:J,Table1[[#This Row],[Season]],F:F)</f>
        <v>58679</v>
      </c>
    </row>
    <row r="3083" spans="1:20" x14ac:dyDescent="0.3">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c r="S3083" t="str">
        <f>INDEX(Q:Q,MATCH(Table1[[#This Row],[Item Purchased]],D:D))</f>
        <v>Venmo</v>
      </c>
      <c r="T3083">
        <f>SUMIF(J:J,Table1[[#This Row],[Season]],F:F)</f>
        <v>58607</v>
      </c>
    </row>
    <row r="3084" spans="1:20" x14ac:dyDescent="0.3">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c r="S3084" t="str">
        <f>INDEX(Q:Q,MATCH(Table1[[#This Row],[Item Purchased]],D:D))</f>
        <v>Venmo</v>
      </c>
      <c r="T3084">
        <f>SUMIF(J:J,Table1[[#This Row],[Season]],F:F)</f>
        <v>58679</v>
      </c>
    </row>
    <row r="3085" spans="1:20" x14ac:dyDescent="0.3">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c r="S3085" t="str">
        <f>INDEX(Q:Q,MATCH(Table1[[#This Row],[Item Purchased]],D:D))</f>
        <v>Cash</v>
      </c>
      <c r="T3085">
        <f>SUMIF(J:J,Table1[[#This Row],[Season]],F:F)</f>
        <v>55777</v>
      </c>
    </row>
    <row r="3086" spans="1:20" x14ac:dyDescent="0.3">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c r="S3086" t="str">
        <f>INDEX(Q:Q,MATCH(Table1[[#This Row],[Item Purchased]],D:D))</f>
        <v>Bank Transfer</v>
      </c>
      <c r="T3086">
        <f>SUMIF(J:J,Table1[[#This Row],[Season]],F:F)</f>
        <v>58679</v>
      </c>
    </row>
    <row r="3087" spans="1:20" x14ac:dyDescent="0.3">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c r="S3087" t="str">
        <f>INDEX(Q:Q,MATCH(Table1[[#This Row],[Item Purchased]],D:D))</f>
        <v>Venmo</v>
      </c>
      <c r="T3087">
        <f>SUMIF(J:J,Table1[[#This Row],[Season]],F:F)</f>
        <v>58607</v>
      </c>
    </row>
    <row r="3088" spans="1:20" x14ac:dyDescent="0.3">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c r="S3088" t="str">
        <f>INDEX(Q:Q,MATCH(Table1[[#This Row],[Item Purchased]],D:D))</f>
        <v>Cash</v>
      </c>
      <c r="T3088">
        <f>SUMIF(J:J,Table1[[#This Row],[Season]],F:F)</f>
        <v>55777</v>
      </c>
    </row>
    <row r="3089" spans="1:20" x14ac:dyDescent="0.3">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c r="S3089" t="str">
        <f>INDEX(Q:Q,MATCH(Table1[[#This Row],[Item Purchased]],D:D))</f>
        <v>Bank Transfer</v>
      </c>
      <c r="T3089">
        <f>SUMIF(J:J,Table1[[#This Row],[Season]],F:F)</f>
        <v>58679</v>
      </c>
    </row>
    <row r="3090" spans="1:20" x14ac:dyDescent="0.3">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c r="S3090" t="str">
        <f>INDEX(Q:Q,MATCH(Table1[[#This Row],[Item Purchased]],D:D))</f>
        <v>Debit Card</v>
      </c>
      <c r="T3090">
        <f>SUMIF(J:J,Table1[[#This Row],[Season]],F:F)</f>
        <v>58679</v>
      </c>
    </row>
    <row r="3091" spans="1:20" x14ac:dyDescent="0.3">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c r="S3091" t="str">
        <f>INDEX(Q:Q,MATCH(Table1[[#This Row],[Item Purchased]],D:D))</f>
        <v>Bank Transfer</v>
      </c>
      <c r="T3091">
        <f>SUMIF(J:J,Table1[[#This Row],[Season]],F:F)</f>
        <v>60018</v>
      </c>
    </row>
    <row r="3092" spans="1:20" x14ac:dyDescent="0.3">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c r="S3092" t="str">
        <f>INDEX(Q:Q,MATCH(Table1[[#This Row],[Item Purchased]],D:D))</f>
        <v>Bank Transfer</v>
      </c>
      <c r="T3092">
        <f>SUMIF(J:J,Table1[[#This Row],[Season]],F:F)</f>
        <v>55777</v>
      </c>
    </row>
    <row r="3093" spans="1:20" x14ac:dyDescent="0.3">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c r="S3093" t="str">
        <f>INDEX(Q:Q,MATCH(Table1[[#This Row],[Item Purchased]],D:D))</f>
        <v>Debit Card</v>
      </c>
      <c r="T3093">
        <f>SUMIF(J:J,Table1[[#This Row],[Season]],F:F)</f>
        <v>58607</v>
      </c>
    </row>
    <row r="3094" spans="1:20" x14ac:dyDescent="0.3">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c r="S3094" t="str">
        <f>INDEX(Q:Q,MATCH(Table1[[#This Row],[Item Purchased]],D:D))</f>
        <v>Venmo</v>
      </c>
      <c r="T3094">
        <f>SUMIF(J:J,Table1[[#This Row],[Season]],F:F)</f>
        <v>60018</v>
      </c>
    </row>
    <row r="3095" spans="1:20" x14ac:dyDescent="0.3">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c r="S3095" t="str">
        <f>INDEX(Q:Q,MATCH(Table1[[#This Row],[Item Purchased]],D:D))</f>
        <v>Venmo</v>
      </c>
      <c r="T3095">
        <f>SUMIF(J:J,Table1[[#This Row],[Season]],F:F)</f>
        <v>55777</v>
      </c>
    </row>
    <row r="3096" spans="1:20" x14ac:dyDescent="0.3">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c r="S3096" t="str">
        <f>INDEX(Q:Q,MATCH(Table1[[#This Row],[Item Purchased]],D:D))</f>
        <v>Bank Transfer</v>
      </c>
      <c r="T3096">
        <f>SUMIF(J:J,Table1[[#This Row],[Season]],F:F)</f>
        <v>55777</v>
      </c>
    </row>
    <row r="3097" spans="1:20" x14ac:dyDescent="0.3">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c r="S3097" t="str">
        <f>INDEX(Q:Q,MATCH(Table1[[#This Row],[Item Purchased]],D:D))</f>
        <v>Venmo</v>
      </c>
      <c r="T3097">
        <f>SUMIF(J:J,Table1[[#This Row],[Season]],F:F)</f>
        <v>60018</v>
      </c>
    </row>
    <row r="3098" spans="1:20" x14ac:dyDescent="0.3">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c r="S3098" t="str">
        <f>INDEX(Q:Q,MATCH(Table1[[#This Row],[Item Purchased]],D:D))</f>
        <v>Bank Transfer</v>
      </c>
      <c r="T3098">
        <f>SUMIF(J:J,Table1[[#This Row],[Season]],F:F)</f>
        <v>58607</v>
      </c>
    </row>
    <row r="3099" spans="1:20" x14ac:dyDescent="0.3">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c r="S3099" t="str">
        <f>INDEX(Q:Q,MATCH(Table1[[#This Row],[Item Purchased]],D:D))</f>
        <v>PayPal</v>
      </c>
      <c r="T3099">
        <f>SUMIF(J:J,Table1[[#This Row],[Season]],F:F)</f>
        <v>60018</v>
      </c>
    </row>
    <row r="3100" spans="1:20" x14ac:dyDescent="0.3">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c r="S3100" t="str">
        <f>INDEX(Q:Q,MATCH(Table1[[#This Row],[Item Purchased]],D:D))</f>
        <v>Cash</v>
      </c>
      <c r="T3100">
        <f>SUMIF(J:J,Table1[[#This Row],[Season]],F:F)</f>
        <v>55777</v>
      </c>
    </row>
    <row r="3101" spans="1:20" x14ac:dyDescent="0.3">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c r="S3101" t="str">
        <f>INDEX(Q:Q,MATCH(Table1[[#This Row],[Item Purchased]],D:D))</f>
        <v>Bank Transfer</v>
      </c>
      <c r="T3101">
        <f>SUMIF(J:J,Table1[[#This Row],[Season]],F:F)</f>
        <v>60018</v>
      </c>
    </row>
    <row r="3102" spans="1:20" x14ac:dyDescent="0.3">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c r="S3102" t="str">
        <f>INDEX(Q:Q,MATCH(Table1[[#This Row],[Item Purchased]],D:D))</f>
        <v>Venmo</v>
      </c>
      <c r="T3102">
        <f>SUMIF(J:J,Table1[[#This Row],[Season]],F:F)</f>
        <v>58607</v>
      </c>
    </row>
    <row r="3103" spans="1:20" x14ac:dyDescent="0.3">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c r="S3103" t="str">
        <f>INDEX(Q:Q,MATCH(Table1[[#This Row],[Item Purchased]],D:D))</f>
        <v>Cash</v>
      </c>
      <c r="T3103">
        <f>SUMIF(J:J,Table1[[#This Row],[Season]],F:F)</f>
        <v>55777</v>
      </c>
    </row>
    <row r="3104" spans="1:20" x14ac:dyDescent="0.3">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c r="S3104" t="str">
        <f>INDEX(Q:Q,MATCH(Table1[[#This Row],[Item Purchased]],D:D))</f>
        <v>Debit Card</v>
      </c>
      <c r="T3104">
        <f>SUMIF(J:J,Table1[[#This Row],[Season]],F:F)</f>
        <v>55777</v>
      </c>
    </row>
    <row r="3105" spans="1:20" x14ac:dyDescent="0.3">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c r="S3105" t="str">
        <f>INDEX(Q:Q,MATCH(Table1[[#This Row],[Item Purchased]],D:D))</f>
        <v>Bank Transfer</v>
      </c>
      <c r="T3105">
        <f>SUMIF(J:J,Table1[[#This Row],[Season]],F:F)</f>
        <v>58607</v>
      </c>
    </row>
    <row r="3106" spans="1:20" x14ac:dyDescent="0.3">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c r="S3106" t="str">
        <f>INDEX(Q:Q,MATCH(Table1[[#This Row],[Item Purchased]],D:D))</f>
        <v>Cash</v>
      </c>
      <c r="T3106">
        <f>SUMIF(J:J,Table1[[#This Row],[Season]],F:F)</f>
        <v>55777</v>
      </c>
    </row>
    <row r="3107" spans="1:20" x14ac:dyDescent="0.3">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c r="S3107" t="str">
        <f>INDEX(Q:Q,MATCH(Table1[[#This Row],[Item Purchased]],D:D))</f>
        <v>Credit Card</v>
      </c>
      <c r="T3107">
        <f>SUMIF(J:J,Table1[[#This Row],[Season]],F:F)</f>
        <v>60018</v>
      </c>
    </row>
    <row r="3108" spans="1:20" x14ac:dyDescent="0.3">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c r="S3108" t="str">
        <f>INDEX(Q:Q,MATCH(Table1[[#This Row],[Item Purchased]],D:D))</f>
        <v>Bank Transfer</v>
      </c>
      <c r="T3108">
        <f>SUMIF(J:J,Table1[[#This Row],[Season]],F:F)</f>
        <v>58607</v>
      </c>
    </row>
    <row r="3109" spans="1:20" x14ac:dyDescent="0.3">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c r="S3109" t="str">
        <f>INDEX(Q:Q,MATCH(Table1[[#This Row],[Item Purchased]],D:D))</f>
        <v>Venmo</v>
      </c>
      <c r="T3109">
        <f>SUMIF(J:J,Table1[[#This Row],[Season]],F:F)</f>
        <v>58607</v>
      </c>
    </row>
    <row r="3110" spans="1:20" x14ac:dyDescent="0.3">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c r="S3110" t="str">
        <f>INDEX(Q:Q,MATCH(Table1[[#This Row],[Item Purchased]],D:D))</f>
        <v>Venmo</v>
      </c>
      <c r="T3110">
        <f>SUMIF(J:J,Table1[[#This Row],[Season]],F:F)</f>
        <v>60018</v>
      </c>
    </row>
    <row r="3111" spans="1:20" x14ac:dyDescent="0.3">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c r="S3111" t="str">
        <f>INDEX(Q:Q,MATCH(Table1[[#This Row],[Item Purchased]],D:D))</f>
        <v>Debit Card</v>
      </c>
      <c r="T3111">
        <f>SUMIF(J:J,Table1[[#This Row],[Season]],F:F)</f>
        <v>58607</v>
      </c>
    </row>
    <row r="3112" spans="1:20" x14ac:dyDescent="0.3">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c r="S3112" t="str">
        <f>INDEX(Q:Q,MATCH(Table1[[#This Row],[Item Purchased]],D:D))</f>
        <v>Cash</v>
      </c>
      <c r="T3112">
        <f>SUMIF(J:J,Table1[[#This Row],[Season]],F:F)</f>
        <v>60018</v>
      </c>
    </row>
    <row r="3113" spans="1:20" x14ac:dyDescent="0.3">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c r="S3113" t="e">
        <f>INDEX(Q:Q,MATCH(Table1[[#This Row],[Item Purchased]],D:D))</f>
        <v>#N/A</v>
      </c>
      <c r="T3113">
        <f>SUMIF(J:J,Table1[[#This Row],[Season]],F:F)</f>
        <v>58679</v>
      </c>
    </row>
    <row r="3114" spans="1:20" x14ac:dyDescent="0.3">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c r="S3114" t="str">
        <f>INDEX(Q:Q,MATCH(Table1[[#This Row],[Item Purchased]],D:D))</f>
        <v>Venmo</v>
      </c>
      <c r="T3114">
        <f>SUMIF(J:J,Table1[[#This Row],[Season]],F:F)</f>
        <v>60018</v>
      </c>
    </row>
    <row r="3115" spans="1:20" x14ac:dyDescent="0.3">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c r="S3115" t="str">
        <f>INDEX(Q:Q,MATCH(Table1[[#This Row],[Item Purchased]],D:D))</f>
        <v>Bank Transfer</v>
      </c>
      <c r="T3115">
        <f>SUMIF(J:J,Table1[[#This Row],[Season]],F:F)</f>
        <v>55777</v>
      </c>
    </row>
    <row r="3116" spans="1:20" x14ac:dyDescent="0.3">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c r="S3116" t="str">
        <f>INDEX(Q:Q,MATCH(Table1[[#This Row],[Item Purchased]],D:D))</f>
        <v>Cash</v>
      </c>
      <c r="T3116">
        <f>SUMIF(J:J,Table1[[#This Row],[Season]],F:F)</f>
        <v>58679</v>
      </c>
    </row>
    <row r="3117" spans="1:20" x14ac:dyDescent="0.3">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c r="S3117" t="str">
        <f>INDEX(Q:Q,MATCH(Table1[[#This Row],[Item Purchased]],D:D))</f>
        <v>Bank Transfer</v>
      </c>
      <c r="T3117">
        <f>SUMIF(J:J,Table1[[#This Row],[Season]],F:F)</f>
        <v>60018</v>
      </c>
    </row>
    <row r="3118" spans="1:20" x14ac:dyDescent="0.3">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c r="S3118" t="str">
        <f>INDEX(Q:Q,MATCH(Table1[[#This Row],[Item Purchased]],D:D))</f>
        <v>Debit Card</v>
      </c>
      <c r="T3118">
        <f>SUMIF(J:J,Table1[[#This Row],[Season]],F:F)</f>
        <v>58679</v>
      </c>
    </row>
    <row r="3119" spans="1:20" x14ac:dyDescent="0.3">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c r="S3119" t="str">
        <f>INDEX(Q:Q,MATCH(Table1[[#This Row],[Item Purchased]],D:D))</f>
        <v>Venmo</v>
      </c>
      <c r="T3119">
        <f>SUMIF(J:J,Table1[[#This Row],[Season]],F:F)</f>
        <v>60018</v>
      </c>
    </row>
    <row r="3120" spans="1:20" x14ac:dyDescent="0.3">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c r="S3120" t="str">
        <f>INDEX(Q:Q,MATCH(Table1[[#This Row],[Item Purchased]],D:D))</f>
        <v>PayPal</v>
      </c>
      <c r="T3120">
        <f>SUMIF(J:J,Table1[[#This Row],[Season]],F:F)</f>
        <v>55777</v>
      </c>
    </row>
    <row r="3121" spans="1:20" x14ac:dyDescent="0.3">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c r="S3121" t="str">
        <f>INDEX(Q:Q,MATCH(Table1[[#This Row],[Item Purchased]],D:D))</f>
        <v>Bank Transfer</v>
      </c>
      <c r="T3121">
        <f>SUMIF(J:J,Table1[[#This Row],[Season]],F:F)</f>
        <v>58607</v>
      </c>
    </row>
    <row r="3122" spans="1:20" x14ac:dyDescent="0.3">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c r="S3122" t="str">
        <f>INDEX(Q:Q,MATCH(Table1[[#This Row],[Item Purchased]],D:D))</f>
        <v>Bank Transfer</v>
      </c>
      <c r="T3122">
        <f>SUMIF(J:J,Table1[[#This Row],[Season]],F:F)</f>
        <v>60018</v>
      </c>
    </row>
    <row r="3123" spans="1:20" x14ac:dyDescent="0.3">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c r="S3123" t="str">
        <f>INDEX(Q:Q,MATCH(Table1[[#This Row],[Item Purchased]],D:D))</f>
        <v>Venmo</v>
      </c>
      <c r="T3123">
        <f>SUMIF(J:J,Table1[[#This Row],[Season]],F:F)</f>
        <v>60018</v>
      </c>
    </row>
    <row r="3124" spans="1:20" x14ac:dyDescent="0.3">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c r="S3124" t="str">
        <f>INDEX(Q:Q,MATCH(Table1[[#This Row],[Item Purchased]],D:D))</f>
        <v>Venmo</v>
      </c>
      <c r="T3124">
        <f>SUMIF(J:J,Table1[[#This Row],[Season]],F:F)</f>
        <v>60018</v>
      </c>
    </row>
    <row r="3125" spans="1:20" x14ac:dyDescent="0.3">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c r="S3125" t="str">
        <f>INDEX(Q:Q,MATCH(Table1[[#This Row],[Item Purchased]],D:D))</f>
        <v>Cash</v>
      </c>
      <c r="T3125">
        <f>SUMIF(J:J,Table1[[#This Row],[Season]],F:F)</f>
        <v>60018</v>
      </c>
    </row>
    <row r="3126" spans="1:20" x14ac:dyDescent="0.3">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c r="S3126" t="str">
        <f>INDEX(Q:Q,MATCH(Table1[[#This Row],[Item Purchased]],D:D))</f>
        <v>Cash</v>
      </c>
      <c r="T3126">
        <f>SUMIF(J:J,Table1[[#This Row],[Season]],F:F)</f>
        <v>55777</v>
      </c>
    </row>
    <row r="3127" spans="1:20" x14ac:dyDescent="0.3">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c r="S3127" t="str">
        <f>INDEX(Q:Q,MATCH(Table1[[#This Row],[Item Purchased]],D:D))</f>
        <v>Debit Card</v>
      </c>
      <c r="T3127">
        <f>SUMIF(J:J,Table1[[#This Row],[Season]],F:F)</f>
        <v>58679</v>
      </c>
    </row>
    <row r="3128" spans="1:20" x14ac:dyDescent="0.3">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c r="S3128" t="str">
        <f>INDEX(Q:Q,MATCH(Table1[[#This Row],[Item Purchased]],D:D))</f>
        <v>Venmo</v>
      </c>
      <c r="T3128">
        <f>SUMIF(J:J,Table1[[#This Row],[Season]],F:F)</f>
        <v>58607</v>
      </c>
    </row>
    <row r="3129" spans="1:20" x14ac:dyDescent="0.3">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c r="S3129" t="str">
        <f>INDEX(Q:Q,MATCH(Table1[[#This Row],[Item Purchased]],D:D))</f>
        <v>Debit Card</v>
      </c>
      <c r="T3129">
        <f>SUMIF(J:J,Table1[[#This Row],[Season]],F:F)</f>
        <v>58607</v>
      </c>
    </row>
    <row r="3130" spans="1:20" x14ac:dyDescent="0.3">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c r="S3130" t="str">
        <f>INDEX(Q:Q,MATCH(Table1[[#This Row],[Item Purchased]],D:D))</f>
        <v>Debit Card</v>
      </c>
      <c r="T3130">
        <f>SUMIF(J:J,Table1[[#This Row],[Season]],F:F)</f>
        <v>60018</v>
      </c>
    </row>
    <row r="3131" spans="1:20" x14ac:dyDescent="0.3">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c r="S3131" t="str">
        <f>INDEX(Q:Q,MATCH(Table1[[#This Row],[Item Purchased]],D:D))</f>
        <v>Bank Transfer</v>
      </c>
      <c r="T3131">
        <f>SUMIF(J:J,Table1[[#This Row],[Season]],F:F)</f>
        <v>55777</v>
      </c>
    </row>
    <row r="3132" spans="1:20" x14ac:dyDescent="0.3">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c r="S3132" t="str">
        <f>INDEX(Q:Q,MATCH(Table1[[#This Row],[Item Purchased]],D:D))</f>
        <v>Cash</v>
      </c>
      <c r="T3132">
        <f>SUMIF(J:J,Table1[[#This Row],[Season]],F:F)</f>
        <v>55777</v>
      </c>
    </row>
    <row r="3133" spans="1:20" x14ac:dyDescent="0.3">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c r="S3133" t="str">
        <f>INDEX(Q:Q,MATCH(Table1[[#This Row],[Item Purchased]],D:D))</f>
        <v>Debit Card</v>
      </c>
      <c r="T3133">
        <f>SUMIF(J:J,Table1[[#This Row],[Season]],F:F)</f>
        <v>60018</v>
      </c>
    </row>
    <row r="3134" spans="1:20" x14ac:dyDescent="0.3">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c r="S3134" t="str">
        <f>INDEX(Q:Q,MATCH(Table1[[#This Row],[Item Purchased]],D:D))</f>
        <v>Venmo</v>
      </c>
      <c r="T3134">
        <f>SUMIF(J:J,Table1[[#This Row],[Season]],F:F)</f>
        <v>55777</v>
      </c>
    </row>
    <row r="3135" spans="1:20" x14ac:dyDescent="0.3">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c r="S3135" t="str">
        <f>INDEX(Q:Q,MATCH(Table1[[#This Row],[Item Purchased]],D:D))</f>
        <v>Venmo</v>
      </c>
      <c r="T3135">
        <f>SUMIF(J:J,Table1[[#This Row],[Season]],F:F)</f>
        <v>58679</v>
      </c>
    </row>
    <row r="3136" spans="1:20" x14ac:dyDescent="0.3">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c r="S3136" t="str">
        <f>INDEX(Q:Q,MATCH(Table1[[#This Row],[Item Purchased]],D:D))</f>
        <v>Venmo</v>
      </c>
      <c r="T3136">
        <f>SUMIF(J:J,Table1[[#This Row],[Season]],F:F)</f>
        <v>58679</v>
      </c>
    </row>
    <row r="3137" spans="1:20" x14ac:dyDescent="0.3">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c r="S3137" t="str">
        <f>INDEX(Q:Q,MATCH(Table1[[#This Row],[Item Purchased]],D:D))</f>
        <v>PayPal</v>
      </c>
      <c r="T3137">
        <f>SUMIF(J:J,Table1[[#This Row],[Season]],F:F)</f>
        <v>58679</v>
      </c>
    </row>
    <row r="3138" spans="1:20" x14ac:dyDescent="0.3">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c r="S3138" t="str">
        <f>INDEX(Q:Q,MATCH(Table1[[#This Row],[Item Purchased]],D:D))</f>
        <v>Credit Card</v>
      </c>
      <c r="T3138">
        <f>SUMIF(J:J,Table1[[#This Row],[Season]],F:F)</f>
        <v>60018</v>
      </c>
    </row>
    <row r="3139" spans="1:20" x14ac:dyDescent="0.3">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c r="S3139" t="str">
        <f>INDEX(Q:Q,MATCH(Table1[[#This Row],[Item Purchased]],D:D))</f>
        <v>Debit Card</v>
      </c>
      <c r="T3139">
        <f>SUMIF(J:J,Table1[[#This Row],[Season]],F:F)</f>
        <v>58679</v>
      </c>
    </row>
    <row r="3140" spans="1:20" x14ac:dyDescent="0.3">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c r="S3140" t="str">
        <f>INDEX(Q:Q,MATCH(Table1[[#This Row],[Item Purchased]],D:D))</f>
        <v>Venmo</v>
      </c>
      <c r="T3140">
        <f>SUMIF(J:J,Table1[[#This Row],[Season]],F:F)</f>
        <v>60018</v>
      </c>
    </row>
    <row r="3141" spans="1:20" x14ac:dyDescent="0.3">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c r="S3141" t="str">
        <f>INDEX(Q:Q,MATCH(Table1[[#This Row],[Item Purchased]],D:D))</f>
        <v>Venmo</v>
      </c>
      <c r="T3141">
        <f>SUMIF(J:J,Table1[[#This Row],[Season]],F:F)</f>
        <v>58607</v>
      </c>
    </row>
    <row r="3142" spans="1:20" x14ac:dyDescent="0.3">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c r="S3142" t="str">
        <f>INDEX(Q:Q,MATCH(Table1[[#This Row],[Item Purchased]],D:D))</f>
        <v>Debit Card</v>
      </c>
      <c r="T3142">
        <f>SUMIF(J:J,Table1[[#This Row],[Season]],F:F)</f>
        <v>55777</v>
      </c>
    </row>
    <row r="3143" spans="1:20" x14ac:dyDescent="0.3">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c r="S3143" t="str">
        <f>INDEX(Q:Q,MATCH(Table1[[#This Row],[Item Purchased]],D:D))</f>
        <v>Venmo</v>
      </c>
      <c r="T3143">
        <f>SUMIF(J:J,Table1[[#This Row],[Season]],F:F)</f>
        <v>58607</v>
      </c>
    </row>
    <row r="3144" spans="1:20" x14ac:dyDescent="0.3">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c r="S3144" t="str">
        <f>INDEX(Q:Q,MATCH(Table1[[#This Row],[Item Purchased]],D:D))</f>
        <v>Venmo</v>
      </c>
      <c r="T3144">
        <f>SUMIF(J:J,Table1[[#This Row],[Season]],F:F)</f>
        <v>58607</v>
      </c>
    </row>
    <row r="3145" spans="1:20" x14ac:dyDescent="0.3">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c r="S3145" t="str">
        <f>INDEX(Q:Q,MATCH(Table1[[#This Row],[Item Purchased]],D:D))</f>
        <v>Venmo</v>
      </c>
      <c r="T3145">
        <f>SUMIF(J:J,Table1[[#This Row],[Season]],F:F)</f>
        <v>55777</v>
      </c>
    </row>
    <row r="3146" spans="1:20" x14ac:dyDescent="0.3">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c r="S3146" t="str">
        <f>INDEX(Q:Q,MATCH(Table1[[#This Row],[Item Purchased]],D:D))</f>
        <v>Venmo</v>
      </c>
      <c r="T3146">
        <f>SUMIF(J:J,Table1[[#This Row],[Season]],F:F)</f>
        <v>58679</v>
      </c>
    </row>
    <row r="3147" spans="1:20" x14ac:dyDescent="0.3">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c r="S3147" t="str">
        <f>INDEX(Q:Q,MATCH(Table1[[#This Row],[Item Purchased]],D:D))</f>
        <v>Cash</v>
      </c>
      <c r="T3147">
        <f>SUMIF(J:J,Table1[[#This Row],[Season]],F:F)</f>
        <v>58679</v>
      </c>
    </row>
    <row r="3148" spans="1:20" x14ac:dyDescent="0.3">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c r="S3148" t="str">
        <f>INDEX(Q:Q,MATCH(Table1[[#This Row],[Item Purchased]],D:D))</f>
        <v>Bank Transfer</v>
      </c>
      <c r="T3148">
        <f>SUMIF(J:J,Table1[[#This Row],[Season]],F:F)</f>
        <v>58607</v>
      </c>
    </row>
    <row r="3149" spans="1:20" x14ac:dyDescent="0.3">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c r="S3149" t="str">
        <f>INDEX(Q:Q,MATCH(Table1[[#This Row],[Item Purchased]],D:D))</f>
        <v>Venmo</v>
      </c>
      <c r="T3149">
        <f>SUMIF(J:J,Table1[[#This Row],[Season]],F:F)</f>
        <v>58607</v>
      </c>
    </row>
    <row r="3150" spans="1:20" x14ac:dyDescent="0.3">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c r="S3150" t="str">
        <f>INDEX(Q:Q,MATCH(Table1[[#This Row],[Item Purchased]],D:D))</f>
        <v>PayPal</v>
      </c>
      <c r="T3150">
        <f>SUMIF(J:J,Table1[[#This Row],[Season]],F:F)</f>
        <v>60018</v>
      </c>
    </row>
    <row r="3151" spans="1:20" x14ac:dyDescent="0.3">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c r="S3151" t="e">
        <f>INDEX(Q:Q,MATCH(Table1[[#This Row],[Item Purchased]],D:D))</f>
        <v>#N/A</v>
      </c>
      <c r="T3151">
        <f>SUMIF(J:J,Table1[[#This Row],[Season]],F:F)</f>
        <v>58607</v>
      </c>
    </row>
    <row r="3152" spans="1:20" x14ac:dyDescent="0.3">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c r="S3152" t="str">
        <f>INDEX(Q:Q,MATCH(Table1[[#This Row],[Item Purchased]],D:D))</f>
        <v>Venmo</v>
      </c>
      <c r="T3152">
        <f>SUMIF(J:J,Table1[[#This Row],[Season]],F:F)</f>
        <v>58679</v>
      </c>
    </row>
    <row r="3153" spans="1:20" x14ac:dyDescent="0.3">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c r="S3153" t="str">
        <f>INDEX(Q:Q,MATCH(Table1[[#This Row],[Item Purchased]],D:D))</f>
        <v>Venmo</v>
      </c>
      <c r="T3153">
        <f>SUMIF(J:J,Table1[[#This Row],[Season]],F:F)</f>
        <v>60018</v>
      </c>
    </row>
    <row r="3154" spans="1:20" x14ac:dyDescent="0.3">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c r="S3154" t="e">
        <f>INDEX(Q:Q,MATCH(Table1[[#This Row],[Item Purchased]],D:D))</f>
        <v>#N/A</v>
      </c>
      <c r="T3154">
        <f>SUMIF(J:J,Table1[[#This Row],[Season]],F:F)</f>
        <v>60018</v>
      </c>
    </row>
    <row r="3155" spans="1:20" x14ac:dyDescent="0.3">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c r="S3155" t="str">
        <f>INDEX(Q:Q,MATCH(Table1[[#This Row],[Item Purchased]],D:D))</f>
        <v>Venmo</v>
      </c>
      <c r="T3155">
        <f>SUMIF(J:J,Table1[[#This Row],[Season]],F:F)</f>
        <v>60018</v>
      </c>
    </row>
    <row r="3156" spans="1:20" x14ac:dyDescent="0.3">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c r="S3156" t="e">
        <f>INDEX(Q:Q,MATCH(Table1[[#This Row],[Item Purchased]],D:D))</f>
        <v>#N/A</v>
      </c>
      <c r="T3156">
        <f>SUMIF(J:J,Table1[[#This Row],[Season]],F:F)</f>
        <v>58607</v>
      </c>
    </row>
    <row r="3157" spans="1:20" x14ac:dyDescent="0.3">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c r="S3157" t="str">
        <f>INDEX(Q:Q,MATCH(Table1[[#This Row],[Item Purchased]],D:D))</f>
        <v>Cash</v>
      </c>
      <c r="T3157">
        <f>SUMIF(J:J,Table1[[#This Row],[Season]],F:F)</f>
        <v>60018</v>
      </c>
    </row>
    <row r="3158" spans="1:20" x14ac:dyDescent="0.3">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c r="S3158" t="str">
        <f>INDEX(Q:Q,MATCH(Table1[[#This Row],[Item Purchased]],D:D))</f>
        <v>Bank Transfer</v>
      </c>
      <c r="T3158">
        <f>SUMIF(J:J,Table1[[#This Row],[Season]],F:F)</f>
        <v>58607</v>
      </c>
    </row>
    <row r="3159" spans="1:20" x14ac:dyDescent="0.3">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c r="S3159" t="e">
        <f>INDEX(Q:Q,MATCH(Table1[[#This Row],[Item Purchased]],D:D))</f>
        <v>#N/A</v>
      </c>
      <c r="T3159">
        <f>SUMIF(J:J,Table1[[#This Row],[Season]],F:F)</f>
        <v>60018</v>
      </c>
    </row>
    <row r="3160" spans="1:20" x14ac:dyDescent="0.3">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c r="S3160" t="str">
        <f>INDEX(Q:Q,MATCH(Table1[[#This Row],[Item Purchased]],D:D))</f>
        <v>Cash</v>
      </c>
      <c r="T3160">
        <f>SUMIF(J:J,Table1[[#This Row],[Season]],F:F)</f>
        <v>58607</v>
      </c>
    </row>
    <row r="3161" spans="1:20" x14ac:dyDescent="0.3">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c r="S3161" t="str">
        <f>INDEX(Q:Q,MATCH(Table1[[#This Row],[Item Purchased]],D:D))</f>
        <v>Venmo</v>
      </c>
      <c r="T3161">
        <f>SUMIF(J:J,Table1[[#This Row],[Season]],F:F)</f>
        <v>58607</v>
      </c>
    </row>
    <row r="3162" spans="1:20" x14ac:dyDescent="0.3">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c r="S3162" t="e">
        <f>INDEX(Q:Q,MATCH(Table1[[#This Row],[Item Purchased]],D:D))</f>
        <v>#N/A</v>
      </c>
      <c r="T3162">
        <f>SUMIF(J:J,Table1[[#This Row],[Season]],F:F)</f>
        <v>60018</v>
      </c>
    </row>
    <row r="3163" spans="1:20" x14ac:dyDescent="0.3">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c r="S3163" t="str">
        <f>INDEX(Q:Q,MATCH(Table1[[#This Row],[Item Purchased]],D:D))</f>
        <v>Debit Card</v>
      </c>
      <c r="T3163">
        <f>SUMIF(J:J,Table1[[#This Row],[Season]],F:F)</f>
        <v>58607</v>
      </c>
    </row>
    <row r="3164" spans="1:20" x14ac:dyDescent="0.3">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c r="S3164" t="str">
        <f>INDEX(Q:Q,MATCH(Table1[[#This Row],[Item Purchased]],D:D))</f>
        <v>PayPal</v>
      </c>
      <c r="T3164">
        <f>SUMIF(J:J,Table1[[#This Row],[Season]],F:F)</f>
        <v>58607</v>
      </c>
    </row>
    <row r="3165" spans="1:20" x14ac:dyDescent="0.3">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c r="S3165" t="str">
        <f>INDEX(Q:Q,MATCH(Table1[[#This Row],[Item Purchased]],D:D))</f>
        <v>Cash</v>
      </c>
      <c r="T3165">
        <f>SUMIF(J:J,Table1[[#This Row],[Season]],F:F)</f>
        <v>55777</v>
      </c>
    </row>
    <row r="3166" spans="1:20" x14ac:dyDescent="0.3">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c r="S3166" t="str">
        <f>INDEX(Q:Q,MATCH(Table1[[#This Row],[Item Purchased]],D:D))</f>
        <v>Debit Card</v>
      </c>
      <c r="T3166">
        <f>SUMIF(J:J,Table1[[#This Row],[Season]],F:F)</f>
        <v>58607</v>
      </c>
    </row>
    <row r="3167" spans="1:20" x14ac:dyDescent="0.3">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c r="S3167" t="str">
        <f>INDEX(Q:Q,MATCH(Table1[[#This Row],[Item Purchased]],D:D))</f>
        <v>Debit Card</v>
      </c>
      <c r="T3167">
        <f>SUMIF(J:J,Table1[[#This Row],[Season]],F:F)</f>
        <v>58679</v>
      </c>
    </row>
    <row r="3168" spans="1:20" x14ac:dyDescent="0.3">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c r="S3168" t="str">
        <f>INDEX(Q:Q,MATCH(Table1[[#This Row],[Item Purchased]],D:D))</f>
        <v>Bank Transfer</v>
      </c>
      <c r="T3168">
        <f>SUMIF(J:J,Table1[[#This Row],[Season]],F:F)</f>
        <v>58607</v>
      </c>
    </row>
    <row r="3169" spans="1:20" x14ac:dyDescent="0.3">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c r="S3169" t="str">
        <f>INDEX(Q:Q,MATCH(Table1[[#This Row],[Item Purchased]],D:D))</f>
        <v>Debit Card</v>
      </c>
      <c r="T3169">
        <f>SUMIF(J:J,Table1[[#This Row],[Season]],F:F)</f>
        <v>60018</v>
      </c>
    </row>
    <row r="3170" spans="1:20" x14ac:dyDescent="0.3">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c r="S3170" t="str">
        <f>INDEX(Q:Q,MATCH(Table1[[#This Row],[Item Purchased]],D:D))</f>
        <v>Cash</v>
      </c>
      <c r="T3170">
        <f>SUMIF(J:J,Table1[[#This Row],[Season]],F:F)</f>
        <v>58679</v>
      </c>
    </row>
    <row r="3171" spans="1:20" x14ac:dyDescent="0.3">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c r="S3171" t="str">
        <f>INDEX(Q:Q,MATCH(Table1[[#This Row],[Item Purchased]],D:D))</f>
        <v>Venmo</v>
      </c>
      <c r="T3171">
        <f>SUMIF(J:J,Table1[[#This Row],[Season]],F:F)</f>
        <v>60018</v>
      </c>
    </row>
    <row r="3172" spans="1:20" x14ac:dyDescent="0.3">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c r="S3172" t="str">
        <f>INDEX(Q:Q,MATCH(Table1[[#This Row],[Item Purchased]],D:D))</f>
        <v>Venmo</v>
      </c>
      <c r="T3172">
        <f>SUMIF(J:J,Table1[[#This Row],[Season]],F:F)</f>
        <v>58679</v>
      </c>
    </row>
    <row r="3173" spans="1:20" x14ac:dyDescent="0.3">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c r="S3173" t="str">
        <f>INDEX(Q:Q,MATCH(Table1[[#This Row],[Item Purchased]],D:D))</f>
        <v>Cash</v>
      </c>
      <c r="T3173">
        <f>SUMIF(J:J,Table1[[#This Row],[Season]],F:F)</f>
        <v>58679</v>
      </c>
    </row>
    <row r="3174" spans="1:20" x14ac:dyDescent="0.3">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c r="S3174" t="str">
        <f>INDEX(Q:Q,MATCH(Table1[[#This Row],[Item Purchased]],D:D))</f>
        <v>Venmo</v>
      </c>
      <c r="T3174">
        <f>SUMIF(J:J,Table1[[#This Row],[Season]],F:F)</f>
        <v>60018</v>
      </c>
    </row>
    <row r="3175" spans="1:20" x14ac:dyDescent="0.3">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c r="S3175" t="str">
        <f>INDEX(Q:Q,MATCH(Table1[[#This Row],[Item Purchased]],D:D))</f>
        <v>Credit Card</v>
      </c>
      <c r="T3175">
        <f>SUMIF(J:J,Table1[[#This Row],[Season]],F:F)</f>
        <v>55777</v>
      </c>
    </row>
    <row r="3176" spans="1:20" x14ac:dyDescent="0.3">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c r="S3176" t="str">
        <f>INDEX(Q:Q,MATCH(Table1[[#This Row],[Item Purchased]],D:D))</f>
        <v>Cash</v>
      </c>
      <c r="T3176">
        <f>SUMIF(J:J,Table1[[#This Row],[Season]],F:F)</f>
        <v>58607</v>
      </c>
    </row>
    <row r="3177" spans="1:20" x14ac:dyDescent="0.3">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c r="S3177" t="str">
        <f>INDEX(Q:Q,MATCH(Table1[[#This Row],[Item Purchased]],D:D))</f>
        <v>Venmo</v>
      </c>
      <c r="T3177">
        <f>SUMIF(J:J,Table1[[#This Row],[Season]],F:F)</f>
        <v>60018</v>
      </c>
    </row>
    <row r="3178" spans="1:20" x14ac:dyDescent="0.3">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c r="S3178" t="str">
        <f>INDEX(Q:Q,MATCH(Table1[[#This Row],[Item Purchased]],D:D))</f>
        <v>Bank Transfer</v>
      </c>
      <c r="T3178">
        <f>SUMIF(J:J,Table1[[#This Row],[Season]],F:F)</f>
        <v>58679</v>
      </c>
    </row>
    <row r="3179" spans="1:20" x14ac:dyDescent="0.3">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c r="S3179" t="e">
        <f>INDEX(Q:Q,MATCH(Table1[[#This Row],[Item Purchased]],D:D))</f>
        <v>#N/A</v>
      </c>
      <c r="T3179">
        <f>SUMIF(J:J,Table1[[#This Row],[Season]],F:F)</f>
        <v>60018</v>
      </c>
    </row>
    <row r="3180" spans="1:20" x14ac:dyDescent="0.3">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c r="S3180" t="str">
        <f>INDEX(Q:Q,MATCH(Table1[[#This Row],[Item Purchased]],D:D))</f>
        <v>Bank Transfer</v>
      </c>
      <c r="T3180">
        <f>SUMIF(J:J,Table1[[#This Row],[Season]],F:F)</f>
        <v>58679</v>
      </c>
    </row>
    <row r="3181" spans="1:20" x14ac:dyDescent="0.3">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c r="S3181" t="str">
        <f>INDEX(Q:Q,MATCH(Table1[[#This Row],[Item Purchased]],D:D))</f>
        <v>PayPal</v>
      </c>
      <c r="T3181">
        <f>SUMIF(J:J,Table1[[#This Row],[Season]],F:F)</f>
        <v>58679</v>
      </c>
    </row>
    <row r="3182" spans="1:20" x14ac:dyDescent="0.3">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c r="S3182" t="str">
        <f>INDEX(Q:Q,MATCH(Table1[[#This Row],[Item Purchased]],D:D))</f>
        <v>Cash</v>
      </c>
      <c r="T3182">
        <f>SUMIF(J:J,Table1[[#This Row],[Season]],F:F)</f>
        <v>60018</v>
      </c>
    </row>
    <row r="3183" spans="1:20" x14ac:dyDescent="0.3">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c r="S3183" t="str">
        <f>INDEX(Q:Q,MATCH(Table1[[#This Row],[Item Purchased]],D:D))</f>
        <v>Debit Card</v>
      </c>
      <c r="T3183">
        <f>SUMIF(J:J,Table1[[#This Row],[Season]],F:F)</f>
        <v>55777</v>
      </c>
    </row>
    <row r="3184" spans="1:20" x14ac:dyDescent="0.3">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c r="S3184" t="str">
        <f>INDEX(Q:Q,MATCH(Table1[[#This Row],[Item Purchased]],D:D))</f>
        <v>Venmo</v>
      </c>
      <c r="T3184">
        <f>SUMIF(J:J,Table1[[#This Row],[Season]],F:F)</f>
        <v>60018</v>
      </c>
    </row>
    <row r="3185" spans="1:20" x14ac:dyDescent="0.3">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c r="S3185" t="str">
        <f>INDEX(Q:Q,MATCH(Table1[[#This Row],[Item Purchased]],D:D))</f>
        <v>Venmo</v>
      </c>
      <c r="T3185">
        <f>SUMIF(J:J,Table1[[#This Row],[Season]],F:F)</f>
        <v>58607</v>
      </c>
    </row>
    <row r="3186" spans="1:20" x14ac:dyDescent="0.3">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c r="S3186" t="str">
        <f>INDEX(Q:Q,MATCH(Table1[[#This Row],[Item Purchased]],D:D))</f>
        <v>Venmo</v>
      </c>
      <c r="T3186">
        <f>SUMIF(J:J,Table1[[#This Row],[Season]],F:F)</f>
        <v>58679</v>
      </c>
    </row>
    <row r="3187" spans="1:20" x14ac:dyDescent="0.3">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c r="S3187" t="str">
        <f>INDEX(Q:Q,MATCH(Table1[[#This Row],[Item Purchased]],D:D))</f>
        <v>Credit Card</v>
      </c>
      <c r="T3187">
        <f>SUMIF(J:J,Table1[[#This Row],[Season]],F:F)</f>
        <v>60018</v>
      </c>
    </row>
    <row r="3188" spans="1:20" x14ac:dyDescent="0.3">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c r="S3188" t="str">
        <f>INDEX(Q:Q,MATCH(Table1[[#This Row],[Item Purchased]],D:D))</f>
        <v>Cash</v>
      </c>
      <c r="T3188">
        <f>SUMIF(J:J,Table1[[#This Row],[Season]],F:F)</f>
        <v>58607</v>
      </c>
    </row>
    <row r="3189" spans="1:20" x14ac:dyDescent="0.3">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c r="S3189" t="str">
        <f>INDEX(Q:Q,MATCH(Table1[[#This Row],[Item Purchased]],D:D))</f>
        <v>Venmo</v>
      </c>
      <c r="T3189">
        <f>SUMIF(J:J,Table1[[#This Row],[Season]],F:F)</f>
        <v>58607</v>
      </c>
    </row>
    <row r="3190" spans="1:20" x14ac:dyDescent="0.3">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c r="S3190" t="str">
        <f>INDEX(Q:Q,MATCH(Table1[[#This Row],[Item Purchased]],D:D))</f>
        <v>Venmo</v>
      </c>
      <c r="T3190">
        <f>SUMIF(J:J,Table1[[#This Row],[Season]],F:F)</f>
        <v>58607</v>
      </c>
    </row>
    <row r="3191" spans="1:20" x14ac:dyDescent="0.3">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c r="S3191" t="str">
        <f>INDEX(Q:Q,MATCH(Table1[[#This Row],[Item Purchased]],D:D))</f>
        <v>Venmo</v>
      </c>
      <c r="T3191">
        <f>SUMIF(J:J,Table1[[#This Row],[Season]],F:F)</f>
        <v>55777</v>
      </c>
    </row>
    <row r="3192" spans="1:20" x14ac:dyDescent="0.3">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c r="S3192" t="str">
        <f>INDEX(Q:Q,MATCH(Table1[[#This Row],[Item Purchased]],D:D))</f>
        <v>Cash</v>
      </c>
      <c r="T3192">
        <f>SUMIF(J:J,Table1[[#This Row],[Season]],F:F)</f>
        <v>60018</v>
      </c>
    </row>
    <row r="3193" spans="1:20" x14ac:dyDescent="0.3">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c r="S3193" t="str">
        <f>INDEX(Q:Q,MATCH(Table1[[#This Row],[Item Purchased]],D:D))</f>
        <v>Venmo</v>
      </c>
      <c r="T3193">
        <f>SUMIF(J:J,Table1[[#This Row],[Season]],F:F)</f>
        <v>58607</v>
      </c>
    </row>
    <row r="3194" spans="1:20" x14ac:dyDescent="0.3">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c r="S3194" t="str">
        <f>INDEX(Q:Q,MATCH(Table1[[#This Row],[Item Purchased]],D:D))</f>
        <v>Venmo</v>
      </c>
      <c r="T3194">
        <f>SUMIF(J:J,Table1[[#This Row],[Season]],F:F)</f>
        <v>60018</v>
      </c>
    </row>
    <row r="3195" spans="1:20" x14ac:dyDescent="0.3">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c r="S3195" t="str">
        <f>INDEX(Q:Q,MATCH(Table1[[#This Row],[Item Purchased]],D:D))</f>
        <v>Debit Card</v>
      </c>
      <c r="T3195">
        <f>SUMIF(J:J,Table1[[#This Row],[Season]],F:F)</f>
        <v>58607</v>
      </c>
    </row>
    <row r="3196" spans="1:20" x14ac:dyDescent="0.3">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c r="S3196" t="str">
        <f>INDEX(Q:Q,MATCH(Table1[[#This Row],[Item Purchased]],D:D))</f>
        <v>Venmo</v>
      </c>
      <c r="T3196">
        <f>SUMIF(J:J,Table1[[#This Row],[Season]],F:F)</f>
        <v>55777</v>
      </c>
    </row>
    <row r="3197" spans="1:20" x14ac:dyDescent="0.3">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c r="S3197" t="str">
        <f>INDEX(Q:Q,MATCH(Table1[[#This Row],[Item Purchased]],D:D))</f>
        <v>Venmo</v>
      </c>
      <c r="T3197">
        <f>SUMIF(J:J,Table1[[#This Row],[Season]],F:F)</f>
        <v>58679</v>
      </c>
    </row>
    <row r="3198" spans="1:20" x14ac:dyDescent="0.3">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c r="S3198" t="e">
        <f>INDEX(Q:Q,MATCH(Table1[[#This Row],[Item Purchased]],D:D))</f>
        <v>#N/A</v>
      </c>
      <c r="T3198">
        <f>SUMIF(J:J,Table1[[#This Row],[Season]],F:F)</f>
        <v>58607</v>
      </c>
    </row>
    <row r="3199" spans="1:20" x14ac:dyDescent="0.3">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c r="S3199" t="str">
        <f>INDEX(Q:Q,MATCH(Table1[[#This Row],[Item Purchased]],D:D))</f>
        <v>Venmo</v>
      </c>
      <c r="T3199">
        <f>SUMIF(J:J,Table1[[#This Row],[Season]],F:F)</f>
        <v>58679</v>
      </c>
    </row>
    <row r="3200" spans="1:20" x14ac:dyDescent="0.3">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c r="S3200" t="str">
        <f>INDEX(Q:Q,MATCH(Table1[[#This Row],[Item Purchased]],D:D))</f>
        <v>Debit Card</v>
      </c>
      <c r="T3200">
        <f>SUMIF(J:J,Table1[[#This Row],[Season]],F:F)</f>
        <v>58607</v>
      </c>
    </row>
    <row r="3201" spans="1:20" x14ac:dyDescent="0.3">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c r="S3201" t="str">
        <f>INDEX(Q:Q,MATCH(Table1[[#This Row],[Item Purchased]],D:D))</f>
        <v>Cash</v>
      </c>
      <c r="T3201">
        <f>SUMIF(J:J,Table1[[#This Row],[Season]],F:F)</f>
        <v>58607</v>
      </c>
    </row>
    <row r="3202" spans="1:20" x14ac:dyDescent="0.3">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c r="S3202" t="str">
        <f>INDEX(Q:Q,MATCH(Table1[[#This Row],[Item Purchased]],D:D))</f>
        <v>Venmo</v>
      </c>
      <c r="T3202">
        <f>SUMIF(J:J,Table1[[#This Row],[Season]],F:F)</f>
        <v>58679</v>
      </c>
    </row>
    <row r="3203" spans="1:20" x14ac:dyDescent="0.3">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c r="S3203" t="str">
        <f>INDEX(Q:Q,MATCH(Table1[[#This Row],[Item Purchased]],D:D))</f>
        <v>Cash</v>
      </c>
      <c r="T3203">
        <f>SUMIF(J:J,Table1[[#This Row],[Season]],F:F)</f>
        <v>60018</v>
      </c>
    </row>
    <row r="3204" spans="1:20" x14ac:dyDescent="0.3">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c r="S3204" t="str">
        <f>INDEX(Q:Q,MATCH(Table1[[#This Row],[Item Purchased]],D:D))</f>
        <v>Bank Transfer</v>
      </c>
      <c r="T3204">
        <f>SUMIF(J:J,Table1[[#This Row],[Season]],F:F)</f>
        <v>60018</v>
      </c>
    </row>
    <row r="3205" spans="1:20" x14ac:dyDescent="0.3">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c r="S3205" t="str">
        <f>INDEX(Q:Q,MATCH(Table1[[#This Row],[Item Purchased]],D:D))</f>
        <v>Debit Card</v>
      </c>
      <c r="T3205">
        <f>SUMIF(J:J,Table1[[#This Row],[Season]],F:F)</f>
        <v>58679</v>
      </c>
    </row>
    <row r="3206" spans="1:20" x14ac:dyDescent="0.3">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c r="S3206" t="str">
        <f>INDEX(Q:Q,MATCH(Table1[[#This Row],[Item Purchased]],D:D))</f>
        <v>Debit Card</v>
      </c>
      <c r="T3206">
        <f>SUMIF(J:J,Table1[[#This Row],[Season]],F:F)</f>
        <v>60018</v>
      </c>
    </row>
    <row r="3207" spans="1:20" x14ac:dyDescent="0.3">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c r="S3207" t="str">
        <f>INDEX(Q:Q,MATCH(Table1[[#This Row],[Item Purchased]],D:D))</f>
        <v>Venmo</v>
      </c>
      <c r="T3207">
        <f>SUMIF(J:J,Table1[[#This Row],[Season]],F:F)</f>
        <v>60018</v>
      </c>
    </row>
    <row r="3208" spans="1:20" x14ac:dyDescent="0.3">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c r="S3208" t="str">
        <f>INDEX(Q:Q,MATCH(Table1[[#This Row],[Item Purchased]],D:D))</f>
        <v>Venmo</v>
      </c>
      <c r="T3208">
        <f>SUMIF(J:J,Table1[[#This Row],[Season]],F:F)</f>
        <v>58607</v>
      </c>
    </row>
    <row r="3209" spans="1:20" x14ac:dyDescent="0.3">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c r="S3209" t="str">
        <f>INDEX(Q:Q,MATCH(Table1[[#This Row],[Item Purchased]],D:D))</f>
        <v>Venmo</v>
      </c>
      <c r="T3209">
        <f>SUMIF(J:J,Table1[[#This Row],[Season]],F:F)</f>
        <v>55777</v>
      </c>
    </row>
    <row r="3210" spans="1:20" x14ac:dyDescent="0.3">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c r="S3210" t="str">
        <f>INDEX(Q:Q,MATCH(Table1[[#This Row],[Item Purchased]],D:D))</f>
        <v>Cash</v>
      </c>
      <c r="T3210">
        <f>SUMIF(J:J,Table1[[#This Row],[Season]],F:F)</f>
        <v>58607</v>
      </c>
    </row>
    <row r="3211" spans="1:20" x14ac:dyDescent="0.3">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c r="S3211" t="str">
        <f>INDEX(Q:Q,MATCH(Table1[[#This Row],[Item Purchased]],D:D))</f>
        <v>PayPal</v>
      </c>
      <c r="T3211">
        <f>SUMIF(J:J,Table1[[#This Row],[Season]],F:F)</f>
        <v>60018</v>
      </c>
    </row>
    <row r="3212" spans="1:20" x14ac:dyDescent="0.3">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c r="S3212" t="str">
        <f>INDEX(Q:Q,MATCH(Table1[[#This Row],[Item Purchased]],D:D))</f>
        <v>Venmo</v>
      </c>
      <c r="T3212">
        <f>SUMIF(J:J,Table1[[#This Row],[Season]],F:F)</f>
        <v>55777</v>
      </c>
    </row>
    <row r="3213" spans="1:20" x14ac:dyDescent="0.3">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c r="S3213" t="str">
        <f>INDEX(Q:Q,MATCH(Table1[[#This Row],[Item Purchased]],D:D))</f>
        <v>Cash</v>
      </c>
      <c r="T3213">
        <f>SUMIF(J:J,Table1[[#This Row],[Season]],F:F)</f>
        <v>58607</v>
      </c>
    </row>
    <row r="3214" spans="1:20" x14ac:dyDescent="0.3">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c r="S3214" t="str">
        <f>INDEX(Q:Q,MATCH(Table1[[#This Row],[Item Purchased]],D:D))</f>
        <v>Venmo</v>
      </c>
      <c r="T3214">
        <f>SUMIF(J:J,Table1[[#This Row],[Season]],F:F)</f>
        <v>58607</v>
      </c>
    </row>
    <row r="3215" spans="1:20" x14ac:dyDescent="0.3">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c r="S3215" t="str">
        <f>INDEX(Q:Q,MATCH(Table1[[#This Row],[Item Purchased]],D:D))</f>
        <v>Venmo</v>
      </c>
      <c r="T3215">
        <f>SUMIF(J:J,Table1[[#This Row],[Season]],F:F)</f>
        <v>58607</v>
      </c>
    </row>
    <row r="3216" spans="1:20" x14ac:dyDescent="0.3">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c r="S3216" t="str">
        <f>INDEX(Q:Q,MATCH(Table1[[#This Row],[Item Purchased]],D:D))</f>
        <v>Credit Card</v>
      </c>
      <c r="T3216">
        <f>SUMIF(J:J,Table1[[#This Row],[Season]],F:F)</f>
        <v>58679</v>
      </c>
    </row>
    <row r="3217" spans="1:20" x14ac:dyDescent="0.3">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c r="S3217" t="str">
        <f>INDEX(Q:Q,MATCH(Table1[[#This Row],[Item Purchased]],D:D))</f>
        <v>Debit Card</v>
      </c>
      <c r="T3217">
        <f>SUMIF(J:J,Table1[[#This Row],[Season]],F:F)</f>
        <v>55777</v>
      </c>
    </row>
    <row r="3218" spans="1:20" x14ac:dyDescent="0.3">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c r="S3218" t="str">
        <f>INDEX(Q:Q,MATCH(Table1[[#This Row],[Item Purchased]],D:D))</f>
        <v>Venmo</v>
      </c>
      <c r="T3218">
        <f>SUMIF(J:J,Table1[[#This Row],[Season]],F:F)</f>
        <v>58607</v>
      </c>
    </row>
    <row r="3219" spans="1:20" x14ac:dyDescent="0.3">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c r="S3219" t="str">
        <f>INDEX(Q:Q,MATCH(Table1[[#This Row],[Item Purchased]],D:D))</f>
        <v>Venmo</v>
      </c>
      <c r="T3219">
        <f>SUMIF(J:J,Table1[[#This Row],[Season]],F:F)</f>
        <v>60018</v>
      </c>
    </row>
    <row r="3220" spans="1:20" x14ac:dyDescent="0.3">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c r="S3220" t="str">
        <f>INDEX(Q:Q,MATCH(Table1[[#This Row],[Item Purchased]],D:D))</f>
        <v>Credit Card</v>
      </c>
      <c r="T3220">
        <f>SUMIF(J:J,Table1[[#This Row],[Season]],F:F)</f>
        <v>60018</v>
      </c>
    </row>
    <row r="3221" spans="1:20" x14ac:dyDescent="0.3">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c r="S3221" t="str">
        <f>INDEX(Q:Q,MATCH(Table1[[#This Row],[Item Purchased]],D:D))</f>
        <v>Debit Card</v>
      </c>
      <c r="T3221">
        <f>SUMIF(J:J,Table1[[#This Row],[Season]],F:F)</f>
        <v>55777</v>
      </c>
    </row>
    <row r="3222" spans="1:20" x14ac:dyDescent="0.3">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c r="S3222" t="str">
        <f>INDEX(Q:Q,MATCH(Table1[[#This Row],[Item Purchased]],D:D))</f>
        <v>Cash</v>
      </c>
      <c r="T3222">
        <f>SUMIF(J:J,Table1[[#This Row],[Season]],F:F)</f>
        <v>60018</v>
      </c>
    </row>
    <row r="3223" spans="1:20" x14ac:dyDescent="0.3">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c r="S3223" t="str">
        <f>INDEX(Q:Q,MATCH(Table1[[#This Row],[Item Purchased]],D:D))</f>
        <v>Venmo</v>
      </c>
      <c r="T3223">
        <f>SUMIF(J:J,Table1[[#This Row],[Season]],F:F)</f>
        <v>58607</v>
      </c>
    </row>
    <row r="3224" spans="1:20" x14ac:dyDescent="0.3">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c r="S3224" t="str">
        <f>INDEX(Q:Q,MATCH(Table1[[#This Row],[Item Purchased]],D:D))</f>
        <v>Venmo</v>
      </c>
      <c r="T3224">
        <f>SUMIF(J:J,Table1[[#This Row],[Season]],F:F)</f>
        <v>60018</v>
      </c>
    </row>
    <row r="3225" spans="1:20" x14ac:dyDescent="0.3">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c r="S3225" t="str">
        <f>INDEX(Q:Q,MATCH(Table1[[#This Row],[Item Purchased]],D:D))</f>
        <v>Bank Transfer</v>
      </c>
      <c r="T3225">
        <f>SUMIF(J:J,Table1[[#This Row],[Season]],F:F)</f>
        <v>58679</v>
      </c>
    </row>
    <row r="3226" spans="1:20" x14ac:dyDescent="0.3">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c r="S3226" t="str">
        <f>INDEX(Q:Q,MATCH(Table1[[#This Row],[Item Purchased]],D:D))</f>
        <v>Venmo</v>
      </c>
      <c r="T3226">
        <f>SUMIF(J:J,Table1[[#This Row],[Season]],F:F)</f>
        <v>58607</v>
      </c>
    </row>
    <row r="3227" spans="1:20" x14ac:dyDescent="0.3">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c r="S3227" t="str">
        <f>INDEX(Q:Q,MATCH(Table1[[#This Row],[Item Purchased]],D:D))</f>
        <v>Venmo</v>
      </c>
      <c r="T3227">
        <f>SUMIF(J:J,Table1[[#This Row],[Season]],F:F)</f>
        <v>60018</v>
      </c>
    </row>
    <row r="3228" spans="1:20" x14ac:dyDescent="0.3">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c r="S3228" t="str">
        <f>INDEX(Q:Q,MATCH(Table1[[#This Row],[Item Purchased]],D:D))</f>
        <v>Venmo</v>
      </c>
      <c r="T3228">
        <f>SUMIF(J:J,Table1[[#This Row],[Season]],F:F)</f>
        <v>58679</v>
      </c>
    </row>
    <row r="3229" spans="1:20" x14ac:dyDescent="0.3">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c r="S3229" t="str">
        <f>INDEX(Q:Q,MATCH(Table1[[#This Row],[Item Purchased]],D:D))</f>
        <v>Bank Transfer</v>
      </c>
      <c r="T3229">
        <f>SUMIF(J:J,Table1[[#This Row],[Season]],F:F)</f>
        <v>60018</v>
      </c>
    </row>
    <row r="3230" spans="1:20" x14ac:dyDescent="0.3">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c r="S3230" t="str">
        <f>INDEX(Q:Q,MATCH(Table1[[#This Row],[Item Purchased]],D:D))</f>
        <v>Cash</v>
      </c>
      <c r="T3230">
        <f>SUMIF(J:J,Table1[[#This Row],[Season]],F:F)</f>
        <v>58679</v>
      </c>
    </row>
    <row r="3231" spans="1:20" x14ac:dyDescent="0.3">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c r="S3231" t="str">
        <f>INDEX(Q:Q,MATCH(Table1[[#This Row],[Item Purchased]],D:D))</f>
        <v>Cash</v>
      </c>
      <c r="T3231">
        <f>SUMIF(J:J,Table1[[#This Row],[Season]],F:F)</f>
        <v>60018</v>
      </c>
    </row>
    <row r="3232" spans="1:20" x14ac:dyDescent="0.3">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c r="S3232" t="str">
        <f>INDEX(Q:Q,MATCH(Table1[[#This Row],[Item Purchased]],D:D))</f>
        <v>Venmo</v>
      </c>
      <c r="T3232">
        <f>SUMIF(J:J,Table1[[#This Row],[Season]],F:F)</f>
        <v>55777</v>
      </c>
    </row>
    <row r="3233" spans="1:20" x14ac:dyDescent="0.3">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c r="S3233" t="str">
        <f>INDEX(Q:Q,MATCH(Table1[[#This Row],[Item Purchased]],D:D))</f>
        <v>PayPal</v>
      </c>
      <c r="T3233">
        <f>SUMIF(J:J,Table1[[#This Row],[Season]],F:F)</f>
        <v>58607</v>
      </c>
    </row>
    <row r="3234" spans="1:20" x14ac:dyDescent="0.3">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c r="S3234" t="str">
        <f>INDEX(Q:Q,MATCH(Table1[[#This Row],[Item Purchased]],D:D))</f>
        <v>Venmo</v>
      </c>
      <c r="T3234">
        <f>SUMIF(J:J,Table1[[#This Row],[Season]],F:F)</f>
        <v>58679</v>
      </c>
    </row>
    <row r="3235" spans="1:20" x14ac:dyDescent="0.3">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c r="S3235" t="e">
        <f>INDEX(Q:Q,MATCH(Table1[[#This Row],[Item Purchased]],D:D))</f>
        <v>#N/A</v>
      </c>
      <c r="T3235">
        <f>SUMIF(J:J,Table1[[#This Row],[Season]],F:F)</f>
        <v>60018</v>
      </c>
    </row>
    <row r="3236" spans="1:20" x14ac:dyDescent="0.3">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c r="S3236" t="str">
        <f>INDEX(Q:Q,MATCH(Table1[[#This Row],[Item Purchased]],D:D))</f>
        <v>Cash</v>
      </c>
      <c r="T3236">
        <f>SUMIF(J:J,Table1[[#This Row],[Season]],F:F)</f>
        <v>58607</v>
      </c>
    </row>
    <row r="3237" spans="1:20" x14ac:dyDescent="0.3">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c r="S3237" t="e">
        <f>INDEX(Q:Q,MATCH(Table1[[#This Row],[Item Purchased]],D:D))</f>
        <v>#N/A</v>
      </c>
      <c r="T3237">
        <f>SUMIF(J:J,Table1[[#This Row],[Season]],F:F)</f>
        <v>55777</v>
      </c>
    </row>
    <row r="3238" spans="1:20" x14ac:dyDescent="0.3">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c r="S3238" t="e">
        <f>INDEX(Q:Q,MATCH(Table1[[#This Row],[Item Purchased]],D:D))</f>
        <v>#N/A</v>
      </c>
      <c r="T3238">
        <f>SUMIF(J:J,Table1[[#This Row],[Season]],F:F)</f>
        <v>60018</v>
      </c>
    </row>
    <row r="3239" spans="1:20" x14ac:dyDescent="0.3">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c r="S3239" t="str">
        <f>INDEX(Q:Q,MATCH(Table1[[#This Row],[Item Purchased]],D:D))</f>
        <v>Venmo</v>
      </c>
      <c r="T3239">
        <f>SUMIF(J:J,Table1[[#This Row],[Season]],F:F)</f>
        <v>55777</v>
      </c>
    </row>
    <row r="3240" spans="1:20" x14ac:dyDescent="0.3">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c r="S3240" t="str">
        <f>INDEX(Q:Q,MATCH(Table1[[#This Row],[Item Purchased]],D:D))</f>
        <v>Venmo</v>
      </c>
      <c r="T3240">
        <f>SUMIF(J:J,Table1[[#This Row],[Season]],F:F)</f>
        <v>60018</v>
      </c>
    </row>
    <row r="3241" spans="1:20" x14ac:dyDescent="0.3">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c r="S3241" t="str">
        <f>INDEX(Q:Q,MATCH(Table1[[#This Row],[Item Purchased]],D:D))</f>
        <v>Venmo</v>
      </c>
      <c r="T3241">
        <f>SUMIF(J:J,Table1[[#This Row],[Season]],F:F)</f>
        <v>60018</v>
      </c>
    </row>
    <row r="3242" spans="1:20" x14ac:dyDescent="0.3">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c r="S3242" t="str">
        <f>INDEX(Q:Q,MATCH(Table1[[#This Row],[Item Purchased]],D:D))</f>
        <v>Bank Transfer</v>
      </c>
      <c r="T3242">
        <f>SUMIF(J:J,Table1[[#This Row],[Season]],F:F)</f>
        <v>60018</v>
      </c>
    </row>
    <row r="3243" spans="1:20" x14ac:dyDescent="0.3">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c r="S3243" t="str">
        <f>INDEX(Q:Q,MATCH(Table1[[#This Row],[Item Purchased]],D:D))</f>
        <v>Cash</v>
      </c>
      <c r="T3243">
        <f>SUMIF(J:J,Table1[[#This Row],[Season]],F:F)</f>
        <v>55777</v>
      </c>
    </row>
    <row r="3244" spans="1:20" x14ac:dyDescent="0.3">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c r="S3244" t="str">
        <f>INDEX(Q:Q,MATCH(Table1[[#This Row],[Item Purchased]],D:D))</f>
        <v>Venmo</v>
      </c>
      <c r="T3244">
        <f>SUMIF(J:J,Table1[[#This Row],[Season]],F:F)</f>
        <v>60018</v>
      </c>
    </row>
    <row r="3245" spans="1:20" x14ac:dyDescent="0.3">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c r="S3245" t="str">
        <f>INDEX(Q:Q,MATCH(Table1[[#This Row],[Item Purchased]],D:D))</f>
        <v>Venmo</v>
      </c>
      <c r="T3245">
        <f>SUMIF(J:J,Table1[[#This Row],[Season]],F:F)</f>
        <v>55777</v>
      </c>
    </row>
    <row r="3246" spans="1:20" x14ac:dyDescent="0.3">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c r="S3246" t="str">
        <f>INDEX(Q:Q,MATCH(Table1[[#This Row],[Item Purchased]],D:D))</f>
        <v>Venmo</v>
      </c>
      <c r="T3246">
        <f>SUMIF(J:J,Table1[[#This Row],[Season]],F:F)</f>
        <v>60018</v>
      </c>
    </row>
    <row r="3247" spans="1:20" x14ac:dyDescent="0.3">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c r="S3247" t="str">
        <f>INDEX(Q:Q,MATCH(Table1[[#This Row],[Item Purchased]],D:D))</f>
        <v>Cash</v>
      </c>
      <c r="T3247">
        <f>SUMIF(J:J,Table1[[#This Row],[Season]],F:F)</f>
        <v>60018</v>
      </c>
    </row>
    <row r="3248" spans="1:20" x14ac:dyDescent="0.3">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c r="S3248" t="str">
        <f>INDEX(Q:Q,MATCH(Table1[[#This Row],[Item Purchased]],D:D))</f>
        <v>Venmo</v>
      </c>
      <c r="T3248">
        <f>SUMIF(J:J,Table1[[#This Row],[Season]],F:F)</f>
        <v>55777</v>
      </c>
    </row>
    <row r="3249" spans="1:20" x14ac:dyDescent="0.3">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c r="S3249" t="str">
        <f>INDEX(Q:Q,MATCH(Table1[[#This Row],[Item Purchased]],D:D))</f>
        <v>Debit Card</v>
      </c>
      <c r="T3249">
        <f>SUMIF(J:J,Table1[[#This Row],[Season]],F:F)</f>
        <v>55777</v>
      </c>
    </row>
    <row r="3250" spans="1:20" x14ac:dyDescent="0.3">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c r="S3250" t="str">
        <f>INDEX(Q:Q,MATCH(Table1[[#This Row],[Item Purchased]],D:D))</f>
        <v>Venmo</v>
      </c>
      <c r="T3250">
        <f>SUMIF(J:J,Table1[[#This Row],[Season]],F:F)</f>
        <v>55777</v>
      </c>
    </row>
    <row r="3251" spans="1:20" x14ac:dyDescent="0.3">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c r="S3251" t="e">
        <f>INDEX(Q:Q,MATCH(Table1[[#This Row],[Item Purchased]],D:D))</f>
        <v>#N/A</v>
      </c>
      <c r="T3251">
        <f>SUMIF(J:J,Table1[[#This Row],[Season]],F:F)</f>
        <v>55777</v>
      </c>
    </row>
    <row r="3252" spans="1:20" x14ac:dyDescent="0.3">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c r="S3252" t="str">
        <f>INDEX(Q:Q,MATCH(Table1[[#This Row],[Item Purchased]],D:D))</f>
        <v>Debit Card</v>
      </c>
      <c r="T3252">
        <f>SUMIF(J:J,Table1[[#This Row],[Season]],F:F)</f>
        <v>58679</v>
      </c>
    </row>
    <row r="3253" spans="1:20" x14ac:dyDescent="0.3">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c r="S3253" t="str">
        <f>INDEX(Q:Q,MATCH(Table1[[#This Row],[Item Purchased]],D:D))</f>
        <v>Debit Card</v>
      </c>
      <c r="T3253">
        <f>SUMIF(J:J,Table1[[#This Row],[Season]],F:F)</f>
        <v>58607</v>
      </c>
    </row>
    <row r="3254" spans="1:20" x14ac:dyDescent="0.3">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c r="S3254" t="str">
        <f>INDEX(Q:Q,MATCH(Table1[[#This Row],[Item Purchased]],D:D))</f>
        <v>Bank Transfer</v>
      </c>
      <c r="T3254">
        <f>SUMIF(J:J,Table1[[#This Row],[Season]],F:F)</f>
        <v>58679</v>
      </c>
    </row>
    <row r="3255" spans="1:20" x14ac:dyDescent="0.3">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c r="S3255" t="e">
        <f>INDEX(Q:Q,MATCH(Table1[[#This Row],[Item Purchased]],D:D))</f>
        <v>#N/A</v>
      </c>
      <c r="T3255">
        <f>SUMIF(J:J,Table1[[#This Row],[Season]],F:F)</f>
        <v>60018</v>
      </c>
    </row>
    <row r="3256" spans="1:20" x14ac:dyDescent="0.3">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c r="S3256" t="str">
        <f>INDEX(Q:Q,MATCH(Table1[[#This Row],[Item Purchased]],D:D))</f>
        <v>Venmo</v>
      </c>
      <c r="T3256">
        <f>SUMIF(J:J,Table1[[#This Row],[Season]],F:F)</f>
        <v>58607</v>
      </c>
    </row>
    <row r="3257" spans="1:20" x14ac:dyDescent="0.3">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c r="S3257" t="str">
        <f>INDEX(Q:Q,MATCH(Table1[[#This Row],[Item Purchased]],D:D))</f>
        <v>PayPal</v>
      </c>
      <c r="T3257">
        <f>SUMIF(J:J,Table1[[#This Row],[Season]],F:F)</f>
        <v>60018</v>
      </c>
    </row>
    <row r="3258" spans="1:20" x14ac:dyDescent="0.3">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c r="S3258" t="str">
        <f>INDEX(Q:Q,MATCH(Table1[[#This Row],[Item Purchased]],D:D))</f>
        <v>Venmo</v>
      </c>
      <c r="T3258">
        <f>SUMIF(J:J,Table1[[#This Row],[Season]],F:F)</f>
        <v>58607</v>
      </c>
    </row>
    <row r="3259" spans="1:20" x14ac:dyDescent="0.3">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c r="S3259" t="str">
        <f>INDEX(Q:Q,MATCH(Table1[[#This Row],[Item Purchased]],D:D))</f>
        <v>Bank Transfer</v>
      </c>
      <c r="T3259">
        <f>SUMIF(J:J,Table1[[#This Row],[Season]],F:F)</f>
        <v>60018</v>
      </c>
    </row>
    <row r="3260" spans="1:20" x14ac:dyDescent="0.3">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c r="S3260" t="str">
        <f>INDEX(Q:Q,MATCH(Table1[[#This Row],[Item Purchased]],D:D))</f>
        <v>PayPal</v>
      </c>
      <c r="T3260">
        <f>SUMIF(J:J,Table1[[#This Row],[Season]],F:F)</f>
        <v>58679</v>
      </c>
    </row>
    <row r="3261" spans="1:20" x14ac:dyDescent="0.3">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c r="S3261" t="str">
        <f>INDEX(Q:Q,MATCH(Table1[[#This Row],[Item Purchased]],D:D))</f>
        <v>Venmo</v>
      </c>
      <c r="T3261">
        <f>SUMIF(J:J,Table1[[#This Row],[Season]],F:F)</f>
        <v>60018</v>
      </c>
    </row>
    <row r="3262" spans="1:20" x14ac:dyDescent="0.3">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c r="S3262" t="str">
        <f>INDEX(Q:Q,MATCH(Table1[[#This Row],[Item Purchased]],D:D))</f>
        <v>Bank Transfer</v>
      </c>
      <c r="T3262">
        <f>SUMIF(J:J,Table1[[#This Row],[Season]],F:F)</f>
        <v>55777</v>
      </c>
    </row>
    <row r="3263" spans="1:20" x14ac:dyDescent="0.3">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c r="S3263" t="e">
        <f>INDEX(Q:Q,MATCH(Table1[[#This Row],[Item Purchased]],D:D))</f>
        <v>#N/A</v>
      </c>
      <c r="T3263">
        <f>SUMIF(J:J,Table1[[#This Row],[Season]],F:F)</f>
        <v>58607</v>
      </c>
    </row>
    <row r="3264" spans="1:20" x14ac:dyDescent="0.3">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c r="S3264" t="str">
        <f>INDEX(Q:Q,MATCH(Table1[[#This Row],[Item Purchased]],D:D))</f>
        <v>Venmo</v>
      </c>
      <c r="T3264">
        <f>SUMIF(J:J,Table1[[#This Row],[Season]],F:F)</f>
        <v>58679</v>
      </c>
    </row>
    <row r="3265" spans="1:20" x14ac:dyDescent="0.3">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c r="S3265" t="str">
        <f>INDEX(Q:Q,MATCH(Table1[[#This Row],[Item Purchased]],D:D))</f>
        <v>PayPal</v>
      </c>
      <c r="T3265">
        <f>SUMIF(J:J,Table1[[#This Row],[Season]],F:F)</f>
        <v>60018</v>
      </c>
    </row>
    <row r="3266" spans="1:20" x14ac:dyDescent="0.3">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c r="S3266" t="str">
        <f>INDEX(Q:Q,MATCH(Table1[[#This Row],[Item Purchased]],D:D))</f>
        <v>Cash</v>
      </c>
      <c r="T3266">
        <f>SUMIF(J:J,Table1[[#This Row],[Season]],F:F)</f>
        <v>58607</v>
      </c>
    </row>
    <row r="3267" spans="1:20" x14ac:dyDescent="0.3">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c r="S3267" t="str">
        <f>INDEX(Q:Q,MATCH(Table1[[#This Row],[Item Purchased]],D:D))</f>
        <v>Venmo</v>
      </c>
      <c r="T3267">
        <f>SUMIF(J:J,Table1[[#This Row],[Season]],F:F)</f>
        <v>58607</v>
      </c>
    </row>
    <row r="3268" spans="1:20" x14ac:dyDescent="0.3">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c r="S3268" t="str">
        <f>INDEX(Q:Q,MATCH(Table1[[#This Row],[Item Purchased]],D:D))</f>
        <v>Debit Card</v>
      </c>
      <c r="T3268">
        <f>SUMIF(J:J,Table1[[#This Row],[Season]],F:F)</f>
        <v>58607</v>
      </c>
    </row>
    <row r="3269" spans="1:20" x14ac:dyDescent="0.3">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c r="S3269" t="str">
        <f>INDEX(Q:Q,MATCH(Table1[[#This Row],[Item Purchased]],D:D))</f>
        <v>Venmo</v>
      </c>
      <c r="T3269">
        <f>SUMIF(J:J,Table1[[#This Row],[Season]],F:F)</f>
        <v>58607</v>
      </c>
    </row>
    <row r="3270" spans="1:20" x14ac:dyDescent="0.3">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c r="S3270" t="str">
        <f>INDEX(Q:Q,MATCH(Table1[[#This Row],[Item Purchased]],D:D))</f>
        <v>Debit Card</v>
      </c>
      <c r="T3270">
        <f>SUMIF(J:J,Table1[[#This Row],[Season]],F:F)</f>
        <v>60018</v>
      </c>
    </row>
    <row r="3271" spans="1:20" x14ac:dyDescent="0.3">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c r="S3271" t="str">
        <f>INDEX(Q:Q,MATCH(Table1[[#This Row],[Item Purchased]],D:D))</f>
        <v>Venmo</v>
      </c>
      <c r="T3271">
        <f>SUMIF(J:J,Table1[[#This Row],[Season]],F:F)</f>
        <v>58607</v>
      </c>
    </row>
    <row r="3272" spans="1:20" x14ac:dyDescent="0.3">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c r="S3272" t="str">
        <f>INDEX(Q:Q,MATCH(Table1[[#This Row],[Item Purchased]],D:D))</f>
        <v>Venmo</v>
      </c>
      <c r="T3272">
        <f>SUMIF(J:J,Table1[[#This Row],[Season]],F:F)</f>
        <v>58607</v>
      </c>
    </row>
    <row r="3273" spans="1:20" x14ac:dyDescent="0.3">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c r="S3273" t="str">
        <f>INDEX(Q:Q,MATCH(Table1[[#This Row],[Item Purchased]],D:D))</f>
        <v>Venmo</v>
      </c>
      <c r="T3273">
        <f>SUMIF(J:J,Table1[[#This Row],[Season]],F:F)</f>
        <v>58679</v>
      </c>
    </row>
    <row r="3274" spans="1:20" x14ac:dyDescent="0.3">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c r="S3274" t="str">
        <f>INDEX(Q:Q,MATCH(Table1[[#This Row],[Item Purchased]],D:D))</f>
        <v>PayPal</v>
      </c>
      <c r="T3274">
        <f>SUMIF(J:J,Table1[[#This Row],[Season]],F:F)</f>
        <v>58607</v>
      </c>
    </row>
    <row r="3275" spans="1:20" x14ac:dyDescent="0.3">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c r="S3275" t="e">
        <f>INDEX(Q:Q,MATCH(Table1[[#This Row],[Item Purchased]],D:D))</f>
        <v>#N/A</v>
      </c>
      <c r="T3275">
        <f>SUMIF(J:J,Table1[[#This Row],[Season]],F:F)</f>
        <v>55777</v>
      </c>
    </row>
    <row r="3276" spans="1:20" x14ac:dyDescent="0.3">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c r="S3276" t="str">
        <f>INDEX(Q:Q,MATCH(Table1[[#This Row],[Item Purchased]],D:D))</f>
        <v>Venmo</v>
      </c>
      <c r="T3276">
        <f>SUMIF(J:J,Table1[[#This Row],[Season]],F:F)</f>
        <v>58679</v>
      </c>
    </row>
    <row r="3277" spans="1:20" x14ac:dyDescent="0.3">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c r="S3277" t="str">
        <f>INDEX(Q:Q,MATCH(Table1[[#This Row],[Item Purchased]],D:D))</f>
        <v>Cash</v>
      </c>
      <c r="T3277">
        <f>SUMIF(J:J,Table1[[#This Row],[Season]],F:F)</f>
        <v>55777</v>
      </c>
    </row>
    <row r="3278" spans="1:20" x14ac:dyDescent="0.3">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c r="S3278" t="str">
        <f>INDEX(Q:Q,MATCH(Table1[[#This Row],[Item Purchased]],D:D))</f>
        <v>Bank Transfer</v>
      </c>
      <c r="T3278">
        <f>SUMIF(J:J,Table1[[#This Row],[Season]],F:F)</f>
        <v>55777</v>
      </c>
    </row>
    <row r="3279" spans="1:20" x14ac:dyDescent="0.3">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c r="S3279" t="str">
        <f>INDEX(Q:Q,MATCH(Table1[[#This Row],[Item Purchased]],D:D))</f>
        <v>Credit Card</v>
      </c>
      <c r="T3279">
        <f>SUMIF(J:J,Table1[[#This Row],[Season]],F:F)</f>
        <v>58679</v>
      </c>
    </row>
    <row r="3280" spans="1:20" x14ac:dyDescent="0.3">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c r="S3280" t="str">
        <f>INDEX(Q:Q,MATCH(Table1[[#This Row],[Item Purchased]],D:D))</f>
        <v>Debit Card</v>
      </c>
      <c r="T3280">
        <f>SUMIF(J:J,Table1[[#This Row],[Season]],F:F)</f>
        <v>55777</v>
      </c>
    </row>
    <row r="3281" spans="1:20" x14ac:dyDescent="0.3">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c r="S3281" t="str">
        <f>INDEX(Q:Q,MATCH(Table1[[#This Row],[Item Purchased]],D:D))</f>
        <v>Venmo</v>
      </c>
      <c r="T3281">
        <f>SUMIF(J:J,Table1[[#This Row],[Season]],F:F)</f>
        <v>60018</v>
      </c>
    </row>
    <row r="3282" spans="1:20" x14ac:dyDescent="0.3">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c r="S3282" t="str">
        <f>INDEX(Q:Q,MATCH(Table1[[#This Row],[Item Purchased]],D:D))</f>
        <v>Cash</v>
      </c>
      <c r="T3282">
        <f>SUMIF(J:J,Table1[[#This Row],[Season]],F:F)</f>
        <v>58607</v>
      </c>
    </row>
    <row r="3283" spans="1:20" x14ac:dyDescent="0.3">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c r="S3283" t="str">
        <f>INDEX(Q:Q,MATCH(Table1[[#This Row],[Item Purchased]],D:D))</f>
        <v>Cash</v>
      </c>
      <c r="T3283">
        <f>SUMIF(J:J,Table1[[#This Row],[Season]],F:F)</f>
        <v>58607</v>
      </c>
    </row>
    <row r="3284" spans="1:20" x14ac:dyDescent="0.3">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c r="S3284" t="str">
        <f>INDEX(Q:Q,MATCH(Table1[[#This Row],[Item Purchased]],D:D))</f>
        <v>Venmo</v>
      </c>
      <c r="T3284">
        <f>SUMIF(J:J,Table1[[#This Row],[Season]],F:F)</f>
        <v>60018</v>
      </c>
    </row>
    <row r="3285" spans="1:20" x14ac:dyDescent="0.3">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c r="S3285" t="str">
        <f>INDEX(Q:Q,MATCH(Table1[[#This Row],[Item Purchased]],D:D))</f>
        <v>Debit Card</v>
      </c>
      <c r="T3285">
        <f>SUMIF(J:J,Table1[[#This Row],[Season]],F:F)</f>
        <v>58679</v>
      </c>
    </row>
    <row r="3286" spans="1:20" x14ac:dyDescent="0.3">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c r="S3286" t="str">
        <f>INDEX(Q:Q,MATCH(Table1[[#This Row],[Item Purchased]],D:D))</f>
        <v>Bank Transfer</v>
      </c>
      <c r="T3286">
        <f>SUMIF(J:J,Table1[[#This Row],[Season]],F:F)</f>
        <v>58679</v>
      </c>
    </row>
    <row r="3287" spans="1:20" x14ac:dyDescent="0.3">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c r="S3287" t="str">
        <f>INDEX(Q:Q,MATCH(Table1[[#This Row],[Item Purchased]],D:D))</f>
        <v>Venmo</v>
      </c>
      <c r="T3287">
        <f>SUMIF(J:J,Table1[[#This Row],[Season]],F:F)</f>
        <v>60018</v>
      </c>
    </row>
    <row r="3288" spans="1:20" x14ac:dyDescent="0.3">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c r="S3288" t="str">
        <f>INDEX(Q:Q,MATCH(Table1[[#This Row],[Item Purchased]],D:D))</f>
        <v>Debit Card</v>
      </c>
      <c r="T3288">
        <f>SUMIF(J:J,Table1[[#This Row],[Season]],F:F)</f>
        <v>58607</v>
      </c>
    </row>
    <row r="3289" spans="1:20" x14ac:dyDescent="0.3">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c r="S3289" t="str">
        <f>INDEX(Q:Q,MATCH(Table1[[#This Row],[Item Purchased]],D:D))</f>
        <v>Credit Card</v>
      </c>
      <c r="T3289">
        <f>SUMIF(J:J,Table1[[#This Row],[Season]],F:F)</f>
        <v>58679</v>
      </c>
    </row>
    <row r="3290" spans="1:20" x14ac:dyDescent="0.3">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c r="S3290" t="str">
        <f>INDEX(Q:Q,MATCH(Table1[[#This Row],[Item Purchased]],D:D))</f>
        <v>Cash</v>
      </c>
      <c r="T3290">
        <f>SUMIF(J:J,Table1[[#This Row],[Season]],F:F)</f>
        <v>58679</v>
      </c>
    </row>
    <row r="3291" spans="1:20" x14ac:dyDescent="0.3">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c r="S3291" t="e">
        <f>INDEX(Q:Q,MATCH(Table1[[#This Row],[Item Purchased]],D:D))</f>
        <v>#N/A</v>
      </c>
      <c r="T3291">
        <f>SUMIF(J:J,Table1[[#This Row],[Season]],F:F)</f>
        <v>55777</v>
      </c>
    </row>
    <row r="3292" spans="1:20" x14ac:dyDescent="0.3">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c r="S3292" t="str">
        <f>INDEX(Q:Q,MATCH(Table1[[#This Row],[Item Purchased]],D:D))</f>
        <v>Debit Card</v>
      </c>
      <c r="T3292">
        <f>SUMIF(J:J,Table1[[#This Row],[Season]],F:F)</f>
        <v>58679</v>
      </c>
    </row>
    <row r="3293" spans="1:20" x14ac:dyDescent="0.3">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c r="S3293" t="e">
        <f>INDEX(Q:Q,MATCH(Table1[[#This Row],[Item Purchased]],D:D))</f>
        <v>#N/A</v>
      </c>
      <c r="T3293">
        <f>SUMIF(J:J,Table1[[#This Row],[Season]],F:F)</f>
        <v>60018</v>
      </c>
    </row>
    <row r="3294" spans="1:20" x14ac:dyDescent="0.3">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c r="S3294" t="str">
        <f>INDEX(Q:Q,MATCH(Table1[[#This Row],[Item Purchased]],D:D))</f>
        <v>Cash</v>
      </c>
      <c r="T3294">
        <f>SUMIF(J:J,Table1[[#This Row],[Season]],F:F)</f>
        <v>58679</v>
      </c>
    </row>
    <row r="3295" spans="1:20" x14ac:dyDescent="0.3">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c r="S3295" t="str">
        <f>INDEX(Q:Q,MATCH(Table1[[#This Row],[Item Purchased]],D:D))</f>
        <v>Debit Card</v>
      </c>
      <c r="T3295">
        <f>SUMIF(J:J,Table1[[#This Row],[Season]],F:F)</f>
        <v>58679</v>
      </c>
    </row>
    <row r="3296" spans="1:20" x14ac:dyDescent="0.3">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c r="S3296" t="str">
        <f>INDEX(Q:Q,MATCH(Table1[[#This Row],[Item Purchased]],D:D))</f>
        <v>Venmo</v>
      </c>
      <c r="T3296">
        <f>SUMIF(J:J,Table1[[#This Row],[Season]],F:F)</f>
        <v>58679</v>
      </c>
    </row>
    <row r="3297" spans="1:20" x14ac:dyDescent="0.3">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c r="S3297" t="str">
        <f>INDEX(Q:Q,MATCH(Table1[[#This Row],[Item Purchased]],D:D))</f>
        <v>Venmo</v>
      </c>
      <c r="T3297">
        <f>SUMIF(J:J,Table1[[#This Row],[Season]],F:F)</f>
        <v>55777</v>
      </c>
    </row>
    <row r="3298" spans="1:20" x14ac:dyDescent="0.3">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c r="S3298" t="str">
        <f>INDEX(Q:Q,MATCH(Table1[[#This Row],[Item Purchased]],D:D))</f>
        <v>Venmo</v>
      </c>
      <c r="T3298">
        <f>SUMIF(J:J,Table1[[#This Row],[Season]],F:F)</f>
        <v>58679</v>
      </c>
    </row>
    <row r="3299" spans="1:20" x14ac:dyDescent="0.3">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c r="S3299" t="e">
        <f>INDEX(Q:Q,MATCH(Table1[[#This Row],[Item Purchased]],D:D))</f>
        <v>#N/A</v>
      </c>
      <c r="T3299">
        <f>SUMIF(J:J,Table1[[#This Row],[Season]],F:F)</f>
        <v>60018</v>
      </c>
    </row>
    <row r="3300" spans="1:20" x14ac:dyDescent="0.3">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c r="S3300" t="str">
        <f>INDEX(Q:Q,MATCH(Table1[[#This Row],[Item Purchased]],D:D))</f>
        <v>Debit Card</v>
      </c>
      <c r="T3300">
        <f>SUMIF(J:J,Table1[[#This Row],[Season]],F:F)</f>
        <v>60018</v>
      </c>
    </row>
    <row r="3301" spans="1:20" x14ac:dyDescent="0.3">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c r="S3301" t="str">
        <f>INDEX(Q:Q,MATCH(Table1[[#This Row],[Item Purchased]],D:D))</f>
        <v>PayPal</v>
      </c>
      <c r="T3301">
        <f>SUMIF(J:J,Table1[[#This Row],[Season]],F:F)</f>
        <v>58679</v>
      </c>
    </row>
    <row r="3302" spans="1:20" x14ac:dyDescent="0.3">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c r="S3302" t="str">
        <f>INDEX(Q:Q,MATCH(Table1[[#This Row],[Item Purchased]],D:D))</f>
        <v>Venmo</v>
      </c>
      <c r="T3302">
        <f>SUMIF(J:J,Table1[[#This Row],[Season]],F:F)</f>
        <v>58679</v>
      </c>
    </row>
    <row r="3303" spans="1:20" x14ac:dyDescent="0.3">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c r="S3303" t="str">
        <f>INDEX(Q:Q,MATCH(Table1[[#This Row],[Item Purchased]],D:D))</f>
        <v>Cash</v>
      </c>
      <c r="T3303">
        <f>SUMIF(J:J,Table1[[#This Row],[Season]],F:F)</f>
        <v>55777</v>
      </c>
    </row>
    <row r="3304" spans="1:20" x14ac:dyDescent="0.3">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c r="S3304" t="str">
        <f>INDEX(Q:Q,MATCH(Table1[[#This Row],[Item Purchased]],D:D))</f>
        <v>Venmo</v>
      </c>
      <c r="T3304">
        <f>SUMIF(J:J,Table1[[#This Row],[Season]],F:F)</f>
        <v>58607</v>
      </c>
    </row>
    <row r="3305" spans="1:20" x14ac:dyDescent="0.3">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c r="S3305" t="e">
        <f>INDEX(Q:Q,MATCH(Table1[[#This Row],[Item Purchased]],D:D))</f>
        <v>#N/A</v>
      </c>
      <c r="T3305">
        <f>SUMIF(J:J,Table1[[#This Row],[Season]],F:F)</f>
        <v>55777</v>
      </c>
    </row>
    <row r="3306" spans="1:20" x14ac:dyDescent="0.3">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c r="S3306" t="str">
        <f>INDEX(Q:Q,MATCH(Table1[[#This Row],[Item Purchased]],D:D))</f>
        <v>Cash</v>
      </c>
      <c r="T3306">
        <f>SUMIF(J:J,Table1[[#This Row],[Season]],F:F)</f>
        <v>60018</v>
      </c>
    </row>
    <row r="3307" spans="1:20" x14ac:dyDescent="0.3">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c r="S3307" t="str">
        <f>INDEX(Q:Q,MATCH(Table1[[#This Row],[Item Purchased]],D:D))</f>
        <v>Venmo</v>
      </c>
      <c r="T3307">
        <f>SUMIF(J:J,Table1[[#This Row],[Season]],F:F)</f>
        <v>55777</v>
      </c>
    </row>
    <row r="3308" spans="1:20" x14ac:dyDescent="0.3">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c r="S3308" t="str">
        <f>INDEX(Q:Q,MATCH(Table1[[#This Row],[Item Purchased]],D:D))</f>
        <v>Debit Card</v>
      </c>
      <c r="T3308">
        <f>SUMIF(J:J,Table1[[#This Row],[Season]],F:F)</f>
        <v>55777</v>
      </c>
    </row>
    <row r="3309" spans="1:20" x14ac:dyDescent="0.3">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c r="S3309" t="str">
        <f>INDEX(Q:Q,MATCH(Table1[[#This Row],[Item Purchased]],D:D))</f>
        <v>Bank Transfer</v>
      </c>
      <c r="T3309">
        <f>SUMIF(J:J,Table1[[#This Row],[Season]],F:F)</f>
        <v>58607</v>
      </c>
    </row>
    <row r="3310" spans="1:20" x14ac:dyDescent="0.3">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c r="S3310" t="str">
        <f>INDEX(Q:Q,MATCH(Table1[[#This Row],[Item Purchased]],D:D))</f>
        <v>Cash</v>
      </c>
      <c r="T3310">
        <f>SUMIF(J:J,Table1[[#This Row],[Season]],F:F)</f>
        <v>60018</v>
      </c>
    </row>
    <row r="3311" spans="1:20" x14ac:dyDescent="0.3">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c r="S3311" t="str">
        <f>INDEX(Q:Q,MATCH(Table1[[#This Row],[Item Purchased]],D:D))</f>
        <v>Cash</v>
      </c>
      <c r="T3311">
        <f>SUMIF(J:J,Table1[[#This Row],[Season]],F:F)</f>
        <v>55777</v>
      </c>
    </row>
    <row r="3312" spans="1:20" x14ac:dyDescent="0.3">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c r="S3312" t="str">
        <f>INDEX(Q:Q,MATCH(Table1[[#This Row],[Item Purchased]],D:D))</f>
        <v>Debit Card</v>
      </c>
      <c r="T3312">
        <f>SUMIF(J:J,Table1[[#This Row],[Season]],F:F)</f>
        <v>58607</v>
      </c>
    </row>
    <row r="3313" spans="1:20" x14ac:dyDescent="0.3">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c r="S3313" t="str">
        <f>INDEX(Q:Q,MATCH(Table1[[#This Row],[Item Purchased]],D:D))</f>
        <v>Venmo</v>
      </c>
      <c r="T3313">
        <f>SUMIF(J:J,Table1[[#This Row],[Season]],F:F)</f>
        <v>55777</v>
      </c>
    </row>
    <row r="3314" spans="1:20" x14ac:dyDescent="0.3">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c r="S3314" t="str">
        <f>INDEX(Q:Q,MATCH(Table1[[#This Row],[Item Purchased]],D:D))</f>
        <v>Venmo</v>
      </c>
      <c r="T3314">
        <f>SUMIF(J:J,Table1[[#This Row],[Season]],F:F)</f>
        <v>55777</v>
      </c>
    </row>
    <row r="3315" spans="1:20" x14ac:dyDescent="0.3">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c r="S3315" t="str">
        <f>INDEX(Q:Q,MATCH(Table1[[#This Row],[Item Purchased]],D:D))</f>
        <v>Venmo</v>
      </c>
      <c r="T3315">
        <f>SUMIF(J:J,Table1[[#This Row],[Season]],F:F)</f>
        <v>60018</v>
      </c>
    </row>
    <row r="3316" spans="1:20" x14ac:dyDescent="0.3">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c r="S3316" t="str">
        <f>INDEX(Q:Q,MATCH(Table1[[#This Row],[Item Purchased]],D:D))</f>
        <v>Venmo</v>
      </c>
      <c r="T3316">
        <f>SUMIF(J:J,Table1[[#This Row],[Season]],F:F)</f>
        <v>58679</v>
      </c>
    </row>
    <row r="3317" spans="1:20" x14ac:dyDescent="0.3">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c r="S3317" t="str">
        <f>INDEX(Q:Q,MATCH(Table1[[#This Row],[Item Purchased]],D:D))</f>
        <v>Bank Transfer</v>
      </c>
      <c r="T3317">
        <f>SUMIF(J:J,Table1[[#This Row],[Season]],F:F)</f>
        <v>55777</v>
      </c>
    </row>
    <row r="3318" spans="1:20" x14ac:dyDescent="0.3">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c r="S3318" t="str">
        <f>INDEX(Q:Q,MATCH(Table1[[#This Row],[Item Purchased]],D:D))</f>
        <v>Venmo</v>
      </c>
      <c r="T3318">
        <f>SUMIF(J:J,Table1[[#This Row],[Season]],F:F)</f>
        <v>55777</v>
      </c>
    </row>
    <row r="3319" spans="1:20" x14ac:dyDescent="0.3">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c r="S3319" t="str">
        <f>INDEX(Q:Q,MATCH(Table1[[#This Row],[Item Purchased]],D:D))</f>
        <v>Venmo</v>
      </c>
      <c r="T3319">
        <f>SUMIF(J:J,Table1[[#This Row],[Season]],F:F)</f>
        <v>55777</v>
      </c>
    </row>
    <row r="3320" spans="1:20" x14ac:dyDescent="0.3">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c r="S3320" t="str">
        <f>INDEX(Q:Q,MATCH(Table1[[#This Row],[Item Purchased]],D:D))</f>
        <v>Debit Card</v>
      </c>
      <c r="T3320">
        <f>SUMIF(J:J,Table1[[#This Row],[Season]],F:F)</f>
        <v>55777</v>
      </c>
    </row>
    <row r="3321" spans="1:20" x14ac:dyDescent="0.3">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c r="S3321" t="str">
        <f>INDEX(Q:Q,MATCH(Table1[[#This Row],[Item Purchased]],D:D))</f>
        <v>PayPal</v>
      </c>
      <c r="T3321">
        <f>SUMIF(J:J,Table1[[#This Row],[Season]],F:F)</f>
        <v>55777</v>
      </c>
    </row>
    <row r="3322" spans="1:20" x14ac:dyDescent="0.3">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c r="S3322" t="str">
        <f>INDEX(Q:Q,MATCH(Table1[[#This Row],[Item Purchased]],D:D))</f>
        <v>Venmo</v>
      </c>
      <c r="T3322">
        <f>SUMIF(J:J,Table1[[#This Row],[Season]],F:F)</f>
        <v>60018</v>
      </c>
    </row>
    <row r="3323" spans="1:20" x14ac:dyDescent="0.3">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c r="S3323" t="str">
        <f>INDEX(Q:Q,MATCH(Table1[[#This Row],[Item Purchased]],D:D))</f>
        <v>Debit Card</v>
      </c>
      <c r="T3323">
        <f>SUMIF(J:J,Table1[[#This Row],[Season]],F:F)</f>
        <v>58607</v>
      </c>
    </row>
    <row r="3324" spans="1:20" x14ac:dyDescent="0.3">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c r="S3324" t="str">
        <f>INDEX(Q:Q,MATCH(Table1[[#This Row],[Item Purchased]],D:D))</f>
        <v>Venmo</v>
      </c>
      <c r="T3324">
        <f>SUMIF(J:J,Table1[[#This Row],[Season]],F:F)</f>
        <v>58607</v>
      </c>
    </row>
    <row r="3325" spans="1:20" x14ac:dyDescent="0.3">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c r="S3325" t="str">
        <f>INDEX(Q:Q,MATCH(Table1[[#This Row],[Item Purchased]],D:D))</f>
        <v>Cash</v>
      </c>
      <c r="T3325">
        <f>SUMIF(J:J,Table1[[#This Row],[Season]],F:F)</f>
        <v>58607</v>
      </c>
    </row>
    <row r="3326" spans="1:20" x14ac:dyDescent="0.3">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c r="S3326" t="str">
        <f>INDEX(Q:Q,MATCH(Table1[[#This Row],[Item Purchased]],D:D))</f>
        <v>Venmo</v>
      </c>
      <c r="T3326">
        <f>SUMIF(J:J,Table1[[#This Row],[Season]],F:F)</f>
        <v>60018</v>
      </c>
    </row>
    <row r="3327" spans="1:20" x14ac:dyDescent="0.3">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c r="S3327" t="str">
        <f>INDEX(Q:Q,MATCH(Table1[[#This Row],[Item Purchased]],D:D))</f>
        <v>Bank Transfer</v>
      </c>
      <c r="T3327">
        <f>SUMIF(J:J,Table1[[#This Row],[Season]],F:F)</f>
        <v>60018</v>
      </c>
    </row>
    <row r="3328" spans="1:20" x14ac:dyDescent="0.3">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c r="S3328" t="str">
        <f>INDEX(Q:Q,MATCH(Table1[[#This Row],[Item Purchased]],D:D))</f>
        <v>Debit Card</v>
      </c>
      <c r="T3328">
        <f>SUMIF(J:J,Table1[[#This Row],[Season]],F:F)</f>
        <v>55777</v>
      </c>
    </row>
    <row r="3329" spans="1:20" x14ac:dyDescent="0.3">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c r="S3329" t="str">
        <f>INDEX(Q:Q,MATCH(Table1[[#This Row],[Item Purchased]],D:D))</f>
        <v>PayPal</v>
      </c>
      <c r="T3329">
        <f>SUMIF(J:J,Table1[[#This Row],[Season]],F:F)</f>
        <v>58679</v>
      </c>
    </row>
    <row r="3330" spans="1:20" x14ac:dyDescent="0.3">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c r="S3330" t="str">
        <f>INDEX(Q:Q,MATCH(Table1[[#This Row],[Item Purchased]],D:D))</f>
        <v>Bank Transfer</v>
      </c>
      <c r="T3330">
        <f>SUMIF(J:J,Table1[[#This Row],[Season]],F:F)</f>
        <v>58679</v>
      </c>
    </row>
    <row r="3331" spans="1:20" x14ac:dyDescent="0.3">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c r="S3331" t="e">
        <f>INDEX(Q:Q,MATCH(Table1[[#This Row],[Item Purchased]],D:D))</f>
        <v>#N/A</v>
      </c>
      <c r="T3331">
        <f>SUMIF(J:J,Table1[[#This Row],[Season]],F:F)</f>
        <v>58607</v>
      </c>
    </row>
    <row r="3332" spans="1:20" x14ac:dyDescent="0.3">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c r="S3332" t="str">
        <f>INDEX(Q:Q,MATCH(Table1[[#This Row],[Item Purchased]],D:D))</f>
        <v>Venmo</v>
      </c>
      <c r="T3332">
        <f>SUMIF(J:J,Table1[[#This Row],[Season]],F:F)</f>
        <v>58679</v>
      </c>
    </row>
    <row r="3333" spans="1:20" x14ac:dyDescent="0.3">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c r="S3333" t="str">
        <f>INDEX(Q:Q,MATCH(Table1[[#This Row],[Item Purchased]],D:D))</f>
        <v>Venmo</v>
      </c>
      <c r="T3333">
        <f>SUMIF(J:J,Table1[[#This Row],[Season]],F:F)</f>
        <v>55777</v>
      </c>
    </row>
    <row r="3334" spans="1:20" x14ac:dyDescent="0.3">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c r="S3334" t="str">
        <f>INDEX(Q:Q,MATCH(Table1[[#This Row],[Item Purchased]],D:D))</f>
        <v>Venmo</v>
      </c>
      <c r="T3334">
        <f>SUMIF(J:J,Table1[[#This Row],[Season]],F:F)</f>
        <v>55777</v>
      </c>
    </row>
    <row r="3335" spans="1:20" x14ac:dyDescent="0.3">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c r="S3335" t="str">
        <f>INDEX(Q:Q,MATCH(Table1[[#This Row],[Item Purchased]],D:D))</f>
        <v>Cash</v>
      </c>
      <c r="T3335">
        <f>SUMIF(J:J,Table1[[#This Row],[Season]],F:F)</f>
        <v>58679</v>
      </c>
    </row>
    <row r="3336" spans="1:20" x14ac:dyDescent="0.3">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c r="S3336" t="str">
        <f>INDEX(Q:Q,MATCH(Table1[[#This Row],[Item Purchased]],D:D))</f>
        <v>Bank Transfer</v>
      </c>
      <c r="T3336">
        <f>SUMIF(J:J,Table1[[#This Row],[Season]],F:F)</f>
        <v>55777</v>
      </c>
    </row>
    <row r="3337" spans="1:20" x14ac:dyDescent="0.3">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c r="S3337" t="str">
        <f>INDEX(Q:Q,MATCH(Table1[[#This Row],[Item Purchased]],D:D))</f>
        <v>Venmo</v>
      </c>
      <c r="T3337">
        <f>SUMIF(J:J,Table1[[#This Row],[Season]],F:F)</f>
        <v>58607</v>
      </c>
    </row>
    <row r="3338" spans="1:20" x14ac:dyDescent="0.3">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c r="S3338" t="str">
        <f>INDEX(Q:Q,MATCH(Table1[[#This Row],[Item Purchased]],D:D))</f>
        <v>Venmo</v>
      </c>
      <c r="T3338">
        <f>SUMIF(J:J,Table1[[#This Row],[Season]],F:F)</f>
        <v>60018</v>
      </c>
    </row>
    <row r="3339" spans="1:20" x14ac:dyDescent="0.3">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c r="S3339" t="str">
        <f>INDEX(Q:Q,MATCH(Table1[[#This Row],[Item Purchased]],D:D))</f>
        <v>Debit Card</v>
      </c>
      <c r="T3339">
        <f>SUMIF(J:J,Table1[[#This Row],[Season]],F:F)</f>
        <v>58607</v>
      </c>
    </row>
    <row r="3340" spans="1:20" x14ac:dyDescent="0.3">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c r="S3340" t="str">
        <f>INDEX(Q:Q,MATCH(Table1[[#This Row],[Item Purchased]],D:D))</f>
        <v>Credit Card</v>
      </c>
      <c r="T3340">
        <f>SUMIF(J:J,Table1[[#This Row],[Season]],F:F)</f>
        <v>58607</v>
      </c>
    </row>
    <row r="3341" spans="1:20" x14ac:dyDescent="0.3">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c r="S3341" t="str">
        <f>INDEX(Q:Q,MATCH(Table1[[#This Row],[Item Purchased]],D:D))</f>
        <v>Debit Card</v>
      </c>
      <c r="T3341">
        <f>SUMIF(J:J,Table1[[#This Row],[Season]],F:F)</f>
        <v>60018</v>
      </c>
    </row>
    <row r="3342" spans="1:20" x14ac:dyDescent="0.3">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c r="S3342" t="str">
        <f>INDEX(Q:Q,MATCH(Table1[[#This Row],[Item Purchased]],D:D))</f>
        <v>Venmo</v>
      </c>
      <c r="T3342">
        <f>SUMIF(J:J,Table1[[#This Row],[Season]],F:F)</f>
        <v>60018</v>
      </c>
    </row>
    <row r="3343" spans="1:20" x14ac:dyDescent="0.3">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c r="S3343" t="str">
        <f>INDEX(Q:Q,MATCH(Table1[[#This Row],[Item Purchased]],D:D))</f>
        <v>Debit Card</v>
      </c>
      <c r="T3343">
        <f>SUMIF(J:J,Table1[[#This Row],[Season]],F:F)</f>
        <v>55777</v>
      </c>
    </row>
    <row r="3344" spans="1:20" x14ac:dyDescent="0.3">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c r="S3344" t="str">
        <f>INDEX(Q:Q,MATCH(Table1[[#This Row],[Item Purchased]],D:D))</f>
        <v>Debit Card</v>
      </c>
      <c r="T3344">
        <f>SUMIF(J:J,Table1[[#This Row],[Season]],F:F)</f>
        <v>58679</v>
      </c>
    </row>
    <row r="3345" spans="1:20" x14ac:dyDescent="0.3">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c r="S3345" t="str">
        <f>INDEX(Q:Q,MATCH(Table1[[#This Row],[Item Purchased]],D:D))</f>
        <v>PayPal</v>
      </c>
      <c r="T3345">
        <f>SUMIF(J:J,Table1[[#This Row],[Season]],F:F)</f>
        <v>58607</v>
      </c>
    </row>
    <row r="3346" spans="1:20" x14ac:dyDescent="0.3">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c r="S3346" t="str">
        <f>INDEX(Q:Q,MATCH(Table1[[#This Row],[Item Purchased]],D:D))</f>
        <v>Venmo</v>
      </c>
      <c r="T3346">
        <f>SUMIF(J:J,Table1[[#This Row],[Season]],F:F)</f>
        <v>60018</v>
      </c>
    </row>
    <row r="3347" spans="1:20" x14ac:dyDescent="0.3">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c r="S3347" t="str">
        <f>INDEX(Q:Q,MATCH(Table1[[#This Row],[Item Purchased]],D:D))</f>
        <v>Cash</v>
      </c>
      <c r="T3347">
        <f>SUMIF(J:J,Table1[[#This Row],[Season]],F:F)</f>
        <v>55777</v>
      </c>
    </row>
    <row r="3348" spans="1:20" x14ac:dyDescent="0.3">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c r="S3348" t="str">
        <f>INDEX(Q:Q,MATCH(Table1[[#This Row],[Item Purchased]],D:D))</f>
        <v>Cash</v>
      </c>
      <c r="T3348">
        <f>SUMIF(J:J,Table1[[#This Row],[Season]],F:F)</f>
        <v>55777</v>
      </c>
    </row>
    <row r="3349" spans="1:20" x14ac:dyDescent="0.3">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c r="S3349" t="str">
        <f>INDEX(Q:Q,MATCH(Table1[[#This Row],[Item Purchased]],D:D))</f>
        <v>PayPal</v>
      </c>
      <c r="T3349">
        <f>SUMIF(J:J,Table1[[#This Row],[Season]],F:F)</f>
        <v>55777</v>
      </c>
    </row>
    <row r="3350" spans="1:20" x14ac:dyDescent="0.3">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c r="S3350" t="str">
        <f>INDEX(Q:Q,MATCH(Table1[[#This Row],[Item Purchased]],D:D))</f>
        <v>Venmo</v>
      </c>
      <c r="T3350">
        <f>SUMIF(J:J,Table1[[#This Row],[Season]],F:F)</f>
        <v>58607</v>
      </c>
    </row>
    <row r="3351" spans="1:20" x14ac:dyDescent="0.3">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c r="S3351" t="str">
        <f>INDEX(Q:Q,MATCH(Table1[[#This Row],[Item Purchased]],D:D))</f>
        <v>Cash</v>
      </c>
      <c r="T3351">
        <f>SUMIF(J:J,Table1[[#This Row],[Season]],F:F)</f>
        <v>60018</v>
      </c>
    </row>
    <row r="3352" spans="1:20" x14ac:dyDescent="0.3">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c r="S3352" t="str">
        <f>INDEX(Q:Q,MATCH(Table1[[#This Row],[Item Purchased]],D:D))</f>
        <v>Cash</v>
      </c>
      <c r="T3352">
        <f>SUMIF(J:J,Table1[[#This Row],[Season]],F:F)</f>
        <v>60018</v>
      </c>
    </row>
    <row r="3353" spans="1:20" x14ac:dyDescent="0.3">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c r="S3353" t="str">
        <f>INDEX(Q:Q,MATCH(Table1[[#This Row],[Item Purchased]],D:D))</f>
        <v>Bank Transfer</v>
      </c>
      <c r="T3353">
        <f>SUMIF(J:J,Table1[[#This Row],[Season]],F:F)</f>
        <v>58679</v>
      </c>
    </row>
    <row r="3354" spans="1:20" x14ac:dyDescent="0.3">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c r="S3354" t="e">
        <f>INDEX(Q:Q,MATCH(Table1[[#This Row],[Item Purchased]],D:D))</f>
        <v>#N/A</v>
      </c>
      <c r="T3354">
        <f>SUMIF(J:J,Table1[[#This Row],[Season]],F:F)</f>
        <v>55777</v>
      </c>
    </row>
    <row r="3355" spans="1:20" x14ac:dyDescent="0.3">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c r="S3355" t="str">
        <f>INDEX(Q:Q,MATCH(Table1[[#This Row],[Item Purchased]],D:D))</f>
        <v>Debit Card</v>
      </c>
      <c r="T3355">
        <f>SUMIF(J:J,Table1[[#This Row],[Season]],F:F)</f>
        <v>60018</v>
      </c>
    </row>
    <row r="3356" spans="1:20" x14ac:dyDescent="0.3">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c r="S3356" t="str">
        <f>INDEX(Q:Q,MATCH(Table1[[#This Row],[Item Purchased]],D:D))</f>
        <v>Credit Card</v>
      </c>
      <c r="T3356">
        <f>SUMIF(J:J,Table1[[#This Row],[Season]],F:F)</f>
        <v>60018</v>
      </c>
    </row>
    <row r="3357" spans="1:20" x14ac:dyDescent="0.3">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c r="S3357" t="str">
        <f>INDEX(Q:Q,MATCH(Table1[[#This Row],[Item Purchased]],D:D))</f>
        <v>Venmo</v>
      </c>
      <c r="T3357">
        <f>SUMIF(J:J,Table1[[#This Row],[Season]],F:F)</f>
        <v>58679</v>
      </c>
    </row>
    <row r="3358" spans="1:20" x14ac:dyDescent="0.3">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c r="S3358" t="str">
        <f>INDEX(Q:Q,MATCH(Table1[[#This Row],[Item Purchased]],D:D))</f>
        <v>Cash</v>
      </c>
      <c r="T3358">
        <f>SUMIF(J:J,Table1[[#This Row],[Season]],F:F)</f>
        <v>55777</v>
      </c>
    </row>
    <row r="3359" spans="1:20" x14ac:dyDescent="0.3">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c r="S3359" t="str">
        <f>INDEX(Q:Q,MATCH(Table1[[#This Row],[Item Purchased]],D:D))</f>
        <v>Venmo</v>
      </c>
      <c r="T3359">
        <f>SUMIF(J:J,Table1[[#This Row],[Season]],F:F)</f>
        <v>58607</v>
      </c>
    </row>
    <row r="3360" spans="1:20" x14ac:dyDescent="0.3">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c r="S3360" t="str">
        <f>INDEX(Q:Q,MATCH(Table1[[#This Row],[Item Purchased]],D:D))</f>
        <v>Venmo</v>
      </c>
      <c r="T3360">
        <f>SUMIF(J:J,Table1[[#This Row],[Season]],F:F)</f>
        <v>60018</v>
      </c>
    </row>
    <row r="3361" spans="1:20" x14ac:dyDescent="0.3">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c r="S3361" t="str">
        <f>INDEX(Q:Q,MATCH(Table1[[#This Row],[Item Purchased]],D:D))</f>
        <v>Venmo</v>
      </c>
      <c r="T3361">
        <f>SUMIF(J:J,Table1[[#This Row],[Season]],F:F)</f>
        <v>60018</v>
      </c>
    </row>
    <row r="3362" spans="1:20" x14ac:dyDescent="0.3">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c r="S3362" t="str">
        <f>INDEX(Q:Q,MATCH(Table1[[#This Row],[Item Purchased]],D:D))</f>
        <v>Debit Card</v>
      </c>
      <c r="T3362">
        <f>SUMIF(J:J,Table1[[#This Row],[Season]],F:F)</f>
        <v>58679</v>
      </c>
    </row>
    <row r="3363" spans="1:20" x14ac:dyDescent="0.3">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c r="S3363" t="str">
        <f>INDEX(Q:Q,MATCH(Table1[[#This Row],[Item Purchased]],D:D))</f>
        <v>PayPal</v>
      </c>
      <c r="T3363">
        <f>SUMIF(J:J,Table1[[#This Row],[Season]],F:F)</f>
        <v>58679</v>
      </c>
    </row>
    <row r="3364" spans="1:20" x14ac:dyDescent="0.3">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c r="S3364" t="str">
        <f>INDEX(Q:Q,MATCH(Table1[[#This Row],[Item Purchased]],D:D))</f>
        <v>Cash</v>
      </c>
      <c r="T3364">
        <f>SUMIF(J:J,Table1[[#This Row],[Season]],F:F)</f>
        <v>55777</v>
      </c>
    </row>
    <row r="3365" spans="1:20" x14ac:dyDescent="0.3">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c r="S3365" t="str">
        <f>INDEX(Q:Q,MATCH(Table1[[#This Row],[Item Purchased]],D:D))</f>
        <v>Venmo</v>
      </c>
      <c r="T3365">
        <f>SUMIF(J:J,Table1[[#This Row],[Season]],F:F)</f>
        <v>58607</v>
      </c>
    </row>
    <row r="3366" spans="1:20" x14ac:dyDescent="0.3">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c r="S3366" t="str">
        <f>INDEX(Q:Q,MATCH(Table1[[#This Row],[Item Purchased]],D:D))</f>
        <v>Bank Transfer</v>
      </c>
      <c r="T3366">
        <f>SUMIF(J:J,Table1[[#This Row],[Season]],F:F)</f>
        <v>60018</v>
      </c>
    </row>
    <row r="3367" spans="1:20" x14ac:dyDescent="0.3">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c r="S3367" t="str">
        <f>INDEX(Q:Q,MATCH(Table1[[#This Row],[Item Purchased]],D:D))</f>
        <v>Credit Card</v>
      </c>
      <c r="T3367">
        <f>SUMIF(J:J,Table1[[#This Row],[Season]],F:F)</f>
        <v>60018</v>
      </c>
    </row>
    <row r="3368" spans="1:20" x14ac:dyDescent="0.3">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c r="S3368" t="str">
        <f>INDEX(Q:Q,MATCH(Table1[[#This Row],[Item Purchased]],D:D))</f>
        <v>Debit Card</v>
      </c>
      <c r="T3368">
        <f>SUMIF(J:J,Table1[[#This Row],[Season]],F:F)</f>
        <v>58679</v>
      </c>
    </row>
    <row r="3369" spans="1:20" x14ac:dyDescent="0.3">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c r="S3369" t="str">
        <f>INDEX(Q:Q,MATCH(Table1[[#This Row],[Item Purchased]],D:D))</f>
        <v>Venmo</v>
      </c>
      <c r="T3369">
        <f>SUMIF(J:J,Table1[[#This Row],[Season]],F:F)</f>
        <v>55777</v>
      </c>
    </row>
    <row r="3370" spans="1:20" x14ac:dyDescent="0.3">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c r="S3370" t="str">
        <f>INDEX(Q:Q,MATCH(Table1[[#This Row],[Item Purchased]],D:D))</f>
        <v>Bank Transfer</v>
      </c>
      <c r="T3370">
        <f>SUMIF(J:J,Table1[[#This Row],[Season]],F:F)</f>
        <v>58679</v>
      </c>
    </row>
    <row r="3371" spans="1:20" x14ac:dyDescent="0.3">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c r="S3371" t="str">
        <f>INDEX(Q:Q,MATCH(Table1[[#This Row],[Item Purchased]],D:D))</f>
        <v>Venmo</v>
      </c>
      <c r="T3371">
        <f>SUMIF(J:J,Table1[[#This Row],[Season]],F:F)</f>
        <v>58607</v>
      </c>
    </row>
    <row r="3372" spans="1:20" x14ac:dyDescent="0.3">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c r="S3372" t="e">
        <f>INDEX(Q:Q,MATCH(Table1[[#This Row],[Item Purchased]],D:D))</f>
        <v>#N/A</v>
      </c>
      <c r="T3372">
        <f>SUMIF(J:J,Table1[[#This Row],[Season]],F:F)</f>
        <v>55777</v>
      </c>
    </row>
    <row r="3373" spans="1:20" x14ac:dyDescent="0.3">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c r="S3373" t="str">
        <f>INDEX(Q:Q,MATCH(Table1[[#This Row],[Item Purchased]],D:D))</f>
        <v>Venmo</v>
      </c>
      <c r="T3373">
        <f>SUMIF(J:J,Table1[[#This Row],[Season]],F:F)</f>
        <v>58607</v>
      </c>
    </row>
    <row r="3374" spans="1:20" x14ac:dyDescent="0.3">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c r="S3374" t="str">
        <f>INDEX(Q:Q,MATCH(Table1[[#This Row],[Item Purchased]],D:D))</f>
        <v>Venmo</v>
      </c>
      <c r="T3374">
        <f>SUMIF(J:J,Table1[[#This Row],[Season]],F:F)</f>
        <v>58607</v>
      </c>
    </row>
    <row r="3375" spans="1:20" x14ac:dyDescent="0.3">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c r="S3375" t="str">
        <f>INDEX(Q:Q,MATCH(Table1[[#This Row],[Item Purchased]],D:D))</f>
        <v>Bank Transfer</v>
      </c>
      <c r="T3375">
        <f>SUMIF(J:J,Table1[[#This Row],[Season]],F:F)</f>
        <v>58679</v>
      </c>
    </row>
    <row r="3376" spans="1:20" x14ac:dyDescent="0.3">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c r="S3376" t="str">
        <f>INDEX(Q:Q,MATCH(Table1[[#This Row],[Item Purchased]],D:D))</f>
        <v>Venmo</v>
      </c>
      <c r="T3376">
        <f>SUMIF(J:J,Table1[[#This Row],[Season]],F:F)</f>
        <v>58679</v>
      </c>
    </row>
    <row r="3377" spans="1:20" x14ac:dyDescent="0.3">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c r="S3377" t="str">
        <f>INDEX(Q:Q,MATCH(Table1[[#This Row],[Item Purchased]],D:D))</f>
        <v>Venmo</v>
      </c>
      <c r="T3377">
        <f>SUMIF(J:J,Table1[[#This Row],[Season]],F:F)</f>
        <v>60018</v>
      </c>
    </row>
    <row r="3378" spans="1:20" x14ac:dyDescent="0.3">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c r="S3378" t="str">
        <f>INDEX(Q:Q,MATCH(Table1[[#This Row],[Item Purchased]],D:D))</f>
        <v>Venmo</v>
      </c>
      <c r="T3378">
        <f>SUMIF(J:J,Table1[[#This Row],[Season]],F:F)</f>
        <v>58607</v>
      </c>
    </row>
    <row r="3379" spans="1:20" x14ac:dyDescent="0.3">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c r="S3379" t="str">
        <f>INDEX(Q:Q,MATCH(Table1[[#This Row],[Item Purchased]],D:D))</f>
        <v>Bank Transfer</v>
      </c>
      <c r="T3379">
        <f>SUMIF(J:J,Table1[[#This Row],[Season]],F:F)</f>
        <v>58607</v>
      </c>
    </row>
    <row r="3380" spans="1:20" x14ac:dyDescent="0.3">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c r="S3380" t="str">
        <f>INDEX(Q:Q,MATCH(Table1[[#This Row],[Item Purchased]],D:D))</f>
        <v>PayPal</v>
      </c>
      <c r="T3380">
        <f>SUMIF(J:J,Table1[[#This Row],[Season]],F:F)</f>
        <v>60018</v>
      </c>
    </row>
    <row r="3381" spans="1:20" x14ac:dyDescent="0.3">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c r="S3381" t="str">
        <f>INDEX(Q:Q,MATCH(Table1[[#This Row],[Item Purchased]],D:D))</f>
        <v>Cash</v>
      </c>
      <c r="T3381">
        <f>SUMIF(J:J,Table1[[#This Row],[Season]],F:F)</f>
        <v>55777</v>
      </c>
    </row>
    <row r="3382" spans="1:20" x14ac:dyDescent="0.3">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c r="S3382" t="str">
        <f>INDEX(Q:Q,MATCH(Table1[[#This Row],[Item Purchased]],D:D))</f>
        <v>Debit Card</v>
      </c>
      <c r="T3382">
        <f>SUMIF(J:J,Table1[[#This Row],[Season]],F:F)</f>
        <v>55777</v>
      </c>
    </row>
    <row r="3383" spans="1:20" x14ac:dyDescent="0.3">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c r="S3383" t="str">
        <f>INDEX(Q:Q,MATCH(Table1[[#This Row],[Item Purchased]],D:D))</f>
        <v>Venmo</v>
      </c>
      <c r="T3383">
        <f>SUMIF(J:J,Table1[[#This Row],[Season]],F:F)</f>
        <v>58607</v>
      </c>
    </row>
    <row r="3384" spans="1:20" x14ac:dyDescent="0.3">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c r="S3384" t="str">
        <f>INDEX(Q:Q,MATCH(Table1[[#This Row],[Item Purchased]],D:D))</f>
        <v>Venmo</v>
      </c>
      <c r="T3384">
        <f>SUMIF(J:J,Table1[[#This Row],[Season]],F:F)</f>
        <v>58679</v>
      </c>
    </row>
    <row r="3385" spans="1:20" x14ac:dyDescent="0.3">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c r="S3385" t="str">
        <f>INDEX(Q:Q,MATCH(Table1[[#This Row],[Item Purchased]],D:D))</f>
        <v>Debit Card</v>
      </c>
      <c r="T3385">
        <f>SUMIF(J:J,Table1[[#This Row],[Season]],F:F)</f>
        <v>60018</v>
      </c>
    </row>
    <row r="3386" spans="1:20" x14ac:dyDescent="0.3">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c r="S3386" t="str">
        <f>INDEX(Q:Q,MATCH(Table1[[#This Row],[Item Purchased]],D:D))</f>
        <v>Venmo</v>
      </c>
      <c r="T3386">
        <f>SUMIF(J:J,Table1[[#This Row],[Season]],F:F)</f>
        <v>55777</v>
      </c>
    </row>
    <row r="3387" spans="1:20" x14ac:dyDescent="0.3">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c r="S3387" t="str">
        <f>INDEX(Q:Q,MATCH(Table1[[#This Row],[Item Purchased]],D:D))</f>
        <v>Cash</v>
      </c>
      <c r="T3387">
        <f>SUMIF(J:J,Table1[[#This Row],[Season]],F:F)</f>
        <v>58607</v>
      </c>
    </row>
    <row r="3388" spans="1:20" x14ac:dyDescent="0.3">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c r="S3388" t="str">
        <f>INDEX(Q:Q,MATCH(Table1[[#This Row],[Item Purchased]],D:D))</f>
        <v>Venmo</v>
      </c>
      <c r="T3388">
        <f>SUMIF(J:J,Table1[[#This Row],[Season]],F:F)</f>
        <v>60018</v>
      </c>
    </row>
    <row r="3389" spans="1:20" x14ac:dyDescent="0.3">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c r="S3389" t="str">
        <f>INDEX(Q:Q,MATCH(Table1[[#This Row],[Item Purchased]],D:D))</f>
        <v>Cash</v>
      </c>
      <c r="T3389">
        <f>SUMIF(J:J,Table1[[#This Row],[Season]],F:F)</f>
        <v>58679</v>
      </c>
    </row>
    <row r="3390" spans="1:20" x14ac:dyDescent="0.3">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c r="S3390" t="str">
        <f>INDEX(Q:Q,MATCH(Table1[[#This Row],[Item Purchased]],D:D))</f>
        <v>Venmo</v>
      </c>
      <c r="T3390">
        <f>SUMIF(J:J,Table1[[#This Row],[Season]],F:F)</f>
        <v>58679</v>
      </c>
    </row>
    <row r="3391" spans="1:20" x14ac:dyDescent="0.3">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c r="S3391" t="str">
        <f>INDEX(Q:Q,MATCH(Table1[[#This Row],[Item Purchased]],D:D))</f>
        <v>Cash</v>
      </c>
      <c r="T3391">
        <f>SUMIF(J:J,Table1[[#This Row],[Season]],F:F)</f>
        <v>60018</v>
      </c>
    </row>
    <row r="3392" spans="1:20" x14ac:dyDescent="0.3">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c r="S3392" t="str">
        <f>INDEX(Q:Q,MATCH(Table1[[#This Row],[Item Purchased]],D:D))</f>
        <v>Venmo</v>
      </c>
      <c r="T3392">
        <f>SUMIF(J:J,Table1[[#This Row],[Season]],F:F)</f>
        <v>55777</v>
      </c>
    </row>
    <row r="3393" spans="1:20" x14ac:dyDescent="0.3">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c r="S3393" t="str">
        <f>INDEX(Q:Q,MATCH(Table1[[#This Row],[Item Purchased]],D:D))</f>
        <v>Venmo</v>
      </c>
      <c r="T3393">
        <f>SUMIF(J:J,Table1[[#This Row],[Season]],F:F)</f>
        <v>60018</v>
      </c>
    </row>
    <row r="3394" spans="1:20" x14ac:dyDescent="0.3">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c r="S3394" t="str">
        <f>INDEX(Q:Q,MATCH(Table1[[#This Row],[Item Purchased]],D:D))</f>
        <v>Bank Transfer</v>
      </c>
      <c r="T3394">
        <f>SUMIF(J:J,Table1[[#This Row],[Season]],F:F)</f>
        <v>58607</v>
      </c>
    </row>
    <row r="3395" spans="1:20" x14ac:dyDescent="0.3">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c r="S3395" t="str">
        <f>INDEX(Q:Q,MATCH(Table1[[#This Row],[Item Purchased]],D:D))</f>
        <v>Debit Card</v>
      </c>
      <c r="T3395">
        <f>SUMIF(J:J,Table1[[#This Row],[Season]],F:F)</f>
        <v>60018</v>
      </c>
    </row>
    <row r="3396" spans="1:20" x14ac:dyDescent="0.3">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c r="S3396" t="str">
        <f>INDEX(Q:Q,MATCH(Table1[[#This Row],[Item Purchased]],D:D))</f>
        <v>Bank Transfer</v>
      </c>
      <c r="T3396">
        <f>SUMIF(J:J,Table1[[#This Row],[Season]],F:F)</f>
        <v>58679</v>
      </c>
    </row>
    <row r="3397" spans="1:20" x14ac:dyDescent="0.3">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c r="S3397" t="str">
        <f>INDEX(Q:Q,MATCH(Table1[[#This Row],[Item Purchased]],D:D))</f>
        <v>Debit Card</v>
      </c>
      <c r="T3397">
        <f>SUMIF(J:J,Table1[[#This Row],[Season]],F:F)</f>
        <v>58607</v>
      </c>
    </row>
    <row r="3398" spans="1:20" x14ac:dyDescent="0.3">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c r="S3398" t="str">
        <f>INDEX(Q:Q,MATCH(Table1[[#This Row],[Item Purchased]],D:D))</f>
        <v>Cash</v>
      </c>
      <c r="T3398">
        <f>SUMIF(J:J,Table1[[#This Row],[Season]],F:F)</f>
        <v>58607</v>
      </c>
    </row>
    <row r="3399" spans="1:20" x14ac:dyDescent="0.3">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c r="S3399" t="str">
        <f>INDEX(Q:Q,MATCH(Table1[[#This Row],[Item Purchased]],D:D))</f>
        <v>Venmo</v>
      </c>
      <c r="T3399">
        <f>SUMIF(J:J,Table1[[#This Row],[Season]],F:F)</f>
        <v>55777</v>
      </c>
    </row>
    <row r="3400" spans="1:20" x14ac:dyDescent="0.3">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c r="S3400" t="str">
        <f>INDEX(Q:Q,MATCH(Table1[[#This Row],[Item Purchased]],D:D))</f>
        <v>Cash</v>
      </c>
      <c r="T3400">
        <f>SUMIF(J:J,Table1[[#This Row],[Season]],F:F)</f>
        <v>58607</v>
      </c>
    </row>
    <row r="3401" spans="1:20" x14ac:dyDescent="0.3">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c r="S3401" t="str">
        <f>INDEX(Q:Q,MATCH(Table1[[#This Row],[Item Purchased]],D:D))</f>
        <v>Cash</v>
      </c>
      <c r="T3401">
        <f>SUMIF(J:J,Table1[[#This Row],[Season]],F:F)</f>
        <v>58607</v>
      </c>
    </row>
    <row r="3402" spans="1:20" x14ac:dyDescent="0.3">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c r="S3402" t="str">
        <f>INDEX(Q:Q,MATCH(Table1[[#This Row],[Item Purchased]],D:D))</f>
        <v>Venmo</v>
      </c>
      <c r="T3402">
        <f>SUMIF(J:J,Table1[[#This Row],[Season]],F:F)</f>
        <v>60018</v>
      </c>
    </row>
    <row r="3403" spans="1:20" x14ac:dyDescent="0.3">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c r="S3403" t="e">
        <f>INDEX(Q:Q,MATCH(Table1[[#This Row],[Item Purchased]],D:D))</f>
        <v>#N/A</v>
      </c>
      <c r="T3403">
        <f>SUMIF(J:J,Table1[[#This Row],[Season]],F:F)</f>
        <v>58607</v>
      </c>
    </row>
    <row r="3404" spans="1:20" x14ac:dyDescent="0.3">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c r="S3404" t="str">
        <f>INDEX(Q:Q,MATCH(Table1[[#This Row],[Item Purchased]],D:D))</f>
        <v>Venmo</v>
      </c>
      <c r="T3404">
        <f>SUMIF(J:J,Table1[[#This Row],[Season]],F:F)</f>
        <v>58679</v>
      </c>
    </row>
    <row r="3405" spans="1:20" x14ac:dyDescent="0.3">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c r="S3405" t="str">
        <f>INDEX(Q:Q,MATCH(Table1[[#This Row],[Item Purchased]],D:D))</f>
        <v>Venmo</v>
      </c>
      <c r="T3405">
        <f>SUMIF(J:J,Table1[[#This Row],[Season]],F:F)</f>
        <v>55777</v>
      </c>
    </row>
    <row r="3406" spans="1:20" x14ac:dyDescent="0.3">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c r="S3406" t="str">
        <f>INDEX(Q:Q,MATCH(Table1[[#This Row],[Item Purchased]],D:D))</f>
        <v>Debit Card</v>
      </c>
      <c r="T3406">
        <f>SUMIF(J:J,Table1[[#This Row],[Season]],F:F)</f>
        <v>60018</v>
      </c>
    </row>
    <row r="3407" spans="1:20" x14ac:dyDescent="0.3">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c r="S3407" t="str">
        <f>INDEX(Q:Q,MATCH(Table1[[#This Row],[Item Purchased]],D:D))</f>
        <v>Venmo</v>
      </c>
      <c r="T3407">
        <f>SUMIF(J:J,Table1[[#This Row],[Season]],F:F)</f>
        <v>55777</v>
      </c>
    </row>
    <row r="3408" spans="1:20" x14ac:dyDescent="0.3">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c r="S3408" t="str">
        <f>INDEX(Q:Q,MATCH(Table1[[#This Row],[Item Purchased]],D:D))</f>
        <v>Venmo</v>
      </c>
      <c r="T3408">
        <f>SUMIF(J:J,Table1[[#This Row],[Season]],F:F)</f>
        <v>58679</v>
      </c>
    </row>
    <row r="3409" spans="1:20" x14ac:dyDescent="0.3">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c r="S3409" t="str">
        <f>INDEX(Q:Q,MATCH(Table1[[#This Row],[Item Purchased]],D:D))</f>
        <v>Debit Card</v>
      </c>
      <c r="T3409">
        <f>SUMIF(J:J,Table1[[#This Row],[Season]],F:F)</f>
        <v>58679</v>
      </c>
    </row>
    <row r="3410" spans="1:20" x14ac:dyDescent="0.3">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c r="S3410" t="str">
        <f>INDEX(Q:Q,MATCH(Table1[[#This Row],[Item Purchased]],D:D))</f>
        <v>Venmo</v>
      </c>
      <c r="T3410">
        <f>SUMIF(J:J,Table1[[#This Row],[Season]],F:F)</f>
        <v>55777</v>
      </c>
    </row>
    <row r="3411" spans="1:20" x14ac:dyDescent="0.3">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c r="S3411" t="str">
        <f>INDEX(Q:Q,MATCH(Table1[[#This Row],[Item Purchased]],D:D))</f>
        <v>Bank Transfer</v>
      </c>
      <c r="T3411">
        <f>SUMIF(J:J,Table1[[#This Row],[Season]],F:F)</f>
        <v>55777</v>
      </c>
    </row>
    <row r="3412" spans="1:20" x14ac:dyDescent="0.3">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c r="S3412" t="str">
        <f>INDEX(Q:Q,MATCH(Table1[[#This Row],[Item Purchased]],D:D))</f>
        <v>Bank Transfer</v>
      </c>
      <c r="T3412">
        <f>SUMIF(J:J,Table1[[#This Row],[Season]],F:F)</f>
        <v>55777</v>
      </c>
    </row>
    <row r="3413" spans="1:20" x14ac:dyDescent="0.3">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c r="S3413" t="str">
        <f>INDEX(Q:Q,MATCH(Table1[[#This Row],[Item Purchased]],D:D))</f>
        <v>PayPal</v>
      </c>
      <c r="T3413">
        <f>SUMIF(J:J,Table1[[#This Row],[Season]],F:F)</f>
        <v>58607</v>
      </c>
    </row>
    <row r="3414" spans="1:20" x14ac:dyDescent="0.3">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c r="S3414" t="str">
        <f>INDEX(Q:Q,MATCH(Table1[[#This Row],[Item Purchased]],D:D))</f>
        <v>Bank Transfer</v>
      </c>
      <c r="T3414">
        <f>SUMIF(J:J,Table1[[#This Row],[Season]],F:F)</f>
        <v>60018</v>
      </c>
    </row>
    <row r="3415" spans="1:20" x14ac:dyDescent="0.3">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c r="S3415" t="str">
        <f>INDEX(Q:Q,MATCH(Table1[[#This Row],[Item Purchased]],D:D))</f>
        <v>Debit Card</v>
      </c>
      <c r="T3415">
        <f>SUMIF(J:J,Table1[[#This Row],[Season]],F:F)</f>
        <v>58607</v>
      </c>
    </row>
    <row r="3416" spans="1:20" x14ac:dyDescent="0.3">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c r="S3416" t="str">
        <f>INDEX(Q:Q,MATCH(Table1[[#This Row],[Item Purchased]],D:D))</f>
        <v>Venmo</v>
      </c>
      <c r="T3416">
        <f>SUMIF(J:J,Table1[[#This Row],[Season]],F:F)</f>
        <v>58679</v>
      </c>
    </row>
    <row r="3417" spans="1:20" x14ac:dyDescent="0.3">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c r="S3417" t="str">
        <f>INDEX(Q:Q,MATCH(Table1[[#This Row],[Item Purchased]],D:D))</f>
        <v>Venmo</v>
      </c>
      <c r="T3417">
        <f>SUMIF(J:J,Table1[[#This Row],[Season]],F:F)</f>
        <v>60018</v>
      </c>
    </row>
    <row r="3418" spans="1:20" x14ac:dyDescent="0.3">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c r="S3418" t="str">
        <f>INDEX(Q:Q,MATCH(Table1[[#This Row],[Item Purchased]],D:D))</f>
        <v>Bank Transfer</v>
      </c>
      <c r="T3418">
        <f>SUMIF(J:J,Table1[[#This Row],[Season]],F:F)</f>
        <v>58679</v>
      </c>
    </row>
    <row r="3419" spans="1:20" x14ac:dyDescent="0.3">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c r="S3419" t="str">
        <f>INDEX(Q:Q,MATCH(Table1[[#This Row],[Item Purchased]],D:D))</f>
        <v>Debit Card</v>
      </c>
      <c r="T3419">
        <f>SUMIF(J:J,Table1[[#This Row],[Season]],F:F)</f>
        <v>55777</v>
      </c>
    </row>
    <row r="3420" spans="1:20" x14ac:dyDescent="0.3">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c r="S3420" t="str">
        <f>INDEX(Q:Q,MATCH(Table1[[#This Row],[Item Purchased]],D:D))</f>
        <v>Debit Card</v>
      </c>
      <c r="T3420">
        <f>SUMIF(J:J,Table1[[#This Row],[Season]],F:F)</f>
        <v>55777</v>
      </c>
    </row>
    <row r="3421" spans="1:20" x14ac:dyDescent="0.3">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c r="S3421" t="str">
        <f>INDEX(Q:Q,MATCH(Table1[[#This Row],[Item Purchased]],D:D))</f>
        <v>Cash</v>
      </c>
      <c r="T3421">
        <f>SUMIF(J:J,Table1[[#This Row],[Season]],F:F)</f>
        <v>58607</v>
      </c>
    </row>
    <row r="3422" spans="1:20" x14ac:dyDescent="0.3">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c r="S3422" t="str">
        <f>INDEX(Q:Q,MATCH(Table1[[#This Row],[Item Purchased]],D:D))</f>
        <v>Venmo</v>
      </c>
      <c r="T3422">
        <f>SUMIF(J:J,Table1[[#This Row],[Season]],F:F)</f>
        <v>58607</v>
      </c>
    </row>
    <row r="3423" spans="1:20" x14ac:dyDescent="0.3">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c r="S3423" t="str">
        <f>INDEX(Q:Q,MATCH(Table1[[#This Row],[Item Purchased]],D:D))</f>
        <v>PayPal</v>
      </c>
      <c r="T3423">
        <f>SUMIF(J:J,Table1[[#This Row],[Season]],F:F)</f>
        <v>55777</v>
      </c>
    </row>
    <row r="3424" spans="1:20" x14ac:dyDescent="0.3">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c r="S3424" t="str">
        <f>INDEX(Q:Q,MATCH(Table1[[#This Row],[Item Purchased]],D:D))</f>
        <v>Debit Card</v>
      </c>
      <c r="T3424">
        <f>SUMIF(J:J,Table1[[#This Row],[Season]],F:F)</f>
        <v>58607</v>
      </c>
    </row>
    <row r="3425" spans="1:20" x14ac:dyDescent="0.3">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c r="S3425" t="str">
        <f>INDEX(Q:Q,MATCH(Table1[[#This Row],[Item Purchased]],D:D))</f>
        <v>Venmo</v>
      </c>
      <c r="T3425">
        <f>SUMIF(J:J,Table1[[#This Row],[Season]],F:F)</f>
        <v>58679</v>
      </c>
    </row>
    <row r="3426" spans="1:20" x14ac:dyDescent="0.3">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c r="S3426" t="str">
        <f>INDEX(Q:Q,MATCH(Table1[[#This Row],[Item Purchased]],D:D))</f>
        <v>Bank Transfer</v>
      </c>
      <c r="T3426">
        <f>SUMIF(J:J,Table1[[#This Row],[Season]],F:F)</f>
        <v>55777</v>
      </c>
    </row>
    <row r="3427" spans="1:20" x14ac:dyDescent="0.3">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c r="S3427" t="str">
        <f>INDEX(Q:Q,MATCH(Table1[[#This Row],[Item Purchased]],D:D))</f>
        <v>Venmo</v>
      </c>
      <c r="T3427">
        <f>SUMIF(J:J,Table1[[#This Row],[Season]],F:F)</f>
        <v>55777</v>
      </c>
    </row>
    <row r="3428" spans="1:20" x14ac:dyDescent="0.3">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c r="S3428" t="str">
        <f>INDEX(Q:Q,MATCH(Table1[[#This Row],[Item Purchased]],D:D))</f>
        <v>Venmo</v>
      </c>
      <c r="T3428">
        <f>SUMIF(J:J,Table1[[#This Row],[Season]],F:F)</f>
        <v>60018</v>
      </c>
    </row>
    <row r="3429" spans="1:20" x14ac:dyDescent="0.3">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c r="S3429" t="str">
        <f>INDEX(Q:Q,MATCH(Table1[[#This Row],[Item Purchased]],D:D))</f>
        <v>Venmo</v>
      </c>
      <c r="T3429">
        <f>SUMIF(J:J,Table1[[#This Row],[Season]],F:F)</f>
        <v>58607</v>
      </c>
    </row>
    <row r="3430" spans="1:20" x14ac:dyDescent="0.3">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c r="S3430" t="str">
        <f>INDEX(Q:Q,MATCH(Table1[[#This Row],[Item Purchased]],D:D))</f>
        <v>Cash</v>
      </c>
      <c r="T3430">
        <f>SUMIF(J:J,Table1[[#This Row],[Season]],F:F)</f>
        <v>60018</v>
      </c>
    </row>
    <row r="3431" spans="1:20" x14ac:dyDescent="0.3">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c r="S3431" t="str">
        <f>INDEX(Q:Q,MATCH(Table1[[#This Row],[Item Purchased]],D:D))</f>
        <v>Credit Card</v>
      </c>
      <c r="T3431">
        <f>SUMIF(J:J,Table1[[#This Row],[Season]],F:F)</f>
        <v>58607</v>
      </c>
    </row>
    <row r="3432" spans="1:20" x14ac:dyDescent="0.3">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c r="S3432" t="str">
        <f>INDEX(Q:Q,MATCH(Table1[[#This Row],[Item Purchased]],D:D))</f>
        <v>Venmo</v>
      </c>
      <c r="T3432">
        <f>SUMIF(J:J,Table1[[#This Row],[Season]],F:F)</f>
        <v>58607</v>
      </c>
    </row>
    <row r="3433" spans="1:20" x14ac:dyDescent="0.3">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c r="S3433" t="e">
        <f>INDEX(Q:Q,MATCH(Table1[[#This Row],[Item Purchased]],D:D))</f>
        <v>#N/A</v>
      </c>
      <c r="T3433">
        <f>SUMIF(J:J,Table1[[#This Row],[Season]],F:F)</f>
        <v>55777</v>
      </c>
    </row>
    <row r="3434" spans="1:20" x14ac:dyDescent="0.3">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c r="S3434" t="str">
        <f>INDEX(Q:Q,MATCH(Table1[[#This Row],[Item Purchased]],D:D))</f>
        <v>Venmo</v>
      </c>
      <c r="T3434">
        <f>SUMIF(J:J,Table1[[#This Row],[Season]],F:F)</f>
        <v>55777</v>
      </c>
    </row>
    <row r="3435" spans="1:20" x14ac:dyDescent="0.3">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c r="S3435" t="str">
        <f>INDEX(Q:Q,MATCH(Table1[[#This Row],[Item Purchased]],D:D))</f>
        <v>Venmo</v>
      </c>
      <c r="T3435">
        <f>SUMIF(J:J,Table1[[#This Row],[Season]],F:F)</f>
        <v>58679</v>
      </c>
    </row>
    <row r="3436" spans="1:20" x14ac:dyDescent="0.3">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c r="S3436" t="str">
        <f>INDEX(Q:Q,MATCH(Table1[[#This Row],[Item Purchased]],D:D))</f>
        <v>Cash</v>
      </c>
      <c r="T3436">
        <f>SUMIF(J:J,Table1[[#This Row],[Season]],F:F)</f>
        <v>55777</v>
      </c>
    </row>
    <row r="3437" spans="1:20" x14ac:dyDescent="0.3">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c r="S3437" t="str">
        <f>INDEX(Q:Q,MATCH(Table1[[#This Row],[Item Purchased]],D:D))</f>
        <v>Venmo</v>
      </c>
      <c r="T3437">
        <f>SUMIF(J:J,Table1[[#This Row],[Season]],F:F)</f>
        <v>55777</v>
      </c>
    </row>
    <row r="3438" spans="1:20" x14ac:dyDescent="0.3">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c r="S3438" t="e">
        <f>INDEX(Q:Q,MATCH(Table1[[#This Row],[Item Purchased]],D:D))</f>
        <v>#N/A</v>
      </c>
      <c r="T3438">
        <f>SUMIF(J:J,Table1[[#This Row],[Season]],F:F)</f>
        <v>58607</v>
      </c>
    </row>
    <row r="3439" spans="1:20" x14ac:dyDescent="0.3">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c r="S3439" t="str">
        <f>INDEX(Q:Q,MATCH(Table1[[#This Row],[Item Purchased]],D:D))</f>
        <v>Debit Card</v>
      </c>
      <c r="T3439">
        <f>SUMIF(J:J,Table1[[#This Row],[Season]],F:F)</f>
        <v>58607</v>
      </c>
    </row>
    <row r="3440" spans="1:20" x14ac:dyDescent="0.3">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c r="S3440" t="str">
        <f>INDEX(Q:Q,MATCH(Table1[[#This Row],[Item Purchased]],D:D))</f>
        <v>Bank Transfer</v>
      </c>
      <c r="T3440">
        <f>SUMIF(J:J,Table1[[#This Row],[Season]],F:F)</f>
        <v>60018</v>
      </c>
    </row>
    <row r="3441" spans="1:20" x14ac:dyDescent="0.3">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c r="S3441" t="str">
        <f>INDEX(Q:Q,MATCH(Table1[[#This Row],[Item Purchased]],D:D))</f>
        <v>Debit Card</v>
      </c>
      <c r="T3441">
        <f>SUMIF(J:J,Table1[[#This Row],[Season]],F:F)</f>
        <v>55777</v>
      </c>
    </row>
    <row r="3442" spans="1:20" x14ac:dyDescent="0.3">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c r="S3442" t="str">
        <f>INDEX(Q:Q,MATCH(Table1[[#This Row],[Item Purchased]],D:D))</f>
        <v>Cash</v>
      </c>
      <c r="T3442">
        <f>SUMIF(J:J,Table1[[#This Row],[Season]],F:F)</f>
        <v>60018</v>
      </c>
    </row>
    <row r="3443" spans="1:20" x14ac:dyDescent="0.3">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c r="S3443" t="str">
        <f>INDEX(Q:Q,MATCH(Table1[[#This Row],[Item Purchased]],D:D))</f>
        <v>Venmo</v>
      </c>
      <c r="T3443">
        <f>SUMIF(J:J,Table1[[#This Row],[Season]],F:F)</f>
        <v>60018</v>
      </c>
    </row>
    <row r="3444" spans="1:20" x14ac:dyDescent="0.3">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c r="S3444" t="str">
        <f>INDEX(Q:Q,MATCH(Table1[[#This Row],[Item Purchased]],D:D))</f>
        <v>Credit Card</v>
      </c>
      <c r="T3444">
        <f>SUMIF(J:J,Table1[[#This Row],[Season]],F:F)</f>
        <v>58679</v>
      </c>
    </row>
    <row r="3445" spans="1:20" x14ac:dyDescent="0.3">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c r="S3445" t="str">
        <f>INDEX(Q:Q,MATCH(Table1[[#This Row],[Item Purchased]],D:D))</f>
        <v>Debit Card</v>
      </c>
      <c r="T3445">
        <f>SUMIF(J:J,Table1[[#This Row],[Season]],F:F)</f>
        <v>55777</v>
      </c>
    </row>
    <row r="3446" spans="1:20" x14ac:dyDescent="0.3">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c r="S3446" t="str">
        <f>INDEX(Q:Q,MATCH(Table1[[#This Row],[Item Purchased]],D:D))</f>
        <v>Cash</v>
      </c>
      <c r="T3446">
        <f>SUMIF(J:J,Table1[[#This Row],[Season]],F:F)</f>
        <v>55777</v>
      </c>
    </row>
    <row r="3447" spans="1:20" x14ac:dyDescent="0.3">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c r="S3447" t="str">
        <f>INDEX(Q:Q,MATCH(Table1[[#This Row],[Item Purchased]],D:D))</f>
        <v>Venmo</v>
      </c>
      <c r="T3447">
        <f>SUMIF(J:J,Table1[[#This Row],[Season]],F:F)</f>
        <v>60018</v>
      </c>
    </row>
    <row r="3448" spans="1:20" x14ac:dyDescent="0.3">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c r="S3448" t="str">
        <f>INDEX(Q:Q,MATCH(Table1[[#This Row],[Item Purchased]],D:D))</f>
        <v>Venmo</v>
      </c>
      <c r="T3448">
        <f>SUMIF(J:J,Table1[[#This Row],[Season]],F:F)</f>
        <v>58679</v>
      </c>
    </row>
    <row r="3449" spans="1:20" x14ac:dyDescent="0.3">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c r="S3449" t="str">
        <f>INDEX(Q:Q,MATCH(Table1[[#This Row],[Item Purchased]],D:D))</f>
        <v>Bank Transfer</v>
      </c>
      <c r="T3449">
        <f>SUMIF(J:J,Table1[[#This Row],[Season]],F:F)</f>
        <v>60018</v>
      </c>
    </row>
    <row r="3450" spans="1:20" x14ac:dyDescent="0.3">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c r="S3450" t="str">
        <f>INDEX(Q:Q,MATCH(Table1[[#This Row],[Item Purchased]],D:D))</f>
        <v>Debit Card</v>
      </c>
      <c r="T3450">
        <f>SUMIF(J:J,Table1[[#This Row],[Season]],F:F)</f>
        <v>58607</v>
      </c>
    </row>
    <row r="3451" spans="1:20" x14ac:dyDescent="0.3">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c r="S3451" t="str">
        <f>INDEX(Q:Q,MATCH(Table1[[#This Row],[Item Purchased]],D:D))</f>
        <v>Venmo</v>
      </c>
      <c r="T3451">
        <f>SUMIF(J:J,Table1[[#This Row],[Season]],F:F)</f>
        <v>58679</v>
      </c>
    </row>
    <row r="3452" spans="1:20" x14ac:dyDescent="0.3">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c r="S3452" t="str">
        <f>INDEX(Q:Q,MATCH(Table1[[#This Row],[Item Purchased]],D:D))</f>
        <v>PayPal</v>
      </c>
      <c r="T3452">
        <f>SUMIF(J:J,Table1[[#This Row],[Season]],F:F)</f>
        <v>58679</v>
      </c>
    </row>
    <row r="3453" spans="1:20" x14ac:dyDescent="0.3">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c r="S3453" t="str">
        <f>INDEX(Q:Q,MATCH(Table1[[#This Row],[Item Purchased]],D:D))</f>
        <v>Venmo</v>
      </c>
      <c r="T3453">
        <f>SUMIF(J:J,Table1[[#This Row],[Season]],F:F)</f>
        <v>60018</v>
      </c>
    </row>
    <row r="3454" spans="1:20" x14ac:dyDescent="0.3">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c r="S3454" t="str">
        <f>INDEX(Q:Q,MATCH(Table1[[#This Row],[Item Purchased]],D:D))</f>
        <v>Debit Card</v>
      </c>
      <c r="T3454">
        <f>SUMIF(J:J,Table1[[#This Row],[Season]],F:F)</f>
        <v>58679</v>
      </c>
    </row>
    <row r="3455" spans="1:20" x14ac:dyDescent="0.3">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c r="S3455" t="str">
        <f>INDEX(Q:Q,MATCH(Table1[[#This Row],[Item Purchased]],D:D))</f>
        <v>Bank Transfer</v>
      </c>
      <c r="T3455">
        <f>SUMIF(J:J,Table1[[#This Row],[Season]],F:F)</f>
        <v>58607</v>
      </c>
    </row>
    <row r="3456" spans="1:20" x14ac:dyDescent="0.3">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c r="S3456" t="str">
        <f>INDEX(Q:Q,MATCH(Table1[[#This Row],[Item Purchased]],D:D))</f>
        <v>Cash</v>
      </c>
      <c r="T3456">
        <f>SUMIF(J:J,Table1[[#This Row],[Season]],F:F)</f>
        <v>60018</v>
      </c>
    </row>
    <row r="3457" spans="1:20" x14ac:dyDescent="0.3">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c r="S3457" t="str">
        <f>INDEX(Q:Q,MATCH(Table1[[#This Row],[Item Purchased]],D:D))</f>
        <v>Venmo</v>
      </c>
      <c r="T3457">
        <f>SUMIF(J:J,Table1[[#This Row],[Season]],F:F)</f>
        <v>60018</v>
      </c>
    </row>
    <row r="3458" spans="1:20" x14ac:dyDescent="0.3">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c r="S3458" t="str">
        <f>INDEX(Q:Q,MATCH(Table1[[#This Row],[Item Purchased]],D:D))</f>
        <v>Venmo</v>
      </c>
      <c r="T3458">
        <f>SUMIF(J:J,Table1[[#This Row],[Season]],F:F)</f>
        <v>60018</v>
      </c>
    </row>
    <row r="3459" spans="1:20" x14ac:dyDescent="0.3">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c r="S3459" t="str">
        <f>INDEX(Q:Q,MATCH(Table1[[#This Row],[Item Purchased]],D:D))</f>
        <v>Cash</v>
      </c>
      <c r="T3459">
        <f>SUMIF(J:J,Table1[[#This Row],[Season]],F:F)</f>
        <v>55777</v>
      </c>
    </row>
    <row r="3460" spans="1:20" x14ac:dyDescent="0.3">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c r="S3460" t="str">
        <f>INDEX(Q:Q,MATCH(Table1[[#This Row],[Item Purchased]],D:D))</f>
        <v>Cash</v>
      </c>
      <c r="T3460">
        <f>SUMIF(J:J,Table1[[#This Row],[Season]],F:F)</f>
        <v>58679</v>
      </c>
    </row>
    <row r="3461" spans="1:20" x14ac:dyDescent="0.3">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c r="S3461" t="str">
        <f>INDEX(Q:Q,MATCH(Table1[[#This Row],[Item Purchased]],D:D))</f>
        <v>Venmo</v>
      </c>
      <c r="T3461">
        <f>SUMIF(J:J,Table1[[#This Row],[Season]],F:F)</f>
        <v>60018</v>
      </c>
    </row>
    <row r="3462" spans="1:20" x14ac:dyDescent="0.3">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c r="S3462" t="str">
        <f>INDEX(Q:Q,MATCH(Table1[[#This Row],[Item Purchased]],D:D))</f>
        <v>Bank Transfer</v>
      </c>
      <c r="T3462">
        <f>SUMIF(J:J,Table1[[#This Row],[Season]],F:F)</f>
        <v>58679</v>
      </c>
    </row>
    <row r="3463" spans="1:20" x14ac:dyDescent="0.3">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c r="S3463" t="str">
        <f>INDEX(Q:Q,MATCH(Table1[[#This Row],[Item Purchased]],D:D))</f>
        <v>PayPal</v>
      </c>
      <c r="T3463">
        <f>SUMIF(J:J,Table1[[#This Row],[Season]],F:F)</f>
        <v>58679</v>
      </c>
    </row>
    <row r="3464" spans="1:20" x14ac:dyDescent="0.3">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c r="S3464" t="str">
        <f>INDEX(Q:Q,MATCH(Table1[[#This Row],[Item Purchased]],D:D))</f>
        <v>Cash</v>
      </c>
      <c r="T3464">
        <f>SUMIF(J:J,Table1[[#This Row],[Season]],F:F)</f>
        <v>58679</v>
      </c>
    </row>
    <row r="3465" spans="1:20" x14ac:dyDescent="0.3">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c r="S3465" t="str">
        <f>INDEX(Q:Q,MATCH(Table1[[#This Row],[Item Purchased]],D:D))</f>
        <v>Cash</v>
      </c>
      <c r="T3465">
        <f>SUMIF(J:J,Table1[[#This Row],[Season]],F:F)</f>
        <v>60018</v>
      </c>
    </row>
    <row r="3466" spans="1:20" x14ac:dyDescent="0.3">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c r="S3466" t="str">
        <f>INDEX(Q:Q,MATCH(Table1[[#This Row],[Item Purchased]],D:D))</f>
        <v>Debit Card</v>
      </c>
      <c r="T3466">
        <f>SUMIF(J:J,Table1[[#This Row],[Season]],F:F)</f>
        <v>58607</v>
      </c>
    </row>
    <row r="3467" spans="1:20" x14ac:dyDescent="0.3">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c r="S3467" t="e">
        <f>INDEX(Q:Q,MATCH(Table1[[#This Row],[Item Purchased]],D:D))</f>
        <v>#N/A</v>
      </c>
      <c r="T3467">
        <f>SUMIF(J:J,Table1[[#This Row],[Season]],F:F)</f>
        <v>58679</v>
      </c>
    </row>
    <row r="3468" spans="1:20" x14ac:dyDescent="0.3">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c r="S3468" t="str">
        <f>INDEX(Q:Q,MATCH(Table1[[#This Row],[Item Purchased]],D:D))</f>
        <v>Venmo</v>
      </c>
      <c r="T3468">
        <f>SUMIF(J:J,Table1[[#This Row],[Season]],F:F)</f>
        <v>55777</v>
      </c>
    </row>
    <row r="3469" spans="1:20" x14ac:dyDescent="0.3">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c r="S3469" t="str">
        <f>INDEX(Q:Q,MATCH(Table1[[#This Row],[Item Purchased]],D:D))</f>
        <v>Bank Transfer</v>
      </c>
      <c r="T3469">
        <f>SUMIF(J:J,Table1[[#This Row],[Season]],F:F)</f>
        <v>60018</v>
      </c>
    </row>
    <row r="3470" spans="1:20" x14ac:dyDescent="0.3">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c r="S3470" t="str">
        <f>INDEX(Q:Q,MATCH(Table1[[#This Row],[Item Purchased]],D:D))</f>
        <v>Venmo</v>
      </c>
      <c r="T3470">
        <f>SUMIF(J:J,Table1[[#This Row],[Season]],F:F)</f>
        <v>58607</v>
      </c>
    </row>
    <row r="3471" spans="1:20" x14ac:dyDescent="0.3">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c r="S3471" t="str">
        <f>INDEX(Q:Q,MATCH(Table1[[#This Row],[Item Purchased]],D:D))</f>
        <v>Venmo</v>
      </c>
      <c r="T3471">
        <f>SUMIF(J:J,Table1[[#This Row],[Season]],F:F)</f>
        <v>60018</v>
      </c>
    </row>
    <row r="3472" spans="1:20" x14ac:dyDescent="0.3">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c r="S3472" t="str">
        <f>INDEX(Q:Q,MATCH(Table1[[#This Row],[Item Purchased]],D:D))</f>
        <v>Debit Card</v>
      </c>
      <c r="T3472">
        <f>SUMIF(J:J,Table1[[#This Row],[Season]],F:F)</f>
        <v>55777</v>
      </c>
    </row>
    <row r="3473" spans="1:20" x14ac:dyDescent="0.3">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c r="S3473" t="str">
        <f>INDEX(Q:Q,MATCH(Table1[[#This Row],[Item Purchased]],D:D))</f>
        <v>Bank Transfer</v>
      </c>
      <c r="T3473">
        <f>SUMIF(J:J,Table1[[#This Row],[Season]],F:F)</f>
        <v>58679</v>
      </c>
    </row>
    <row r="3474" spans="1:20" x14ac:dyDescent="0.3">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c r="S3474" t="str">
        <f>INDEX(Q:Q,MATCH(Table1[[#This Row],[Item Purchased]],D:D))</f>
        <v>Venmo</v>
      </c>
      <c r="T3474">
        <f>SUMIF(J:J,Table1[[#This Row],[Season]],F:F)</f>
        <v>55777</v>
      </c>
    </row>
    <row r="3475" spans="1:20" x14ac:dyDescent="0.3">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c r="S3475" t="str">
        <f>INDEX(Q:Q,MATCH(Table1[[#This Row],[Item Purchased]],D:D))</f>
        <v>Debit Card</v>
      </c>
      <c r="T3475">
        <f>SUMIF(J:J,Table1[[#This Row],[Season]],F:F)</f>
        <v>58679</v>
      </c>
    </row>
    <row r="3476" spans="1:20" x14ac:dyDescent="0.3">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c r="S3476" t="str">
        <f>INDEX(Q:Q,MATCH(Table1[[#This Row],[Item Purchased]],D:D))</f>
        <v>Cash</v>
      </c>
      <c r="T3476">
        <f>SUMIF(J:J,Table1[[#This Row],[Season]],F:F)</f>
        <v>58607</v>
      </c>
    </row>
    <row r="3477" spans="1:20" x14ac:dyDescent="0.3">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c r="S3477" t="str">
        <f>INDEX(Q:Q,MATCH(Table1[[#This Row],[Item Purchased]],D:D))</f>
        <v>Venmo</v>
      </c>
      <c r="T3477">
        <f>SUMIF(J:J,Table1[[#This Row],[Season]],F:F)</f>
        <v>58679</v>
      </c>
    </row>
    <row r="3478" spans="1:20" x14ac:dyDescent="0.3">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c r="S3478" t="str">
        <f>INDEX(Q:Q,MATCH(Table1[[#This Row],[Item Purchased]],D:D))</f>
        <v>Venmo</v>
      </c>
      <c r="T3478">
        <f>SUMIF(J:J,Table1[[#This Row],[Season]],F:F)</f>
        <v>55777</v>
      </c>
    </row>
    <row r="3479" spans="1:20" x14ac:dyDescent="0.3">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c r="S3479" t="str">
        <f>INDEX(Q:Q,MATCH(Table1[[#This Row],[Item Purchased]],D:D))</f>
        <v>Cash</v>
      </c>
      <c r="T3479">
        <f>SUMIF(J:J,Table1[[#This Row],[Season]],F:F)</f>
        <v>58679</v>
      </c>
    </row>
    <row r="3480" spans="1:20" x14ac:dyDescent="0.3">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c r="S3480" t="str">
        <f>INDEX(Q:Q,MATCH(Table1[[#This Row],[Item Purchased]],D:D))</f>
        <v>Cash</v>
      </c>
      <c r="T3480">
        <f>SUMIF(J:J,Table1[[#This Row],[Season]],F:F)</f>
        <v>60018</v>
      </c>
    </row>
    <row r="3481" spans="1:20" x14ac:dyDescent="0.3">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c r="S3481" t="str">
        <f>INDEX(Q:Q,MATCH(Table1[[#This Row],[Item Purchased]],D:D))</f>
        <v>Venmo</v>
      </c>
      <c r="T3481">
        <f>SUMIF(J:J,Table1[[#This Row],[Season]],F:F)</f>
        <v>55777</v>
      </c>
    </row>
    <row r="3482" spans="1:20" x14ac:dyDescent="0.3">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c r="S3482" t="str">
        <f>INDEX(Q:Q,MATCH(Table1[[#This Row],[Item Purchased]],D:D))</f>
        <v>Bank Transfer</v>
      </c>
      <c r="T3482">
        <f>SUMIF(J:J,Table1[[#This Row],[Season]],F:F)</f>
        <v>58607</v>
      </c>
    </row>
    <row r="3483" spans="1:20" x14ac:dyDescent="0.3">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c r="S3483" t="str">
        <f>INDEX(Q:Q,MATCH(Table1[[#This Row],[Item Purchased]],D:D))</f>
        <v>Venmo</v>
      </c>
      <c r="T3483">
        <f>SUMIF(J:J,Table1[[#This Row],[Season]],F:F)</f>
        <v>55777</v>
      </c>
    </row>
    <row r="3484" spans="1:20" x14ac:dyDescent="0.3">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c r="S3484" t="str">
        <f>INDEX(Q:Q,MATCH(Table1[[#This Row],[Item Purchased]],D:D))</f>
        <v>Debit Card</v>
      </c>
      <c r="T3484">
        <f>SUMIF(J:J,Table1[[#This Row],[Season]],F:F)</f>
        <v>58607</v>
      </c>
    </row>
    <row r="3485" spans="1:20" x14ac:dyDescent="0.3">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c r="S3485" t="str">
        <f>INDEX(Q:Q,MATCH(Table1[[#This Row],[Item Purchased]],D:D))</f>
        <v>Venmo</v>
      </c>
      <c r="T3485">
        <f>SUMIF(J:J,Table1[[#This Row],[Season]],F:F)</f>
        <v>58607</v>
      </c>
    </row>
    <row r="3486" spans="1:20" x14ac:dyDescent="0.3">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c r="S3486" t="str">
        <f>INDEX(Q:Q,MATCH(Table1[[#This Row],[Item Purchased]],D:D))</f>
        <v>Debit Card</v>
      </c>
      <c r="T3486">
        <f>SUMIF(J:J,Table1[[#This Row],[Season]],F:F)</f>
        <v>60018</v>
      </c>
    </row>
    <row r="3487" spans="1:20" x14ac:dyDescent="0.3">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c r="S3487" t="str">
        <f>INDEX(Q:Q,MATCH(Table1[[#This Row],[Item Purchased]],D:D))</f>
        <v>Bank Transfer</v>
      </c>
      <c r="T3487">
        <f>SUMIF(J:J,Table1[[#This Row],[Season]],F:F)</f>
        <v>58607</v>
      </c>
    </row>
    <row r="3488" spans="1:20" x14ac:dyDescent="0.3">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c r="S3488" t="str">
        <f>INDEX(Q:Q,MATCH(Table1[[#This Row],[Item Purchased]],D:D))</f>
        <v>PayPal</v>
      </c>
      <c r="T3488">
        <f>SUMIF(J:J,Table1[[#This Row],[Season]],F:F)</f>
        <v>58607</v>
      </c>
    </row>
    <row r="3489" spans="1:20" x14ac:dyDescent="0.3">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c r="S3489" t="str">
        <f>INDEX(Q:Q,MATCH(Table1[[#This Row],[Item Purchased]],D:D))</f>
        <v>Bank Transfer</v>
      </c>
      <c r="T3489">
        <f>SUMIF(J:J,Table1[[#This Row],[Season]],F:F)</f>
        <v>60018</v>
      </c>
    </row>
    <row r="3490" spans="1:20" x14ac:dyDescent="0.3">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c r="S3490" t="str">
        <f>INDEX(Q:Q,MATCH(Table1[[#This Row],[Item Purchased]],D:D))</f>
        <v>Venmo</v>
      </c>
      <c r="T3490">
        <f>SUMIF(J:J,Table1[[#This Row],[Season]],F:F)</f>
        <v>58679</v>
      </c>
    </row>
    <row r="3491" spans="1:20" x14ac:dyDescent="0.3">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c r="S3491" t="str">
        <f>INDEX(Q:Q,MATCH(Table1[[#This Row],[Item Purchased]],D:D))</f>
        <v>Debit Card</v>
      </c>
      <c r="T3491">
        <f>SUMIF(J:J,Table1[[#This Row],[Season]],F:F)</f>
        <v>55777</v>
      </c>
    </row>
    <row r="3492" spans="1:20" x14ac:dyDescent="0.3">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c r="S3492" t="str">
        <f>INDEX(Q:Q,MATCH(Table1[[#This Row],[Item Purchased]],D:D))</f>
        <v>Venmo</v>
      </c>
      <c r="T3492">
        <f>SUMIF(J:J,Table1[[#This Row],[Season]],F:F)</f>
        <v>58679</v>
      </c>
    </row>
    <row r="3493" spans="1:20" x14ac:dyDescent="0.3">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c r="S3493" t="str">
        <f>INDEX(Q:Q,MATCH(Table1[[#This Row],[Item Purchased]],D:D))</f>
        <v>Cash</v>
      </c>
      <c r="T3493">
        <f>SUMIF(J:J,Table1[[#This Row],[Season]],F:F)</f>
        <v>58607</v>
      </c>
    </row>
    <row r="3494" spans="1:20" x14ac:dyDescent="0.3">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c r="S3494" t="str">
        <f>INDEX(Q:Q,MATCH(Table1[[#This Row],[Item Purchased]],D:D))</f>
        <v>Debit Card</v>
      </c>
      <c r="T3494">
        <f>SUMIF(J:J,Table1[[#This Row],[Season]],F:F)</f>
        <v>60018</v>
      </c>
    </row>
    <row r="3495" spans="1:20" x14ac:dyDescent="0.3">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c r="S3495" t="str">
        <f>INDEX(Q:Q,MATCH(Table1[[#This Row],[Item Purchased]],D:D))</f>
        <v>Cash</v>
      </c>
      <c r="T3495">
        <f>SUMIF(J:J,Table1[[#This Row],[Season]],F:F)</f>
        <v>58607</v>
      </c>
    </row>
    <row r="3496" spans="1:20" x14ac:dyDescent="0.3">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c r="S3496" t="str">
        <f>INDEX(Q:Q,MATCH(Table1[[#This Row],[Item Purchased]],D:D))</f>
        <v>Bank Transfer</v>
      </c>
      <c r="T3496">
        <f>SUMIF(J:J,Table1[[#This Row],[Season]],F:F)</f>
        <v>58607</v>
      </c>
    </row>
    <row r="3497" spans="1:20" x14ac:dyDescent="0.3">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c r="S3497" t="str">
        <f>INDEX(Q:Q,MATCH(Table1[[#This Row],[Item Purchased]],D:D))</f>
        <v>PayPal</v>
      </c>
      <c r="T3497">
        <f>SUMIF(J:J,Table1[[#This Row],[Season]],F:F)</f>
        <v>58679</v>
      </c>
    </row>
    <row r="3498" spans="1:20" x14ac:dyDescent="0.3">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c r="S3498" t="str">
        <f>INDEX(Q:Q,MATCH(Table1[[#This Row],[Item Purchased]],D:D))</f>
        <v>PayPal</v>
      </c>
      <c r="T3498">
        <f>SUMIF(J:J,Table1[[#This Row],[Season]],F:F)</f>
        <v>55777</v>
      </c>
    </row>
    <row r="3499" spans="1:20" x14ac:dyDescent="0.3">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c r="S3499" t="str">
        <f>INDEX(Q:Q,MATCH(Table1[[#This Row],[Item Purchased]],D:D))</f>
        <v>Cash</v>
      </c>
      <c r="T3499">
        <f>SUMIF(J:J,Table1[[#This Row],[Season]],F:F)</f>
        <v>58679</v>
      </c>
    </row>
    <row r="3500" spans="1:20" x14ac:dyDescent="0.3">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c r="S3500" t="str">
        <f>INDEX(Q:Q,MATCH(Table1[[#This Row],[Item Purchased]],D:D))</f>
        <v>Bank Transfer</v>
      </c>
      <c r="T3500">
        <f>SUMIF(J:J,Table1[[#This Row],[Season]],F:F)</f>
        <v>55777</v>
      </c>
    </row>
    <row r="3501" spans="1:20" x14ac:dyDescent="0.3">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c r="S3501" t="str">
        <f>INDEX(Q:Q,MATCH(Table1[[#This Row],[Item Purchased]],D:D))</f>
        <v>Venmo</v>
      </c>
      <c r="T3501">
        <f>SUMIF(J:J,Table1[[#This Row],[Season]],F:F)</f>
        <v>60018</v>
      </c>
    </row>
    <row r="3502" spans="1:20" x14ac:dyDescent="0.3">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c r="S3502" t="str">
        <f>INDEX(Q:Q,MATCH(Table1[[#This Row],[Item Purchased]],D:D))</f>
        <v>Bank Transfer</v>
      </c>
      <c r="T3502">
        <f>SUMIF(J:J,Table1[[#This Row],[Season]],F:F)</f>
        <v>60018</v>
      </c>
    </row>
    <row r="3503" spans="1:20" x14ac:dyDescent="0.3">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c r="S3503" t="str">
        <f>INDEX(Q:Q,MATCH(Table1[[#This Row],[Item Purchased]],D:D))</f>
        <v>PayPal</v>
      </c>
      <c r="T3503">
        <f>SUMIF(J:J,Table1[[#This Row],[Season]],F:F)</f>
        <v>60018</v>
      </c>
    </row>
    <row r="3504" spans="1:20" x14ac:dyDescent="0.3">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c r="S3504" t="e">
        <f>INDEX(Q:Q,MATCH(Table1[[#This Row],[Item Purchased]],D:D))</f>
        <v>#N/A</v>
      </c>
      <c r="T3504">
        <f>SUMIF(J:J,Table1[[#This Row],[Season]],F:F)</f>
        <v>60018</v>
      </c>
    </row>
    <row r="3505" spans="1:20" x14ac:dyDescent="0.3">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c r="S3505" t="str">
        <f>INDEX(Q:Q,MATCH(Table1[[#This Row],[Item Purchased]],D:D))</f>
        <v>Bank Transfer</v>
      </c>
      <c r="T3505">
        <f>SUMIF(J:J,Table1[[#This Row],[Season]],F:F)</f>
        <v>58679</v>
      </c>
    </row>
    <row r="3506" spans="1:20" x14ac:dyDescent="0.3">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c r="S3506" t="str">
        <f>INDEX(Q:Q,MATCH(Table1[[#This Row],[Item Purchased]],D:D))</f>
        <v>Cash</v>
      </c>
      <c r="T3506">
        <f>SUMIF(J:J,Table1[[#This Row],[Season]],F:F)</f>
        <v>60018</v>
      </c>
    </row>
    <row r="3507" spans="1:20" x14ac:dyDescent="0.3">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c r="S3507" t="str">
        <f>INDEX(Q:Q,MATCH(Table1[[#This Row],[Item Purchased]],D:D))</f>
        <v>Cash</v>
      </c>
      <c r="T3507">
        <f>SUMIF(J:J,Table1[[#This Row],[Season]],F:F)</f>
        <v>58607</v>
      </c>
    </row>
    <row r="3508" spans="1:20" x14ac:dyDescent="0.3">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c r="S3508" t="str">
        <f>INDEX(Q:Q,MATCH(Table1[[#This Row],[Item Purchased]],D:D))</f>
        <v>Bank Transfer</v>
      </c>
      <c r="T3508">
        <f>SUMIF(J:J,Table1[[#This Row],[Season]],F:F)</f>
        <v>58607</v>
      </c>
    </row>
    <row r="3509" spans="1:20" x14ac:dyDescent="0.3">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c r="S3509" t="str">
        <f>INDEX(Q:Q,MATCH(Table1[[#This Row],[Item Purchased]],D:D))</f>
        <v>Cash</v>
      </c>
      <c r="T3509">
        <f>SUMIF(J:J,Table1[[#This Row],[Season]],F:F)</f>
        <v>58679</v>
      </c>
    </row>
    <row r="3510" spans="1:20" x14ac:dyDescent="0.3">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c r="S3510" t="str">
        <f>INDEX(Q:Q,MATCH(Table1[[#This Row],[Item Purchased]],D:D))</f>
        <v>Cash</v>
      </c>
      <c r="T3510">
        <f>SUMIF(J:J,Table1[[#This Row],[Season]],F:F)</f>
        <v>60018</v>
      </c>
    </row>
    <row r="3511" spans="1:20" x14ac:dyDescent="0.3">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c r="S3511" t="str">
        <f>INDEX(Q:Q,MATCH(Table1[[#This Row],[Item Purchased]],D:D))</f>
        <v>Venmo</v>
      </c>
      <c r="T3511">
        <f>SUMIF(J:J,Table1[[#This Row],[Season]],F:F)</f>
        <v>58607</v>
      </c>
    </row>
    <row r="3512" spans="1:20" x14ac:dyDescent="0.3">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c r="S3512" t="str">
        <f>INDEX(Q:Q,MATCH(Table1[[#This Row],[Item Purchased]],D:D))</f>
        <v>Venmo</v>
      </c>
      <c r="T3512">
        <f>SUMIF(J:J,Table1[[#This Row],[Season]],F:F)</f>
        <v>60018</v>
      </c>
    </row>
    <row r="3513" spans="1:20" x14ac:dyDescent="0.3">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c r="S3513" t="str">
        <f>INDEX(Q:Q,MATCH(Table1[[#This Row],[Item Purchased]],D:D))</f>
        <v>Cash</v>
      </c>
      <c r="T3513">
        <f>SUMIF(J:J,Table1[[#This Row],[Season]],F:F)</f>
        <v>55777</v>
      </c>
    </row>
    <row r="3514" spans="1:20" x14ac:dyDescent="0.3">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c r="S3514" t="str">
        <f>INDEX(Q:Q,MATCH(Table1[[#This Row],[Item Purchased]],D:D))</f>
        <v>Bank Transfer</v>
      </c>
      <c r="T3514">
        <f>SUMIF(J:J,Table1[[#This Row],[Season]],F:F)</f>
        <v>60018</v>
      </c>
    </row>
    <row r="3515" spans="1:20" x14ac:dyDescent="0.3">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c r="S3515" t="str">
        <f>INDEX(Q:Q,MATCH(Table1[[#This Row],[Item Purchased]],D:D))</f>
        <v>Venmo</v>
      </c>
      <c r="T3515">
        <f>SUMIF(J:J,Table1[[#This Row],[Season]],F:F)</f>
        <v>58679</v>
      </c>
    </row>
    <row r="3516" spans="1:20" x14ac:dyDescent="0.3">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c r="S3516" t="str">
        <f>INDEX(Q:Q,MATCH(Table1[[#This Row],[Item Purchased]],D:D))</f>
        <v>Venmo</v>
      </c>
      <c r="T3516">
        <f>SUMIF(J:J,Table1[[#This Row],[Season]],F:F)</f>
        <v>58607</v>
      </c>
    </row>
    <row r="3517" spans="1:20" x14ac:dyDescent="0.3">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c r="S3517" t="str">
        <f>INDEX(Q:Q,MATCH(Table1[[#This Row],[Item Purchased]],D:D))</f>
        <v>Debit Card</v>
      </c>
      <c r="T3517">
        <f>SUMIF(J:J,Table1[[#This Row],[Season]],F:F)</f>
        <v>58607</v>
      </c>
    </row>
    <row r="3518" spans="1:20" x14ac:dyDescent="0.3">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c r="S3518" t="str">
        <f>INDEX(Q:Q,MATCH(Table1[[#This Row],[Item Purchased]],D:D))</f>
        <v>Venmo</v>
      </c>
      <c r="T3518">
        <f>SUMIF(J:J,Table1[[#This Row],[Season]],F:F)</f>
        <v>55777</v>
      </c>
    </row>
    <row r="3519" spans="1:20" x14ac:dyDescent="0.3">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c r="S3519" t="str">
        <f>INDEX(Q:Q,MATCH(Table1[[#This Row],[Item Purchased]],D:D))</f>
        <v>Credit Card</v>
      </c>
      <c r="T3519">
        <f>SUMIF(J:J,Table1[[#This Row],[Season]],F:F)</f>
        <v>58607</v>
      </c>
    </row>
    <row r="3520" spans="1:20" x14ac:dyDescent="0.3">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c r="S3520" t="str">
        <f>INDEX(Q:Q,MATCH(Table1[[#This Row],[Item Purchased]],D:D))</f>
        <v>Bank Transfer</v>
      </c>
      <c r="T3520">
        <f>SUMIF(J:J,Table1[[#This Row],[Season]],F:F)</f>
        <v>58679</v>
      </c>
    </row>
    <row r="3521" spans="1:20" x14ac:dyDescent="0.3">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c r="S3521" t="str">
        <f>INDEX(Q:Q,MATCH(Table1[[#This Row],[Item Purchased]],D:D))</f>
        <v>PayPal</v>
      </c>
      <c r="T3521">
        <f>SUMIF(J:J,Table1[[#This Row],[Season]],F:F)</f>
        <v>58607</v>
      </c>
    </row>
    <row r="3522" spans="1:20" x14ac:dyDescent="0.3">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c r="S3522" t="str">
        <f>INDEX(Q:Q,MATCH(Table1[[#This Row],[Item Purchased]],D:D))</f>
        <v>Venmo</v>
      </c>
      <c r="T3522">
        <f>SUMIF(J:J,Table1[[#This Row],[Season]],F:F)</f>
        <v>58679</v>
      </c>
    </row>
    <row r="3523" spans="1:20" x14ac:dyDescent="0.3">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c r="S3523" t="str">
        <f>INDEX(Q:Q,MATCH(Table1[[#This Row],[Item Purchased]],D:D))</f>
        <v>PayPal</v>
      </c>
      <c r="T3523">
        <f>SUMIF(J:J,Table1[[#This Row],[Season]],F:F)</f>
        <v>58607</v>
      </c>
    </row>
    <row r="3524" spans="1:20" x14ac:dyDescent="0.3">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c r="S3524" t="str">
        <f>INDEX(Q:Q,MATCH(Table1[[#This Row],[Item Purchased]],D:D))</f>
        <v>Cash</v>
      </c>
      <c r="T3524">
        <f>SUMIF(J:J,Table1[[#This Row],[Season]],F:F)</f>
        <v>58679</v>
      </c>
    </row>
    <row r="3525" spans="1:20" x14ac:dyDescent="0.3">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c r="S3525" t="e">
        <f>INDEX(Q:Q,MATCH(Table1[[#This Row],[Item Purchased]],D:D))</f>
        <v>#N/A</v>
      </c>
      <c r="T3525">
        <f>SUMIF(J:J,Table1[[#This Row],[Season]],F:F)</f>
        <v>55777</v>
      </c>
    </row>
    <row r="3526" spans="1:20" x14ac:dyDescent="0.3">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c r="S3526" t="str">
        <f>INDEX(Q:Q,MATCH(Table1[[#This Row],[Item Purchased]],D:D))</f>
        <v>Cash</v>
      </c>
      <c r="T3526">
        <f>SUMIF(J:J,Table1[[#This Row],[Season]],F:F)</f>
        <v>55777</v>
      </c>
    </row>
    <row r="3527" spans="1:20" x14ac:dyDescent="0.3">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c r="S3527" t="str">
        <f>INDEX(Q:Q,MATCH(Table1[[#This Row],[Item Purchased]],D:D))</f>
        <v>Venmo</v>
      </c>
      <c r="T3527">
        <f>SUMIF(J:J,Table1[[#This Row],[Season]],F:F)</f>
        <v>58607</v>
      </c>
    </row>
    <row r="3528" spans="1:20" x14ac:dyDescent="0.3">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c r="S3528" t="str">
        <f>INDEX(Q:Q,MATCH(Table1[[#This Row],[Item Purchased]],D:D))</f>
        <v>Venmo</v>
      </c>
      <c r="T3528">
        <f>SUMIF(J:J,Table1[[#This Row],[Season]],F:F)</f>
        <v>58679</v>
      </c>
    </row>
    <row r="3529" spans="1:20" x14ac:dyDescent="0.3">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c r="S3529" t="str">
        <f>INDEX(Q:Q,MATCH(Table1[[#This Row],[Item Purchased]],D:D))</f>
        <v>Venmo</v>
      </c>
      <c r="T3529">
        <f>SUMIF(J:J,Table1[[#This Row],[Season]],F:F)</f>
        <v>58679</v>
      </c>
    </row>
    <row r="3530" spans="1:20" x14ac:dyDescent="0.3">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c r="S3530" t="str">
        <f>INDEX(Q:Q,MATCH(Table1[[#This Row],[Item Purchased]],D:D))</f>
        <v>Bank Transfer</v>
      </c>
      <c r="T3530">
        <f>SUMIF(J:J,Table1[[#This Row],[Season]],F:F)</f>
        <v>55777</v>
      </c>
    </row>
    <row r="3531" spans="1:20" x14ac:dyDescent="0.3">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c r="S3531" t="str">
        <f>INDEX(Q:Q,MATCH(Table1[[#This Row],[Item Purchased]],D:D))</f>
        <v>Venmo</v>
      </c>
      <c r="T3531">
        <f>SUMIF(J:J,Table1[[#This Row],[Season]],F:F)</f>
        <v>58607</v>
      </c>
    </row>
    <row r="3532" spans="1:20" x14ac:dyDescent="0.3">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c r="S3532" t="str">
        <f>INDEX(Q:Q,MATCH(Table1[[#This Row],[Item Purchased]],D:D))</f>
        <v>Venmo</v>
      </c>
      <c r="T3532">
        <f>SUMIF(J:J,Table1[[#This Row],[Season]],F:F)</f>
        <v>58679</v>
      </c>
    </row>
    <row r="3533" spans="1:20" x14ac:dyDescent="0.3">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c r="S3533" t="str">
        <f>INDEX(Q:Q,MATCH(Table1[[#This Row],[Item Purchased]],D:D))</f>
        <v>PayPal</v>
      </c>
      <c r="T3533">
        <f>SUMIF(J:J,Table1[[#This Row],[Season]],F:F)</f>
        <v>58607</v>
      </c>
    </row>
    <row r="3534" spans="1:20" x14ac:dyDescent="0.3">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c r="S3534" t="str">
        <f>INDEX(Q:Q,MATCH(Table1[[#This Row],[Item Purchased]],D:D))</f>
        <v>Cash</v>
      </c>
      <c r="T3534">
        <f>SUMIF(J:J,Table1[[#This Row],[Season]],F:F)</f>
        <v>60018</v>
      </c>
    </row>
    <row r="3535" spans="1:20" x14ac:dyDescent="0.3">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c r="S3535" t="str">
        <f>INDEX(Q:Q,MATCH(Table1[[#This Row],[Item Purchased]],D:D))</f>
        <v>Venmo</v>
      </c>
      <c r="T3535">
        <f>SUMIF(J:J,Table1[[#This Row],[Season]],F:F)</f>
        <v>60018</v>
      </c>
    </row>
    <row r="3536" spans="1:20" x14ac:dyDescent="0.3">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c r="S3536" t="str">
        <f>INDEX(Q:Q,MATCH(Table1[[#This Row],[Item Purchased]],D:D))</f>
        <v>PayPal</v>
      </c>
      <c r="T3536">
        <f>SUMIF(J:J,Table1[[#This Row],[Season]],F:F)</f>
        <v>60018</v>
      </c>
    </row>
    <row r="3537" spans="1:20" x14ac:dyDescent="0.3">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c r="S3537" t="str">
        <f>INDEX(Q:Q,MATCH(Table1[[#This Row],[Item Purchased]],D:D))</f>
        <v>PayPal</v>
      </c>
      <c r="T3537">
        <f>SUMIF(J:J,Table1[[#This Row],[Season]],F:F)</f>
        <v>55777</v>
      </c>
    </row>
    <row r="3538" spans="1:20" x14ac:dyDescent="0.3">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c r="S3538" t="str">
        <f>INDEX(Q:Q,MATCH(Table1[[#This Row],[Item Purchased]],D:D))</f>
        <v>Cash</v>
      </c>
      <c r="T3538">
        <f>SUMIF(J:J,Table1[[#This Row],[Season]],F:F)</f>
        <v>58679</v>
      </c>
    </row>
    <row r="3539" spans="1:20" x14ac:dyDescent="0.3">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c r="S3539" t="str">
        <f>INDEX(Q:Q,MATCH(Table1[[#This Row],[Item Purchased]],D:D))</f>
        <v>Cash</v>
      </c>
      <c r="T3539">
        <f>SUMIF(J:J,Table1[[#This Row],[Season]],F:F)</f>
        <v>58679</v>
      </c>
    </row>
    <row r="3540" spans="1:20" x14ac:dyDescent="0.3">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c r="S3540" t="str">
        <f>INDEX(Q:Q,MATCH(Table1[[#This Row],[Item Purchased]],D:D))</f>
        <v>PayPal</v>
      </c>
      <c r="T3540">
        <f>SUMIF(J:J,Table1[[#This Row],[Season]],F:F)</f>
        <v>58679</v>
      </c>
    </row>
    <row r="3541" spans="1:20" x14ac:dyDescent="0.3">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c r="S3541" t="str">
        <f>INDEX(Q:Q,MATCH(Table1[[#This Row],[Item Purchased]],D:D))</f>
        <v>Cash</v>
      </c>
      <c r="T3541">
        <f>SUMIF(J:J,Table1[[#This Row],[Season]],F:F)</f>
        <v>58679</v>
      </c>
    </row>
    <row r="3542" spans="1:20" x14ac:dyDescent="0.3">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c r="S3542" t="str">
        <f>INDEX(Q:Q,MATCH(Table1[[#This Row],[Item Purchased]],D:D))</f>
        <v>PayPal</v>
      </c>
      <c r="T3542">
        <f>SUMIF(J:J,Table1[[#This Row],[Season]],F:F)</f>
        <v>58679</v>
      </c>
    </row>
    <row r="3543" spans="1:20" x14ac:dyDescent="0.3">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c r="S3543" t="str">
        <f>INDEX(Q:Q,MATCH(Table1[[#This Row],[Item Purchased]],D:D))</f>
        <v>Venmo</v>
      </c>
      <c r="T3543">
        <f>SUMIF(J:J,Table1[[#This Row],[Season]],F:F)</f>
        <v>58607</v>
      </c>
    </row>
    <row r="3544" spans="1:20" x14ac:dyDescent="0.3">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c r="S3544" t="str">
        <f>INDEX(Q:Q,MATCH(Table1[[#This Row],[Item Purchased]],D:D))</f>
        <v>Debit Card</v>
      </c>
      <c r="T3544">
        <f>SUMIF(J:J,Table1[[#This Row],[Season]],F:F)</f>
        <v>58679</v>
      </c>
    </row>
    <row r="3545" spans="1:20" x14ac:dyDescent="0.3">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c r="S3545" t="str">
        <f>INDEX(Q:Q,MATCH(Table1[[#This Row],[Item Purchased]],D:D))</f>
        <v>Venmo</v>
      </c>
      <c r="T3545">
        <f>SUMIF(J:J,Table1[[#This Row],[Season]],F:F)</f>
        <v>58607</v>
      </c>
    </row>
    <row r="3546" spans="1:20" x14ac:dyDescent="0.3">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c r="S3546" t="str">
        <f>INDEX(Q:Q,MATCH(Table1[[#This Row],[Item Purchased]],D:D))</f>
        <v>Venmo</v>
      </c>
      <c r="T3546">
        <f>SUMIF(J:J,Table1[[#This Row],[Season]],F:F)</f>
        <v>60018</v>
      </c>
    </row>
    <row r="3547" spans="1:20" x14ac:dyDescent="0.3">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c r="S3547" t="str">
        <f>INDEX(Q:Q,MATCH(Table1[[#This Row],[Item Purchased]],D:D))</f>
        <v>Bank Transfer</v>
      </c>
      <c r="T3547">
        <f>SUMIF(J:J,Table1[[#This Row],[Season]],F:F)</f>
        <v>58679</v>
      </c>
    </row>
    <row r="3548" spans="1:20" x14ac:dyDescent="0.3">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c r="S3548" t="str">
        <f>INDEX(Q:Q,MATCH(Table1[[#This Row],[Item Purchased]],D:D))</f>
        <v>Bank Transfer</v>
      </c>
      <c r="T3548">
        <f>SUMIF(J:J,Table1[[#This Row],[Season]],F:F)</f>
        <v>55777</v>
      </c>
    </row>
    <row r="3549" spans="1:20" x14ac:dyDescent="0.3">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c r="S3549" t="str">
        <f>INDEX(Q:Q,MATCH(Table1[[#This Row],[Item Purchased]],D:D))</f>
        <v>Bank Transfer</v>
      </c>
      <c r="T3549">
        <f>SUMIF(J:J,Table1[[#This Row],[Season]],F:F)</f>
        <v>55777</v>
      </c>
    </row>
    <row r="3550" spans="1:20" x14ac:dyDescent="0.3">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c r="S3550" t="str">
        <f>INDEX(Q:Q,MATCH(Table1[[#This Row],[Item Purchased]],D:D))</f>
        <v>Venmo</v>
      </c>
      <c r="T3550">
        <f>SUMIF(J:J,Table1[[#This Row],[Season]],F:F)</f>
        <v>60018</v>
      </c>
    </row>
    <row r="3551" spans="1:20" x14ac:dyDescent="0.3">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c r="S3551" t="str">
        <f>INDEX(Q:Q,MATCH(Table1[[#This Row],[Item Purchased]],D:D))</f>
        <v>Venmo</v>
      </c>
      <c r="T3551">
        <f>SUMIF(J:J,Table1[[#This Row],[Season]],F:F)</f>
        <v>55777</v>
      </c>
    </row>
    <row r="3552" spans="1:20" x14ac:dyDescent="0.3">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c r="S3552" t="str">
        <f>INDEX(Q:Q,MATCH(Table1[[#This Row],[Item Purchased]],D:D))</f>
        <v>PayPal</v>
      </c>
      <c r="T3552">
        <f>SUMIF(J:J,Table1[[#This Row],[Season]],F:F)</f>
        <v>58607</v>
      </c>
    </row>
    <row r="3553" spans="1:20" x14ac:dyDescent="0.3">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c r="S3553" t="str">
        <f>INDEX(Q:Q,MATCH(Table1[[#This Row],[Item Purchased]],D:D))</f>
        <v>Debit Card</v>
      </c>
      <c r="T3553">
        <f>SUMIF(J:J,Table1[[#This Row],[Season]],F:F)</f>
        <v>58679</v>
      </c>
    </row>
    <row r="3554" spans="1:20" x14ac:dyDescent="0.3">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c r="S3554" t="str">
        <f>INDEX(Q:Q,MATCH(Table1[[#This Row],[Item Purchased]],D:D))</f>
        <v>Venmo</v>
      </c>
      <c r="T3554">
        <f>SUMIF(J:J,Table1[[#This Row],[Season]],F:F)</f>
        <v>58607</v>
      </c>
    </row>
    <row r="3555" spans="1:20" x14ac:dyDescent="0.3">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c r="S3555" t="str">
        <f>INDEX(Q:Q,MATCH(Table1[[#This Row],[Item Purchased]],D:D))</f>
        <v>PayPal</v>
      </c>
      <c r="T3555">
        <f>SUMIF(J:J,Table1[[#This Row],[Season]],F:F)</f>
        <v>58679</v>
      </c>
    </row>
    <row r="3556" spans="1:20" x14ac:dyDescent="0.3">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c r="S3556" t="str">
        <f>INDEX(Q:Q,MATCH(Table1[[#This Row],[Item Purchased]],D:D))</f>
        <v>Debit Card</v>
      </c>
      <c r="T3556">
        <f>SUMIF(J:J,Table1[[#This Row],[Season]],F:F)</f>
        <v>58679</v>
      </c>
    </row>
    <row r="3557" spans="1:20" x14ac:dyDescent="0.3">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c r="S3557" t="str">
        <f>INDEX(Q:Q,MATCH(Table1[[#This Row],[Item Purchased]],D:D))</f>
        <v>Venmo</v>
      </c>
      <c r="T3557">
        <f>SUMIF(J:J,Table1[[#This Row],[Season]],F:F)</f>
        <v>58679</v>
      </c>
    </row>
    <row r="3558" spans="1:20" x14ac:dyDescent="0.3">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c r="S3558" t="str">
        <f>INDEX(Q:Q,MATCH(Table1[[#This Row],[Item Purchased]],D:D))</f>
        <v>Venmo</v>
      </c>
      <c r="T3558">
        <f>SUMIF(J:J,Table1[[#This Row],[Season]],F:F)</f>
        <v>60018</v>
      </c>
    </row>
    <row r="3559" spans="1:20" x14ac:dyDescent="0.3">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c r="S3559" t="str">
        <f>INDEX(Q:Q,MATCH(Table1[[#This Row],[Item Purchased]],D:D))</f>
        <v>Debit Card</v>
      </c>
      <c r="T3559">
        <f>SUMIF(J:J,Table1[[#This Row],[Season]],F:F)</f>
        <v>55777</v>
      </c>
    </row>
    <row r="3560" spans="1:20" x14ac:dyDescent="0.3">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c r="S3560" t="e">
        <f>INDEX(Q:Q,MATCH(Table1[[#This Row],[Item Purchased]],D:D))</f>
        <v>#N/A</v>
      </c>
      <c r="T3560">
        <f>SUMIF(J:J,Table1[[#This Row],[Season]],F:F)</f>
        <v>55777</v>
      </c>
    </row>
    <row r="3561" spans="1:20" x14ac:dyDescent="0.3">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c r="S3561" t="str">
        <f>INDEX(Q:Q,MATCH(Table1[[#This Row],[Item Purchased]],D:D))</f>
        <v>PayPal</v>
      </c>
      <c r="T3561">
        <f>SUMIF(J:J,Table1[[#This Row],[Season]],F:F)</f>
        <v>60018</v>
      </c>
    </row>
    <row r="3562" spans="1:20" x14ac:dyDescent="0.3">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c r="S3562" t="str">
        <f>INDEX(Q:Q,MATCH(Table1[[#This Row],[Item Purchased]],D:D))</f>
        <v>Venmo</v>
      </c>
      <c r="T3562">
        <f>SUMIF(J:J,Table1[[#This Row],[Season]],F:F)</f>
        <v>60018</v>
      </c>
    </row>
    <row r="3563" spans="1:20" x14ac:dyDescent="0.3">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c r="S3563" t="str">
        <f>INDEX(Q:Q,MATCH(Table1[[#This Row],[Item Purchased]],D:D))</f>
        <v>Venmo</v>
      </c>
      <c r="T3563">
        <f>SUMIF(J:J,Table1[[#This Row],[Season]],F:F)</f>
        <v>58679</v>
      </c>
    </row>
    <row r="3564" spans="1:20" x14ac:dyDescent="0.3">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c r="S3564" t="str">
        <f>INDEX(Q:Q,MATCH(Table1[[#This Row],[Item Purchased]],D:D))</f>
        <v>Venmo</v>
      </c>
      <c r="T3564">
        <f>SUMIF(J:J,Table1[[#This Row],[Season]],F:F)</f>
        <v>58607</v>
      </c>
    </row>
    <row r="3565" spans="1:20" x14ac:dyDescent="0.3">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c r="S3565" t="str">
        <f>INDEX(Q:Q,MATCH(Table1[[#This Row],[Item Purchased]],D:D))</f>
        <v>Venmo</v>
      </c>
      <c r="T3565">
        <f>SUMIF(J:J,Table1[[#This Row],[Season]],F:F)</f>
        <v>55777</v>
      </c>
    </row>
    <row r="3566" spans="1:20" x14ac:dyDescent="0.3">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c r="S3566" t="str">
        <f>INDEX(Q:Q,MATCH(Table1[[#This Row],[Item Purchased]],D:D))</f>
        <v>Debit Card</v>
      </c>
      <c r="T3566">
        <f>SUMIF(J:J,Table1[[#This Row],[Season]],F:F)</f>
        <v>55777</v>
      </c>
    </row>
    <row r="3567" spans="1:20" x14ac:dyDescent="0.3">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c r="S3567" t="str">
        <f>INDEX(Q:Q,MATCH(Table1[[#This Row],[Item Purchased]],D:D))</f>
        <v>Cash</v>
      </c>
      <c r="T3567">
        <f>SUMIF(J:J,Table1[[#This Row],[Season]],F:F)</f>
        <v>58679</v>
      </c>
    </row>
    <row r="3568" spans="1:20" x14ac:dyDescent="0.3">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c r="S3568" t="str">
        <f>INDEX(Q:Q,MATCH(Table1[[#This Row],[Item Purchased]],D:D))</f>
        <v>Cash</v>
      </c>
      <c r="T3568">
        <f>SUMIF(J:J,Table1[[#This Row],[Season]],F:F)</f>
        <v>58679</v>
      </c>
    </row>
    <row r="3569" spans="1:20" x14ac:dyDescent="0.3">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c r="S3569" t="str">
        <f>INDEX(Q:Q,MATCH(Table1[[#This Row],[Item Purchased]],D:D))</f>
        <v>Bank Transfer</v>
      </c>
      <c r="T3569">
        <f>SUMIF(J:J,Table1[[#This Row],[Season]],F:F)</f>
        <v>55777</v>
      </c>
    </row>
    <row r="3570" spans="1:20" x14ac:dyDescent="0.3">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c r="S3570" t="str">
        <f>INDEX(Q:Q,MATCH(Table1[[#This Row],[Item Purchased]],D:D))</f>
        <v>Bank Transfer</v>
      </c>
      <c r="T3570">
        <f>SUMIF(J:J,Table1[[#This Row],[Season]],F:F)</f>
        <v>58679</v>
      </c>
    </row>
    <row r="3571" spans="1:20" x14ac:dyDescent="0.3">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c r="S3571" t="str">
        <f>INDEX(Q:Q,MATCH(Table1[[#This Row],[Item Purchased]],D:D))</f>
        <v>Bank Transfer</v>
      </c>
      <c r="T3571">
        <f>SUMIF(J:J,Table1[[#This Row],[Season]],F:F)</f>
        <v>60018</v>
      </c>
    </row>
    <row r="3572" spans="1:20" x14ac:dyDescent="0.3">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c r="S3572" t="str">
        <f>INDEX(Q:Q,MATCH(Table1[[#This Row],[Item Purchased]],D:D))</f>
        <v>Debit Card</v>
      </c>
      <c r="T3572">
        <f>SUMIF(J:J,Table1[[#This Row],[Season]],F:F)</f>
        <v>58607</v>
      </c>
    </row>
    <row r="3573" spans="1:20" x14ac:dyDescent="0.3">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c r="S3573" t="str">
        <f>INDEX(Q:Q,MATCH(Table1[[#This Row],[Item Purchased]],D:D))</f>
        <v>Credit Card</v>
      </c>
      <c r="T3573">
        <f>SUMIF(J:J,Table1[[#This Row],[Season]],F:F)</f>
        <v>55777</v>
      </c>
    </row>
    <row r="3574" spans="1:20" x14ac:dyDescent="0.3">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c r="S3574" t="str">
        <f>INDEX(Q:Q,MATCH(Table1[[#This Row],[Item Purchased]],D:D))</f>
        <v>PayPal</v>
      </c>
      <c r="T3574">
        <f>SUMIF(J:J,Table1[[#This Row],[Season]],F:F)</f>
        <v>58679</v>
      </c>
    </row>
    <row r="3575" spans="1:20" x14ac:dyDescent="0.3">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c r="S3575" t="str">
        <f>INDEX(Q:Q,MATCH(Table1[[#This Row],[Item Purchased]],D:D))</f>
        <v>Cash</v>
      </c>
      <c r="T3575">
        <f>SUMIF(J:J,Table1[[#This Row],[Season]],F:F)</f>
        <v>60018</v>
      </c>
    </row>
    <row r="3576" spans="1:20" x14ac:dyDescent="0.3">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c r="S3576" t="str">
        <f>INDEX(Q:Q,MATCH(Table1[[#This Row],[Item Purchased]],D:D))</f>
        <v>Venmo</v>
      </c>
      <c r="T3576">
        <f>SUMIF(J:J,Table1[[#This Row],[Season]],F:F)</f>
        <v>60018</v>
      </c>
    </row>
    <row r="3577" spans="1:20" x14ac:dyDescent="0.3">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c r="S3577" t="str">
        <f>INDEX(Q:Q,MATCH(Table1[[#This Row],[Item Purchased]],D:D))</f>
        <v>Debit Card</v>
      </c>
      <c r="T3577">
        <f>SUMIF(J:J,Table1[[#This Row],[Season]],F:F)</f>
        <v>60018</v>
      </c>
    </row>
    <row r="3578" spans="1:20" x14ac:dyDescent="0.3">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c r="S3578" t="str">
        <f>INDEX(Q:Q,MATCH(Table1[[#This Row],[Item Purchased]],D:D))</f>
        <v>Venmo</v>
      </c>
      <c r="T3578">
        <f>SUMIF(J:J,Table1[[#This Row],[Season]],F:F)</f>
        <v>58679</v>
      </c>
    </row>
    <row r="3579" spans="1:20" x14ac:dyDescent="0.3">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c r="S3579" t="e">
        <f>INDEX(Q:Q,MATCH(Table1[[#This Row],[Item Purchased]],D:D))</f>
        <v>#N/A</v>
      </c>
      <c r="T3579">
        <f>SUMIF(J:J,Table1[[#This Row],[Season]],F:F)</f>
        <v>58607</v>
      </c>
    </row>
    <row r="3580" spans="1:20" x14ac:dyDescent="0.3">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c r="S3580" t="str">
        <f>INDEX(Q:Q,MATCH(Table1[[#This Row],[Item Purchased]],D:D))</f>
        <v>PayPal</v>
      </c>
      <c r="T3580">
        <f>SUMIF(J:J,Table1[[#This Row],[Season]],F:F)</f>
        <v>58607</v>
      </c>
    </row>
    <row r="3581" spans="1:20" x14ac:dyDescent="0.3">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c r="S3581" t="str">
        <f>INDEX(Q:Q,MATCH(Table1[[#This Row],[Item Purchased]],D:D))</f>
        <v>Bank Transfer</v>
      </c>
      <c r="T3581">
        <f>SUMIF(J:J,Table1[[#This Row],[Season]],F:F)</f>
        <v>60018</v>
      </c>
    </row>
    <row r="3582" spans="1:20" x14ac:dyDescent="0.3">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c r="S3582" t="str">
        <f>INDEX(Q:Q,MATCH(Table1[[#This Row],[Item Purchased]],D:D))</f>
        <v>Venmo</v>
      </c>
      <c r="T3582">
        <f>SUMIF(J:J,Table1[[#This Row],[Season]],F:F)</f>
        <v>55777</v>
      </c>
    </row>
    <row r="3583" spans="1:20" x14ac:dyDescent="0.3">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c r="S3583" t="str">
        <f>INDEX(Q:Q,MATCH(Table1[[#This Row],[Item Purchased]],D:D))</f>
        <v>Debit Card</v>
      </c>
      <c r="T3583">
        <f>SUMIF(J:J,Table1[[#This Row],[Season]],F:F)</f>
        <v>60018</v>
      </c>
    </row>
    <row r="3584" spans="1:20" x14ac:dyDescent="0.3">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c r="S3584" t="str">
        <f>INDEX(Q:Q,MATCH(Table1[[#This Row],[Item Purchased]],D:D))</f>
        <v>PayPal</v>
      </c>
      <c r="T3584">
        <f>SUMIF(J:J,Table1[[#This Row],[Season]],F:F)</f>
        <v>55777</v>
      </c>
    </row>
    <row r="3585" spans="1:20" x14ac:dyDescent="0.3">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c r="S3585" t="str">
        <f>INDEX(Q:Q,MATCH(Table1[[#This Row],[Item Purchased]],D:D))</f>
        <v>Venmo</v>
      </c>
      <c r="T3585">
        <f>SUMIF(J:J,Table1[[#This Row],[Season]],F:F)</f>
        <v>55777</v>
      </c>
    </row>
    <row r="3586" spans="1:20" x14ac:dyDescent="0.3">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c r="S3586" t="str">
        <f>INDEX(Q:Q,MATCH(Table1[[#This Row],[Item Purchased]],D:D))</f>
        <v>Venmo</v>
      </c>
      <c r="T3586">
        <f>SUMIF(J:J,Table1[[#This Row],[Season]],F:F)</f>
        <v>60018</v>
      </c>
    </row>
    <row r="3587" spans="1:20" x14ac:dyDescent="0.3">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c r="S3587" t="str">
        <f>INDEX(Q:Q,MATCH(Table1[[#This Row],[Item Purchased]],D:D))</f>
        <v>Debit Card</v>
      </c>
      <c r="T3587">
        <f>SUMIF(J:J,Table1[[#This Row],[Season]],F:F)</f>
        <v>58607</v>
      </c>
    </row>
    <row r="3588" spans="1:20" x14ac:dyDescent="0.3">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c r="S3588" t="str">
        <f>INDEX(Q:Q,MATCH(Table1[[#This Row],[Item Purchased]],D:D))</f>
        <v>Venmo</v>
      </c>
      <c r="T3588">
        <f>SUMIF(J:J,Table1[[#This Row],[Season]],F:F)</f>
        <v>58607</v>
      </c>
    </row>
    <row r="3589" spans="1:20" x14ac:dyDescent="0.3">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c r="S3589" t="str">
        <f>INDEX(Q:Q,MATCH(Table1[[#This Row],[Item Purchased]],D:D))</f>
        <v>Venmo</v>
      </c>
      <c r="T3589">
        <f>SUMIF(J:J,Table1[[#This Row],[Season]],F:F)</f>
        <v>55777</v>
      </c>
    </row>
    <row r="3590" spans="1:20" x14ac:dyDescent="0.3">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c r="S3590" t="str">
        <f>INDEX(Q:Q,MATCH(Table1[[#This Row],[Item Purchased]],D:D))</f>
        <v>Venmo</v>
      </c>
      <c r="T3590">
        <f>SUMIF(J:J,Table1[[#This Row],[Season]],F:F)</f>
        <v>58679</v>
      </c>
    </row>
    <row r="3591" spans="1:20" x14ac:dyDescent="0.3">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c r="S3591" t="e">
        <f>INDEX(Q:Q,MATCH(Table1[[#This Row],[Item Purchased]],D:D))</f>
        <v>#N/A</v>
      </c>
      <c r="T3591">
        <f>SUMIF(J:J,Table1[[#This Row],[Season]],F:F)</f>
        <v>58679</v>
      </c>
    </row>
    <row r="3592" spans="1:20" x14ac:dyDescent="0.3">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c r="S3592" t="str">
        <f>INDEX(Q:Q,MATCH(Table1[[#This Row],[Item Purchased]],D:D))</f>
        <v>Debit Card</v>
      </c>
      <c r="T3592">
        <f>SUMIF(J:J,Table1[[#This Row],[Season]],F:F)</f>
        <v>60018</v>
      </c>
    </row>
    <row r="3593" spans="1:20" x14ac:dyDescent="0.3">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c r="S3593" t="str">
        <f>INDEX(Q:Q,MATCH(Table1[[#This Row],[Item Purchased]],D:D))</f>
        <v>Debit Card</v>
      </c>
      <c r="T3593">
        <f>SUMIF(J:J,Table1[[#This Row],[Season]],F:F)</f>
        <v>58607</v>
      </c>
    </row>
    <row r="3594" spans="1:20" x14ac:dyDescent="0.3">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c r="S3594" t="str">
        <f>INDEX(Q:Q,MATCH(Table1[[#This Row],[Item Purchased]],D:D))</f>
        <v>Venmo</v>
      </c>
      <c r="T3594">
        <f>SUMIF(J:J,Table1[[#This Row],[Season]],F:F)</f>
        <v>58679</v>
      </c>
    </row>
    <row r="3595" spans="1:20" x14ac:dyDescent="0.3">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c r="S3595" t="str">
        <f>INDEX(Q:Q,MATCH(Table1[[#This Row],[Item Purchased]],D:D))</f>
        <v>Bank Transfer</v>
      </c>
      <c r="T3595">
        <f>SUMIF(J:J,Table1[[#This Row],[Season]],F:F)</f>
        <v>58679</v>
      </c>
    </row>
    <row r="3596" spans="1:20" x14ac:dyDescent="0.3">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c r="S3596" t="str">
        <f>INDEX(Q:Q,MATCH(Table1[[#This Row],[Item Purchased]],D:D))</f>
        <v>Bank Transfer</v>
      </c>
      <c r="T3596">
        <f>SUMIF(J:J,Table1[[#This Row],[Season]],F:F)</f>
        <v>55777</v>
      </c>
    </row>
    <row r="3597" spans="1:20" x14ac:dyDescent="0.3">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c r="S3597" t="str">
        <f>INDEX(Q:Q,MATCH(Table1[[#This Row],[Item Purchased]],D:D))</f>
        <v>Venmo</v>
      </c>
      <c r="T3597">
        <f>SUMIF(J:J,Table1[[#This Row],[Season]],F:F)</f>
        <v>58679</v>
      </c>
    </row>
    <row r="3598" spans="1:20" x14ac:dyDescent="0.3">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c r="S3598" t="str">
        <f>INDEX(Q:Q,MATCH(Table1[[#This Row],[Item Purchased]],D:D))</f>
        <v>Venmo</v>
      </c>
      <c r="T3598">
        <f>SUMIF(J:J,Table1[[#This Row],[Season]],F:F)</f>
        <v>58679</v>
      </c>
    </row>
    <row r="3599" spans="1:20" x14ac:dyDescent="0.3">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c r="S3599" t="str">
        <f>INDEX(Q:Q,MATCH(Table1[[#This Row],[Item Purchased]],D:D))</f>
        <v>Venmo</v>
      </c>
      <c r="T3599">
        <f>SUMIF(J:J,Table1[[#This Row],[Season]],F:F)</f>
        <v>55777</v>
      </c>
    </row>
    <row r="3600" spans="1:20" x14ac:dyDescent="0.3">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c r="S3600" t="str">
        <f>INDEX(Q:Q,MATCH(Table1[[#This Row],[Item Purchased]],D:D))</f>
        <v>Venmo</v>
      </c>
      <c r="T3600">
        <f>SUMIF(J:J,Table1[[#This Row],[Season]],F:F)</f>
        <v>58679</v>
      </c>
    </row>
    <row r="3601" spans="1:20" x14ac:dyDescent="0.3">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c r="S3601" t="str">
        <f>INDEX(Q:Q,MATCH(Table1[[#This Row],[Item Purchased]],D:D))</f>
        <v>Bank Transfer</v>
      </c>
      <c r="T3601">
        <f>SUMIF(J:J,Table1[[#This Row],[Season]],F:F)</f>
        <v>58679</v>
      </c>
    </row>
    <row r="3602" spans="1:20" x14ac:dyDescent="0.3">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c r="S3602" t="str">
        <f>INDEX(Q:Q,MATCH(Table1[[#This Row],[Item Purchased]],D:D))</f>
        <v>Debit Card</v>
      </c>
      <c r="T3602">
        <f>SUMIF(J:J,Table1[[#This Row],[Season]],F:F)</f>
        <v>58679</v>
      </c>
    </row>
    <row r="3603" spans="1:20" x14ac:dyDescent="0.3">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c r="S3603" t="str">
        <f>INDEX(Q:Q,MATCH(Table1[[#This Row],[Item Purchased]],D:D))</f>
        <v>Venmo</v>
      </c>
      <c r="T3603">
        <f>SUMIF(J:J,Table1[[#This Row],[Season]],F:F)</f>
        <v>55777</v>
      </c>
    </row>
    <row r="3604" spans="1:20" x14ac:dyDescent="0.3">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c r="S3604" t="str">
        <f>INDEX(Q:Q,MATCH(Table1[[#This Row],[Item Purchased]],D:D))</f>
        <v>Credit Card</v>
      </c>
      <c r="T3604">
        <f>SUMIF(J:J,Table1[[#This Row],[Season]],F:F)</f>
        <v>55777</v>
      </c>
    </row>
    <row r="3605" spans="1:20" x14ac:dyDescent="0.3">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c r="S3605" t="str">
        <f>INDEX(Q:Q,MATCH(Table1[[#This Row],[Item Purchased]],D:D))</f>
        <v>Cash</v>
      </c>
      <c r="T3605">
        <f>SUMIF(J:J,Table1[[#This Row],[Season]],F:F)</f>
        <v>58679</v>
      </c>
    </row>
    <row r="3606" spans="1:20" x14ac:dyDescent="0.3">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c r="S3606" t="str">
        <f>INDEX(Q:Q,MATCH(Table1[[#This Row],[Item Purchased]],D:D))</f>
        <v>Venmo</v>
      </c>
      <c r="T3606">
        <f>SUMIF(J:J,Table1[[#This Row],[Season]],F:F)</f>
        <v>60018</v>
      </c>
    </row>
    <row r="3607" spans="1:20" x14ac:dyDescent="0.3">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c r="S3607" t="str">
        <f>INDEX(Q:Q,MATCH(Table1[[#This Row],[Item Purchased]],D:D))</f>
        <v>Cash</v>
      </c>
      <c r="T3607">
        <f>SUMIF(J:J,Table1[[#This Row],[Season]],F:F)</f>
        <v>60018</v>
      </c>
    </row>
    <row r="3608" spans="1:20" x14ac:dyDescent="0.3">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c r="S3608" t="str">
        <f>INDEX(Q:Q,MATCH(Table1[[#This Row],[Item Purchased]],D:D))</f>
        <v>Bank Transfer</v>
      </c>
      <c r="T3608">
        <f>SUMIF(J:J,Table1[[#This Row],[Season]],F:F)</f>
        <v>60018</v>
      </c>
    </row>
    <row r="3609" spans="1:20" x14ac:dyDescent="0.3">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c r="S3609" t="str">
        <f>INDEX(Q:Q,MATCH(Table1[[#This Row],[Item Purchased]],D:D))</f>
        <v>Venmo</v>
      </c>
      <c r="T3609">
        <f>SUMIF(J:J,Table1[[#This Row],[Season]],F:F)</f>
        <v>60018</v>
      </c>
    </row>
    <row r="3610" spans="1:20" x14ac:dyDescent="0.3">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c r="S3610" t="str">
        <f>INDEX(Q:Q,MATCH(Table1[[#This Row],[Item Purchased]],D:D))</f>
        <v>Debit Card</v>
      </c>
      <c r="T3610">
        <f>SUMIF(J:J,Table1[[#This Row],[Season]],F:F)</f>
        <v>60018</v>
      </c>
    </row>
    <row r="3611" spans="1:20" x14ac:dyDescent="0.3">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c r="S3611" t="str">
        <f>INDEX(Q:Q,MATCH(Table1[[#This Row],[Item Purchased]],D:D))</f>
        <v>Venmo</v>
      </c>
      <c r="T3611">
        <f>SUMIF(J:J,Table1[[#This Row],[Season]],F:F)</f>
        <v>55777</v>
      </c>
    </row>
    <row r="3612" spans="1:20" x14ac:dyDescent="0.3">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c r="S3612" t="str">
        <f>INDEX(Q:Q,MATCH(Table1[[#This Row],[Item Purchased]],D:D))</f>
        <v>Debit Card</v>
      </c>
      <c r="T3612">
        <f>SUMIF(J:J,Table1[[#This Row],[Season]],F:F)</f>
        <v>60018</v>
      </c>
    </row>
    <row r="3613" spans="1:20" x14ac:dyDescent="0.3">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c r="S3613" t="str">
        <f>INDEX(Q:Q,MATCH(Table1[[#This Row],[Item Purchased]],D:D))</f>
        <v>Venmo</v>
      </c>
      <c r="T3613">
        <f>SUMIF(J:J,Table1[[#This Row],[Season]],F:F)</f>
        <v>58679</v>
      </c>
    </row>
    <row r="3614" spans="1:20" x14ac:dyDescent="0.3">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c r="S3614" t="str">
        <f>INDEX(Q:Q,MATCH(Table1[[#This Row],[Item Purchased]],D:D))</f>
        <v>Bank Transfer</v>
      </c>
      <c r="T3614">
        <f>SUMIF(J:J,Table1[[#This Row],[Season]],F:F)</f>
        <v>55777</v>
      </c>
    </row>
    <row r="3615" spans="1:20" x14ac:dyDescent="0.3">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c r="S3615" t="str">
        <f>INDEX(Q:Q,MATCH(Table1[[#This Row],[Item Purchased]],D:D))</f>
        <v>Venmo</v>
      </c>
      <c r="T3615">
        <f>SUMIF(J:J,Table1[[#This Row],[Season]],F:F)</f>
        <v>60018</v>
      </c>
    </row>
    <row r="3616" spans="1:20" x14ac:dyDescent="0.3">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c r="S3616" t="str">
        <f>INDEX(Q:Q,MATCH(Table1[[#This Row],[Item Purchased]],D:D))</f>
        <v>Debit Card</v>
      </c>
      <c r="T3616">
        <f>SUMIF(J:J,Table1[[#This Row],[Season]],F:F)</f>
        <v>58679</v>
      </c>
    </row>
    <row r="3617" spans="1:20" x14ac:dyDescent="0.3">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c r="S3617" t="str">
        <f>INDEX(Q:Q,MATCH(Table1[[#This Row],[Item Purchased]],D:D))</f>
        <v>Debit Card</v>
      </c>
      <c r="T3617">
        <f>SUMIF(J:J,Table1[[#This Row],[Season]],F:F)</f>
        <v>58607</v>
      </c>
    </row>
    <row r="3618" spans="1:20" x14ac:dyDescent="0.3">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c r="S3618" t="str">
        <f>INDEX(Q:Q,MATCH(Table1[[#This Row],[Item Purchased]],D:D))</f>
        <v>Venmo</v>
      </c>
      <c r="T3618">
        <f>SUMIF(J:J,Table1[[#This Row],[Season]],F:F)</f>
        <v>58607</v>
      </c>
    </row>
    <row r="3619" spans="1:20" x14ac:dyDescent="0.3">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c r="S3619" t="e">
        <f>INDEX(Q:Q,MATCH(Table1[[#This Row],[Item Purchased]],D:D))</f>
        <v>#N/A</v>
      </c>
      <c r="T3619">
        <f>SUMIF(J:J,Table1[[#This Row],[Season]],F:F)</f>
        <v>60018</v>
      </c>
    </row>
    <row r="3620" spans="1:20" x14ac:dyDescent="0.3">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c r="S3620" t="str">
        <f>INDEX(Q:Q,MATCH(Table1[[#This Row],[Item Purchased]],D:D))</f>
        <v>Debit Card</v>
      </c>
      <c r="T3620">
        <f>SUMIF(J:J,Table1[[#This Row],[Season]],F:F)</f>
        <v>60018</v>
      </c>
    </row>
    <row r="3621" spans="1:20" x14ac:dyDescent="0.3">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c r="S3621" t="str">
        <f>INDEX(Q:Q,MATCH(Table1[[#This Row],[Item Purchased]],D:D))</f>
        <v>Bank Transfer</v>
      </c>
      <c r="T3621">
        <f>SUMIF(J:J,Table1[[#This Row],[Season]],F:F)</f>
        <v>58607</v>
      </c>
    </row>
    <row r="3622" spans="1:20" x14ac:dyDescent="0.3">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c r="S3622" t="str">
        <f>INDEX(Q:Q,MATCH(Table1[[#This Row],[Item Purchased]],D:D))</f>
        <v>Bank Transfer</v>
      </c>
      <c r="T3622">
        <f>SUMIF(J:J,Table1[[#This Row],[Season]],F:F)</f>
        <v>55777</v>
      </c>
    </row>
    <row r="3623" spans="1:20" x14ac:dyDescent="0.3">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c r="S3623" t="str">
        <f>INDEX(Q:Q,MATCH(Table1[[#This Row],[Item Purchased]],D:D))</f>
        <v>Venmo</v>
      </c>
      <c r="T3623">
        <f>SUMIF(J:J,Table1[[#This Row],[Season]],F:F)</f>
        <v>55777</v>
      </c>
    </row>
    <row r="3624" spans="1:20" x14ac:dyDescent="0.3">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c r="S3624" t="str">
        <f>INDEX(Q:Q,MATCH(Table1[[#This Row],[Item Purchased]],D:D))</f>
        <v>Debit Card</v>
      </c>
      <c r="T3624">
        <f>SUMIF(J:J,Table1[[#This Row],[Season]],F:F)</f>
        <v>60018</v>
      </c>
    </row>
    <row r="3625" spans="1:20" x14ac:dyDescent="0.3">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c r="S3625" t="str">
        <f>INDEX(Q:Q,MATCH(Table1[[#This Row],[Item Purchased]],D:D))</f>
        <v>Cash</v>
      </c>
      <c r="T3625">
        <f>SUMIF(J:J,Table1[[#This Row],[Season]],F:F)</f>
        <v>58607</v>
      </c>
    </row>
    <row r="3626" spans="1:20" x14ac:dyDescent="0.3">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c r="S3626" t="str">
        <f>INDEX(Q:Q,MATCH(Table1[[#This Row],[Item Purchased]],D:D))</f>
        <v>Venmo</v>
      </c>
      <c r="T3626">
        <f>SUMIF(J:J,Table1[[#This Row],[Season]],F:F)</f>
        <v>60018</v>
      </c>
    </row>
    <row r="3627" spans="1:20" x14ac:dyDescent="0.3">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c r="S3627" t="str">
        <f>INDEX(Q:Q,MATCH(Table1[[#This Row],[Item Purchased]],D:D))</f>
        <v>Bank Transfer</v>
      </c>
      <c r="T3627">
        <f>SUMIF(J:J,Table1[[#This Row],[Season]],F:F)</f>
        <v>58607</v>
      </c>
    </row>
    <row r="3628" spans="1:20" x14ac:dyDescent="0.3">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c r="S3628" t="str">
        <f>INDEX(Q:Q,MATCH(Table1[[#This Row],[Item Purchased]],D:D))</f>
        <v>Venmo</v>
      </c>
      <c r="T3628">
        <f>SUMIF(J:J,Table1[[#This Row],[Season]],F:F)</f>
        <v>60018</v>
      </c>
    </row>
    <row r="3629" spans="1:20" x14ac:dyDescent="0.3">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c r="S3629" t="e">
        <f>INDEX(Q:Q,MATCH(Table1[[#This Row],[Item Purchased]],D:D))</f>
        <v>#N/A</v>
      </c>
      <c r="T3629">
        <f>SUMIF(J:J,Table1[[#This Row],[Season]],F:F)</f>
        <v>58607</v>
      </c>
    </row>
    <row r="3630" spans="1:20" x14ac:dyDescent="0.3">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c r="S3630" t="str">
        <f>INDEX(Q:Q,MATCH(Table1[[#This Row],[Item Purchased]],D:D))</f>
        <v>Venmo</v>
      </c>
      <c r="T3630">
        <f>SUMIF(J:J,Table1[[#This Row],[Season]],F:F)</f>
        <v>55777</v>
      </c>
    </row>
    <row r="3631" spans="1:20" x14ac:dyDescent="0.3">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c r="S3631" t="str">
        <f>INDEX(Q:Q,MATCH(Table1[[#This Row],[Item Purchased]],D:D))</f>
        <v>Venmo</v>
      </c>
      <c r="T3631">
        <f>SUMIF(J:J,Table1[[#This Row],[Season]],F:F)</f>
        <v>55777</v>
      </c>
    </row>
    <row r="3632" spans="1:20" x14ac:dyDescent="0.3">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c r="S3632" t="str">
        <f>INDEX(Q:Q,MATCH(Table1[[#This Row],[Item Purchased]],D:D))</f>
        <v>Venmo</v>
      </c>
      <c r="T3632">
        <f>SUMIF(J:J,Table1[[#This Row],[Season]],F:F)</f>
        <v>58607</v>
      </c>
    </row>
    <row r="3633" spans="1:20" x14ac:dyDescent="0.3">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c r="S3633" t="str">
        <f>INDEX(Q:Q,MATCH(Table1[[#This Row],[Item Purchased]],D:D))</f>
        <v>Venmo</v>
      </c>
      <c r="T3633">
        <f>SUMIF(J:J,Table1[[#This Row],[Season]],F:F)</f>
        <v>60018</v>
      </c>
    </row>
    <row r="3634" spans="1:20" x14ac:dyDescent="0.3">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c r="S3634" t="str">
        <f>INDEX(Q:Q,MATCH(Table1[[#This Row],[Item Purchased]],D:D))</f>
        <v>Venmo</v>
      </c>
      <c r="T3634">
        <f>SUMIF(J:J,Table1[[#This Row],[Season]],F:F)</f>
        <v>58679</v>
      </c>
    </row>
    <row r="3635" spans="1:20" x14ac:dyDescent="0.3">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c r="S3635" t="str">
        <f>INDEX(Q:Q,MATCH(Table1[[#This Row],[Item Purchased]],D:D))</f>
        <v>Debit Card</v>
      </c>
      <c r="T3635">
        <f>SUMIF(J:J,Table1[[#This Row],[Season]],F:F)</f>
        <v>58679</v>
      </c>
    </row>
    <row r="3636" spans="1:20" x14ac:dyDescent="0.3">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c r="S3636" t="str">
        <f>INDEX(Q:Q,MATCH(Table1[[#This Row],[Item Purchased]],D:D))</f>
        <v>Venmo</v>
      </c>
      <c r="T3636">
        <f>SUMIF(J:J,Table1[[#This Row],[Season]],F:F)</f>
        <v>58607</v>
      </c>
    </row>
    <row r="3637" spans="1:20" x14ac:dyDescent="0.3">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c r="S3637" t="str">
        <f>INDEX(Q:Q,MATCH(Table1[[#This Row],[Item Purchased]],D:D))</f>
        <v>Bank Transfer</v>
      </c>
      <c r="T3637">
        <f>SUMIF(J:J,Table1[[#This Row],[Season]],F:F)</f>
        <v>60018</v>
      </c>
    </row>
    <row r="3638" spans="1:20" x14ac:dyDescent="0.3">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c r="S3638" t="str">
        <f>INDEX(Q:Q,MATCH(Table1[[#This Row],[Item Purchased]],D:D))</f>
        <v>Bank Transfer</v>
      </c>
      <c r="T3638">
        <f>SUMIF(J:J,Table1[[#This Row],[Season]],F:F)</f>
        <v>55777</v>
      </c>
    </row>
    <row r="3639" spans="1:20" x14ac:dyDescent="0.3">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c r="S3639" t="str">
        <f>INDEX(Q:Q,MATCH(Table1[[#This Row],[Item Purchased]],D:D))</f>
        <v>Venmo</v>
      </c>
      <c r="T3639">
        <f>SUMIF(J:J,Table1[[#This Row],[Season]],F:F)</f>
        <v>58607</v>
      </c>
    </row>
    <row r="3640" spans="1:20" x14ac:dyDescent="0.3">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c r="S3640" t="e">
        <f>INDEX(Q:Q,MATCH(Table1[[#This Row],[Item Purchased]],D:D))</f>
        <v>#N/A</v>
      </c>
      <c r="T3640">
        <f>SUMIF(J:J,Table1[[#This Row],[Season]],F:F)</f>
        <v>58679</v>
      </c>
    </row>
    <row r="3641" spans="1:20" x14ac:dyDescent="0.3">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c r="S3641" t="str">
        <f>INDEX(Q:Q,MATCH(Table1[[#This Row],[Item Purchased]],D:D))</f>
        <v>Debit Card</v>
      </c>
      <c r="T3641">
        <f>SUMIF(J:J,Table1[[#This Row],[Season]],F:F)</f>
        <v>55777</v>
      </c>
    </row>
    <row r="3642" spans="1:20" x14ac:dyDescent="0.3">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c r="S3642" t="str">
        <f>INDEX(Q:Q,MATCH(Table1[[#This Row],[Item Purchased]],D:D))</f>
        <v>Venmo</v>
      </c>
      <c r="T3642">
        <f>SUMIF(J:J,Table1[[#This Row],[Season]],F:F)</f>
        <v>58679</v>
      </c>
    </row>
    <row r="3643" spans="1:20" x14ac:dyDescent="0.3">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c r="S3643" t="str">
        <f>INDEX(Q:Q,MATCH(Table1[[#This Row],[Item Purchased]],D:D))</f>
        <v>Debit Card</v>
      </c>
      <c r="T3643">
        <f>SUMIF(J:J,Table1[[#This Row],[Season]],F:F)</f>
        <v>60018</v>
      </c>
    </row>
    <row r="3644" spans="1:20" x14ac:dyDescent="0.3">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c r="S3644" t="str">
        <f>INDEX(Q:Q,MATCH(Table1[[#This Row],[Item Purchased]],D:D))</f>
        <v>Debit Card</v>
      </c>
      <c r="T3644">
        <f>SUMIF(J:J,Table1[[#This Row],[Season]],F:F)</f>
        <v>55777</v>
      </c>
    </row>
    <row r="3645" spans="1:20" x14ac:dyDescent="0.3">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c r="S3645" t="str">
        <f>INDEX(Q:Q,MATCH(Table1[[#This Row],[Item Purchased]],D:D))</f>
        <v>Bank Transfer</v>
      </c>
      <c r="T3645">
        <f>SUMIF(J:J,Table1[[#This Row],[Season]],F:F)</f>
        <v>60018</v>
      </c>
    </row>
    <row r="3646" spans="1:20" x14ac:dyDescent="0.3">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c r="S3646" t="str">
        <f>INDEX(Q:Q,MATCH(Table1[[#This Row],[Item Purchased]],D:D))</f>
        <v>Venmo</v>
      </c>
      <c r="T3646">
        <f>SUMIF(J:J,Table1[[#This Row],[Season]],F:F)</f>
        <v>58607</v>
      </c>
    </row>
    <row r="3647" spans="1:20" x14ac:dyDescent="0.3">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c r="S3647" t="e">
        <f>INDEX(Q:Q,MATCH(Table1[[#This Row],[Item Purchased]],D:D))</f>
        <v>#N/A</v>
      </c>
      <c r="T3647">
        <f>SUMIF(J:J,Table1[[#This Row],[Season]],F:F)</f>
        <v>55777</v>
      </c>
    </row>
    <row r="3648" spans="1:20" x14ac:dyDescent="0.3">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c r="S3648" t="str">
        <f>INDEX(Q:Q,MATCH(Table1[[#This Row],[Item Purchased]],D:D))</f>
        <v>Cash</v>
      </c>
      <c r="T3648">
        <f>SUMIF(J:J,Table1[[#This Row],[Season]],F:F)</f>
        <v>58679</v>
      </c>
    </row>
    <row r="3649" spans="1:20" x14ac:dyDescent="0.3">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c r="S3649" t="str">
        <f>INDEX(Q:Q,MATCH(Table1[[#This Row],[Item Purchased]],D:D))</f>
        <v>PayPal</v>
      </c>
      <c r="T3649">
        <f>SUMIF(J:J,Table1[[#This Row],[Season]],F:F)</f>
        <v>58607</v>
      </c>
    </row>
    <row r="3650" spans="1:20" x14ac:dyDescent="0.3">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c r="S3650" t="str">
        <f>INDEX(Q:Q,MATCH(Table1[[#This Row],[Item Purchased]],D:D))</f>
        <v>Credit Card</v>
      </c>
      <c r="T3650">
        <f>SUMIF(J:J,Table1[[#This Row],[Season]],F:F)</f>
        <v>58607</v>
      </c>
    </row>
    <row r="3651" spans="1:20" x14ac:dyDescent="0.3">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c r="S3651" t="str">
        <f>INDEX(Q:Q,MATCH(Table1[[#This Row],[Item Purchased]],D:D))</f>
        <v>Credit Card</v>
      </c>
      <c r="T3651">
        <f>SUMIF(J:J,Table1[[#This Row],[Season]],F:F)</f>
        <v>60018</v>
      </c>
    </row>
    <row r="3652" spans="1:20" x14ac:dyDescent="0.3">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c r="S3652" t="str">
        <f>INDEX(Q:Q,MATCH(Table1[[#This Row],[Item Purchased]],D:D))</f>
        <v>Cash</v>
      </c>
      <c r="T3652">
        <f>SUMIF(J:J,Table1[[#This Row],[Season]],F:F)</f>
        <v>55777</v>
      </c>
    </row>
    <row r="3653" spans="1:20" x14ac:dyDescent="0.3">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c r="S3653" t="str">
        <f>INDEX(Q:Q,MATCH(Table1[[#This Row],[Item Purchased]],D:D))</f>
        <v>Cash</v>
      </c>
      <c r="T3653">
        <f>SUMIF(J:J,Table1[[#This Row],[Season]],F:F)</f>
        <v>58679</v>
      </c>
    </row>
    <row r="3654" spans="1:20" x14ac:dyDescent="0.3">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c r="S3654" t="str">
        <f>INDEX(Q:Q,MATCH(Table1[[#This Row],[Item Purchased]],D:D))</f>
        <v>Cash</v>
      </c>
      <c r="T3654">
        <f>SUMIF(J:J,Table1[[#This Row],[Season]],F:F)</f>
        <v>60018</v>
      </c>
    </row>
    <row r="3655" spans="1:20" x14ac:dyDescent="0.3">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c r="S3655" t="str">
        <f>INDEX(Q:Q,MATCH(Table1[[#This Row],[Item Purchased]],D:D))</f>
        <v>Debit Card</v>
      </c>
      <c r="T3655">
        <f>SUMIF(J:J,Table1[[#This Row],[Season]],F:F)</f>
        <v>58679</v>
      </c>
    </row>
    <row r="3656" spans="1:20" x14ac:dyDescent="0.3">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c r="S3656" t="str">
        <f>INDEX(Q:Q,MATCH(Table1[[#This Row],[Item Purchased]],D:D))</f>
        <v>Cash</v>
      </c>
      <c r="T3656">
        <f>SUMIF(J:J,Table1[[#This Row],[Season]],F:F)</f>
        <v>58607</v>
      </c>
    </row>
    <row r="3657" spans="1:20" x14ac:dyDescent="0.3">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c r="S3657" t="str">
        <f>INDEX(Q:Q,MATCH(Table1[[#This Row],[Item Purchased]],D:D))</f>
        <v>Venmo</v>
      </c>
      <c r="T3657">
        <f>SUMIF(J:J,Table1[[#This Row],[Season]],F:F)</f>
        <v>60018</v>
      </c>
    </row>
    <row r="3658" spans="1:20" x14ac:dyDescent="0.3">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c r="S3658" t="str">
        <f>INDEX(Q:Q,MATCH(Table1[[#This Row],[Item Purchased]],D:D))</f>
        <v>Debit Card</v>
      </c>
      <c r="T3658">
        <f>SUMIF(J:J,Table1[[#This Row],[Season]],F:F)</f>
        <v>58679</v>
      </c>
    </row>
    <row r="3659" spans="1:20" x14ac:dyDescent="0.3">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c r="S3659" t="str">
        <f>INDEX(Q:Q,MATCH(Table1[[#This Row],[Item Purchased]],D:D))</f>
        <v>PayPal</v>
      </c>
      <c r="T3659">
        <f>SUMIF(J:J,Table1[[#This Row],[Season]],F:F)</f>
        <v>58607</v>
      </c>
    </row>
    <row r="3660" spans="1:20" x14ac:dyDescent="0.3">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c r="S3660" t="str">
        <f>INDEX(Q:Q,MATCH(Table1[[#This Row],[Item Purchased]],D:D))</f>
        <v>Venmo</v>
      </c>
      <c r="T3660">
        <f>SUMIF(J:J,Table1[[#This Row],[Season]],F:F)</f>
        <v>60018</v>
      </c>
    </row>
    <row r="3661" spans="1:20" x14ac:dyDescent="0.3">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c r="S3661" t="str">
        <f>INDEX(Q:Q,MATCH(Table1[[#This Row],[Item Purchased]],D:D))</f>
        <v>Bank Transfer</v>
      </c>
      <c r="T3661">
        <f>SUMIF(J:J,Table1[[#This Row],[Season]],F:F)</f>
        <v>60018</v>
      </c>
    </row>
    <row r="3662" spans="1:20" x14ac:dyDescent="0.3">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c r="S3662" t="str">
        <f>INDEX(Q:Q,MATCH(Table1[[#This Row],[Item Purchased]],D:D))</f>
        <v>PayPal</v>
      </c>
      <c r="T3662">
        <f>SUMIF(J:J,Table1[[#This Row],[Season]],F:F)</f>
        <v>58607</v>
      </c>
    </row>
    <row r="3663" spans="1:20" x14ac:dyDescent="0.3">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c r="S3663" t="str">
        <f>INDEX(Q:Q,MATCH(Table1[[#This Row],[Item Purchased]],D:D))</f>
        <v>Bank Transfer</v>
      </c>
      <c r="T3663">
        <f>SUMIF(J:J,Table1[[#This Row],[Season]],F:F)</f>
        <v>58607</v>
      </c>
    </row>
    <row r="3664" spans="1:20" x14ac:dyDescent="0.3">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c r="S3664" t="str">
        <f>INDEX(Q:Q,MATCH(Table1[[#This Row],[Item Purchased]],D:D))</f>
        <v>PayPal</v>
      </c>
      <c r="T3664">
        <f>SUMIF(J:J,Table1[[#This Row],[Season]],F:F)</f>
        <v>58679</v>
      </c>
    </row>
    <row r="3665" spans="1:20" x14ac:dyDescent="0.3">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c r="S3665" t="e">
        <f>INDEX(Q:Q,MATCH(Table1[[#This Row],[Item Purchased]],D:D))</f>
        <v>#N/A</v>
      </c>
      <c r="T3665">
        <f>SUMIF(J:J,Table1[[#This Row],[Season]],F:F)</f>
        <v>55777</v>
      </c>
    </row>
    <row r="3666" spans="1:20" x14ac:dyDescent="0.3">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c r="S3666" t="str">
        <f>INDEX(Q:Q,MATCH(Table1[[#This Row],[Item Purchased]],D:D))</f>
        <v>Debit Card</v>
      </c>
      <c r="T3666">
        <f>SUMIF(J:J,Table1[[#This Row],[Season]],F:F)</f>
        <v>60018</v>
      </c>
    </row>
    <row r="3667" spans="1:20" x14ac:dyDescent="0.3">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c r="S3667" t="str">
        <f>INDEX(Q:Q,MATCH(Table1[[#This Row],[Item Purchased]],D:D))</f>
        <v>Venmo</v>
      </c>
      <c r="T3667">
        <f>SUMIF(J:J,Table1[[#This Row],[Season]],F:F)</f>
        <v>60018</v>
      </c>
    </row>
    <row r="3668" spans="1:20" x14ac:dyDescent="0.3">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c r="S3668" t="str">
        <f>INDEX(Q:Q,MATCH(Table1[[#This Row],[Item Purchased]],D:D))</f>
        <v>Cash</v>
      </c>
      <c r="T3668">
        <f>SUMIF(J:J,Table1[[#This Row],[Season]],F:F)</f>
        <v>58607</v>
      </c>
    </row>
    <row r="3669" spans="1:20" x14ac:dyDescent="0.3">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c r="S3669" t="str">
        <f>INDEX(Q:Q,MATCH(Table1[[#This Row],[Item Purchased]],D:D))</f>
        <v>Cash</v>
      </c>
      <c r="T3669">
        <f>SUMIF(J:J,Table1[[#This Row],[Season]],F:F)</f>
        <v>60018</v>
      </c>
    </row>
    <row r="3670" spans="1:20" x14ac:dyDescent="0.3">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c r="S3670" t="str">
        <f>INDEX(Q:Q,MATCH(Table1[[#This Row],[Item Purchased]],D:D))</f>
        <v>Venmo</v>
      </c>
      <c r="T3670">
        <f>SUMIF(J:J,Table1[[#This Row],[Season]],F:F)</f>
        <v>55777</v>
      </c>
    </row>
    <row r="3671" spans="1:20" x14ac:dyDescent="0.3">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c r="S3671" t="str">
        <f>INDEX(Q:Q,MATCH(Table1[[#This Row],[Item Purchased]],D:D))</f>
        <v>Venmo</v>
      </c>
      <c r="T3671">
        <f>SUMIF(J:J,Table1[[#This Row],[Season]],F:F)</f>
        <v>60018</v>
      </c>
    </row>
    <row r="3672" spans="1:20" x14ac:dyDescent="0.3">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c r="S3672" t="str">
        <f>INDEX(Q:Q,MATCH(Table1[[#This Row],[Item Purchased]],D:D))</f>
        <v>PayPal</v>
      </c>
      <c r="T3672">
        <f>SUMIF(J:J,Table1[[#This Row],[Season]],F:F)</f>
        <v>58607</v>
      </c>
    </row>
    <row r="3673" spans="1:20" x14ac:dyDescent="0.3">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c r="S3673" t="str">
        <f>INDEX(Q:Q,MATCH(Table1[[#This Row],[Item Purchased]],D:D))</f>
        <v>Cash</v>
      </c>
      <c r="T3673">
        <f>SUMIF(J:J,Table1[[#This Row],[Season]],F:F)</f>
        <v>55777</v>
      </c>
    </row>
    <row r="3674" spans="1:20" x14ac:dyDescent="0.3">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c r="S3674" t="str">
        <f>INDEX(Q:Q,MATCH(Table1[[#This Row],[Item Purchased]],D:D))</f>
        <v>Bank Transfer</v>
      </c>
      <c r="T3674">
        <f>SUMIF(J:J,Table1[[#This Row],[Season]],F:F)</f>
        <v>60018</v>
      </c>
    </row>
    <row r="3675" spans="1:20" x14ac:dyDescent="0.3">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c r="S3675" t="str">
        <f>INDEX(Q:Q,MATCH(Table1[[#This Row],[Item Purchased]],D:D))</f>
        <v>Venmo</v>
      </c>
      <c r="T3675">
        <f>SUMIF(J:J,Table1[[#This Row],[Season]],F:F)</f>
        <v>55777</v>
      </c>
    </row>
    <row r="3676" spans="1:20" x14ac:dyDescent="0.3">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c r="S3676" t="str">
        <f>INDEX(Q:Q,MATCH(Table1[[#This Row],[Item Purchased]],D:D))</f>
        <v>Cash</v>
      </c>
      <c r="T3676">
        <f>SUMIF(J:J,Table1[[#This Row],[Season]],F:F)</f>
        <v>58607</v>
      </c>
    </row>
    <row r="3677" spans="1:20" x14ac:dyDescent="0.3">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c r="S3677" t="str">
        <f>INDEX(Q:Q,MATCH(Table1[[#This Row],[Item Purchased]],D:D))</f>
        <v>Venmo</v>
      </c>
      <c r="T3677">
        <f>SUMIF(J:J,Table1[[#This Row],[Season]],F:F)</f>
        <v>58607</v>
      </c>
    </row>
    <row r="3678" spans="1:20" x14ac:dyDescent="0.3">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c r="S3678" t="str">
        <f>INDEX(Q:Q,MATCH(Table1[[#This Row],[Item Purchased]],D:D))</f>
        <v>Cash</v>
      </c>
      <c r="T3678">
        <f>SUMIF(J:J,Table1[[#This Row],[Season]],F:F)</f>
        <v>58679</v>
      </c>
    </row>
    <row r="3679" spans="1:20" x14ac:dyDescent="0.3">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c r="S3679" t="e">
        <f>INDEX(Q:Q,MATCH(Table1[[#This Row],[Item Purchased]],D:D))</f>
        <v>#N/A</v>
      </c>
      <c r="T3679">
        <f>SUMIF(J:J,Table1[[#This Row],[Season]],F:F)</f>
        <v>60018</v>
      </c>
    </row>
    <row r="3680" spans="1:20" x14ac:dyDescent="0.3">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c r="S3680" t="str">
        <f>INDEX(Q:Q,MATCH(Table1[[#This Row],[Item Purchased]],D:D))</f>
        <v>Bank Transfer</v>
      </c>
      <c r="T3680">
        <f>SUMIF(J:J,Table1[[#This Row],[Season]],F:F)</f>
        <v>60018</v>
      </c>
    </row>
    <row r="3681" spans="1:20" x14ac:dyDescent="0.3">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c r="S3681" t="str">
        <f>INDEX(Q:Q,MATCH(Table1[[#This Row],[Item Purchased]],D:D))</f>
        <v>Debit Card</v>
      </c>
      <c r="T3681">
        <f>SUMIF(J:J,Table1[[#This Row],[Season]],F:F)</f>
        <v>55777</v>
      </c>
    </row>
    <row r="3682" spans="1:20" x14ac:dyDescent="0.3">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c r="S3682" t="str">
        <f>INDEX(Q:Q,MATCH(Table1[[#This Row],[Item Purchased]],D:D))</f>
        <v>Venmo</v>
      </c>
      <c r="T3682">
        <f>SUMIF(J:J,Table1[[#This Row],[Season]],F:F)</f>
        <v>58607</v>
      </c>
    </row>
    <row r="3683" spans="1:20" x14ac:dyDescent="0.3">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c r="S3683" t="str">
        <f>INDEX(Q:Q,MATCH(Table1[[#This Row],[Item Purchased]],D:D))</f>
        <v>Debit Card</v>
      </c>
      <c r="T3683">
        <f>SUMIF(J:J,Table1[[#This Row],[Season]],F:F)</f>
        <v>60018</v>
      </c>
    </row>
    <row r="3684" spans="1:20" x14ac:dyDescent="0.3">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c r="S3684" t="str">
        <f>INDEX(Q:Q,MATCH(Table1[[#This Row],[Item Purchased]],D:D))</f>
        <v>Bank Transfer</v>
      </c>
      <c r="T3684">
        <f>SUMIF(J:J,Table1[[#This Row],[Season]],F:F)</f>
        <v>60018</v>
      </c>
    </row>
    <row r="3685" spans="1:20" x14ac:dyDescent="0.3">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c r="S3685" t="str">
        <f>INDEX(Q:Q,MATCH(Table1[[#This Row],[Item Purchased]],D:D))</f>
        <v>Venmo</v>
      </c>
      <c r="T3685">
        <f>SUMIF(J:J,Table1[[#This Row],[Season]],F:F)</f>
        <v>58607</v>
      </c>
    </row>
    <row r="3686" spans="1:20" x14ac:dyDescent="0.3">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c r="S3686" t="str">
        <f>INDEX(Q:Q,MATCH(Table1[[#This Row],[Item Purchased]],D:D))</f>
        <v>Credit Card</v>
      </c>
      <c r="T3686">
        <f>SUMIF(J:J,Table1[[#This Row],[Season]],F:F)</f>
        <v>58679</v>
      </c>
    </row>
    <row r="3687" spans="1:20" x14ac:dyDescent="0.3">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c r="S3687" t="str">
        <f>INDEX(Q:Q,MATCH(Table1[[#This Row],[Item Purchased]],D:D))</f>
        <v>PayPal</v>
      </c>
      <c r="T3687">
        <f>SUMIF(J:J,Table1[[#This Row],[Season]],F:F)</f>
        <v>55777</v>
      </c>
    </row>
    <row r="3688" spans="1:20" x14ac:dyDescent="0.3">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c r="S3688" t="str">
        <f>INDEX(Q:Q,MATCH(Table1[[#This Row],[Item Purchased]],D:D))</f>
        <v>Bank Transfer</v>
      </c>
      <c r="T3688">
        <f>SUMIF(J:J,Table1[[#This Row],[Season]],F:F)</f>
        <v>58679</v>
      </c>
    </row>
    <row r="3689" spans="1:20" x14ac:dyDescent="0.3">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c r="S3689" t="str">
        <f>INDEX(Q:Q,MATCH(Table1[[#This Row],[Item Purchased]],D:D))</f>
        <v>Bank Transfer</v>
      </c>
      <c r="T3689">
        <f>SUMIF(J:J,Table1[[#This Row],[Season]],F:F)</f>
        <v>55777</v>
      </c>
    </row>
    <row r="3690" spans="1:20" x14ac:dyDescent="0.3">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c r="S3690" t="str">
        <f>INDEX(Q:Q,MATCH(Table1[[#This Row],[Item Purchased]],D:D))</f>
        <v>Venmo</v>
      </c>
      <c r="T3690">
        <f>SUMIF(J:J,Table1[[#This Row],[Season]],F:F)</f>
        <v>58679</v>
      </c>
    </row>
    <row r="3691" spans="1:20" x14ac:dyDescent="0.3">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c r="S3691" t="str">
        <f>INDEX(Q:Q,MATCH(Table1[[#This Row],[Item Purchased]],D:D))</f>
        <v>Cash</v>
      </c>
      <c r="T3691">
        <f>SUMIF(J:J,Table1[[#This Row],[Season]],F:F)</f>
        <v>60018</v>
      </c>
    </row>
    <row r="3692" spans="1:20" x14ac:dyDescent="0.3">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c r="S3692" t="str">
        <f>INDEX(Q:Q,MATCH(Table1[[#This Row],[Item Purchased]],D:D))</f>
        <v>Venmo</v>
      </c>
      <c r="T3692">
        <f>SUMIF(J:J,Table1[[#This Row],[Season]],F:F)</f>
        <v>60018</v>
      </c>
    </row>
    <row r="3693" spans="1:20" x14ac:dyDescent="0.3">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c r="S3693" t="str">
        <f>INDEX(Q:Q,MATCH(Table1[[#This Row],[Item Purchased]],D:D))</f>
        <v>Bank Transfer</v>
      </c>
      <c r="T3693">
        <f>SUMIF(J:J,Table1[[#This Row],[Season]],F:F)</f>
        <v>55777</v>
      </c>
    </row>
    <row r="3694" spans="1:20" x14ac:dyDescent="0.3">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c r="S3694" t="str">
        <f>INDEX(Q:Q,MATCH(Table1[[#This Row],[Item Purchased]],D:D))</f>
        <v>Debit Card</v>
      </c>
      <c r="T3694">
        <f>SUMIF(J:J,Table1[[#This Row],[Season]],F:F)</f>
        <v>58679</v>
      </c>
    </row>
    <row r="3695" spans="1:20" x14ac:dyDescent="0.3">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c r="S3695" t="str">
        <f>INDEX(Q:Q,MATCH(Table1[[#This Row],[Item Purchased]],D:D))</f>
        <v>Venmo</v>
      </c>
      <c r="T3695">
        <f>SUMIF(J:J,Table1[[#This Row],[Season]],F:F)</f>
        <v>55777</v>
      </c>
    </row>
    <row r="3696" spans="1:20" x14ac:dyDescent="0.3">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c r="S3696" t="str">
        <f>INDEX(Q:Q,MATCH(Table1[[#This Row],[Item Purchased]],D:D))</f>
        <v>Venmo</v>
      </c>
      <c r="T3696">
        <f>SUMIF(J:J,Table1[[#This Row],[Season]],F:F)</f>
        <v>58607</v>
      </c>
    </row>
    <row r="3697" spans="1:20" x14ac:dyDescent="0.3">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c r="S3697" t="str">
        <f>INDEX(Q:Q,MATCH(Table1[[#This Row],[Item Purchased]],D:D))</f>
        <v>Credit Card</v>
      </c>
      <c r="T3697">
        <f>SUMIF(J:J,Table1[[#This Row],[Season]],F:F)</f>
        <v>60018</v>
      </c>
    </row>
    <row r="3698" spans="1:20" x14ac:dyDescent="0.3">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c r="S3698" t="str">
        <f>INDEX(Q:Q,MATCH(Table1[[#This Row],[Item Purchased]],D:D))</f>
        <v>Venmo</v>
      </c>
      <c r="T3698">
        <f>SUMIF(J:J,Table1[[#This Row],[Season]],F:F)</f>
        <v>60018</v>
      </c>
    </row>
    <row r="3699" spans="1:20" x14ac:dyDescent="0.3">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c r="S3699" t="str">
        <f>INDEX(Q:Q,MATCH(Table1[[#This Row],[Item Purchased]],D:D))</f>
        <v>Venmo</v>
      </c>
      <c r="T3699">
        <f>SUMIF(J:J,Table1[[#This Row],[Season]],F:F)</f>
        <v>58607</v>
      </c>
    </row>
    <row r="3700" spans="1:20" x14ac:dyDescent="0.3">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c r="S3700" t="str">
        <f>INDEX(Q:Q,MATCH(Table1[[#This Row],[Item Purchased]],D:D))</f>
        <v>Credit Card</v>
      </c>
      <c r="T3700">
        <f>SUMIF(J:J,Table1[[#This Row],[Season]],F:F)</f>
        <v>58679</v>
      </c>
    </row>
    <row r="3701" spans="1:20" x14ac:dyDescent="0.3">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c r="S3701" t="e">
        <f>INDEX(Q:Q,MATCH(Table1[[#This Row],[Item Purchased]],D:D))</f>
        <v>#N/A</v>
      </c>
      <c r="T3701">
        <f>SUMIF(J:J,Table1[[#This Row],[Season]],F:F)</f>
        <v>60018</v>
      </c>
    </row>
    <row r="3702" spans="1:20" x14ac:dyDescent="0.3">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c r="S3702" t="str">
        <f>INDEX(Q:Q,MATCH(Table1[[#This Row],[Item Purchased]],D:D))</f>
        <v>Cash</v>
      </c>
      <c r="T3702">
        <f>SUMIF(J:J,Table1[[#This Row],[Season]],F:F)</f>
        <v>55777</v>
      </c>
    </row>
    <row r="3703" spans="1:20" x14ac:dyDescent="0.3">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c r="S3703" t="str">
        <f>INDEX(Q:Q,MATCH(Table1[[#This Row],[Item Purchased]],D:D))</f>
        <v>Bank Transfer</v>
      </c>
      <c r="T3703">
        <f>SUMIF(J:J,Table1[[#This Row],[Season]],F:F)</f>
        <v>58679</v>
      </c>
    </row>
    <row r="3704" spans="1:20" x14ac:dyDescent="0.3">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c r="S3704" t="str">
        <f>INDEX(Q:Q,MATCH(Table1[[#This Row],[Item Purchased]],D:D))</f>
        <v>PayPal</v>
      </c>
      <c r="T3704">
        <f>SUMIF(J:J,Table1[[#This Row],[Season]],F:F)</f>
        <v>58679</v>
      </c>
    </row>
    <row r="3705" spans="1:20" x14ac:dyDescent="0.3">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c r="S3705" t="str">
        <f>INDEX(Q:Q,MATCH(Table1[[#This Row],[Item Purchased]],D:D))</f>
        <v>Bank Transfer</v>
      </c>
      <c r="T3705">
        <f>SUMIF(J:J,Table1[[#This Row],[Season]],F:F)</f>
        <v>60018</v>
      </c>
    </row>
    <row r="3706" spans="1:20" x14ac:dyDescent="0.3">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c r="S3706" t="str">
        <f>INDEX(Q:Q,MATCH(Table1[[#This Row],[Item Purchased]],D:D))</f>
        <v>Venmo</v>
      </c>
      <c r="T3706">
        <f>SUMIF(J:J,Table1[[#This Row],[Season]],F:F)</f>
        <v>58607</v>
      </c>
    </row>
    <row r="3707" spans="1:20" x14ac:dyDescent="0.3">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c r="S3707" t="str">
        <f>INDEX(Q:Q,MATCH(Table1[[#This Row],[Item Purchased]],D:D))</f>
        <v>Credit Card</v>
      </c>
      <c r="T3707">
        <f>SUMIF(J:J,Table1[[#This Row],[Season]],F:F)</f>
        <v>55777</v>
      </c>
    </row>
    <row r="3708" spans="1:20" x14ac:dyDescent="0.3">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c r="S3708" t="str">
        <f>INDEX(Q:Q,MATCH(Table1[[#This Row],[Item Purchased]],D:D))</f>
        <v>Bank Transfer</v>
      </c>
      <c r="T3708">
        <f>SUMIF(J:J,Table1[[#This Row],[Season]],F:F)</f>
        <v>58679</v>
      </c>
    </row>
    <row r="3709" spans="1:20" x14ac:dyDescent="0.3">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c r="S3709" t="str">
        <f>INDEX(Q:Q,MATCH(Table1[[#This Row],[Item Purchased]],D:D))</f>
        <v>Debit Card</v>
      </c>
      <c r="T3709">
        <f>SUMIF(J:J,Table1[[#This Row],[Season]],F:F)</f>
        <v>60018</v>
      </c>
    </row>
    <row r="3710" spans="1:20" x14ac:dyDescent="0.3">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c r="S3710" t="str">
        <f>INDEX(Q:Q,MATCH(Table1[[#This Row],[Item Purchased]],D:D))</f>
        <v>Venmo</v>
      </c>
      <c r="T3710">
        <f>SUMIF(J:J,Table1[[#This Row],[Season]],F:F)</f>
        <v>60018</v>
      </c>
    </row>
    <row r="3711" spans="1:20" x14ac:dyDescent="0.3">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c r="S3711" t="str">
        <f>INDEX(Q:Q,MATCH(Table1[[#This Row],[Item Purchased]],D:D))</f>
        <v>Venmo</v>
      </c>
      <c r="T3711">
        <f>SUMIF(J:J,Table1[[#This Row],[Season]],F:F)</f>
        <v>60018</v>
      </c>
    </row>
    <row r="3712" spans="1:20" x14ac:dyDescent="0.3">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c r="S3712" t="str">
        <f>INDEX(Q:Q,MATCH(Table1[[#This Row],[Item Purchased]],D:D))</f>
        <v>Cash</v>
      </c>
      <c r="T3712">
        <f>SUMIF(J:J,Table1[[#This Row],[Season]],F:F)</f>
        <v>55777</v>
      </c>
    </row>
    <row r="3713" spans="1:20" x14ac:dyDescent="0.3">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c r="S3713" t="str">
        <f>INDEX(Q:Q,MATCH(Table1[[#This Row],[Item Purchased]],D:D))</f>
        <v>Venmo</v>
      </c>
      <c r="T3713">
        <f>SUMIF(J:J,Table1[[#This Row],[Season]],F:F)</f>
        <v>60018</v>
      </c>
    </row>
    <row r="3714" spans="1:20" x14ac:dyDescent="0.3">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c r="S3714" t="str">
        <f>INDEX(Q:Q,MATCH(Table1[[#This Row],[Item Purchased]],D:D))</f>
        <v>Venmo</v>
      </c>
      <c r="T3714">
        <f>SUMIF(J:J,Table1[[#This Row],[Season]],F:F)</f>
        <v>58679</v>
      </c>
    </row>
    <row r="3715" spans="1:20" x14ac:dyDescent="0.3">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c r="S3715" t="str">
        <f>INDEX(Q:Q,MATCH(Table1[[#This Row],[Item Purchased]],D:D))</f>
        <v>PayPal</v>
      </c>
      <c r="T3715">
        <f>SUMIF(J:J,Table1[[#This Row],[Season]],F:F)</f>
        <v>58679</v>
      </c>
    </row>
    <row r="3716" spans="1:20" x14ac:dyDescent="0.3">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c r="S3716" t="str">
        <f>INDEX(Q:Q,MATCH(Table1[[#This Row],[Item Purchased]],D:D))</f>
        <v>Venmo</v>
      </c>
      <c r="T3716">
        <f>SUMIF(J:J,Table1[[#This Row],[Season]],F:F)</f>
        <v>58607</v>
      </c>
    </row>
    <row r="3717" spans="1:20" x14ac:dyDescent="0.3">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c r="S3717" t="str">
        <f>INDEX(Q:Q,MATCH(Table1[[#This Row],[Item Purchased]],D:D))</f>
        <v>Venmo</v>
      </c>
      <c r="T3717">
        <f>SUMIF(J:J,Table1[[#This Row],[Season]],F:F)</f>
        <v>60018</v>
      </c>
    </row>
    <row r="3718" spans="1:20" x14ac:dyDescent="0.3">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c r="S3718" t="str">
        <f>INDEX(Q:Q,MATCH(Table1[[#This Row],[Item Purchased]],D:D))</f>
        <v>Bank Transfer</v>
      </c>
      <c r="T3718">
        <f>SUMIF(J:J,Table1[[#This Row],[Season]],F:F)</f>
        <v>60018</v>
      </c>
    </row>
    <row r="3719" spans="1:20" x14ac:dyDescent="0.3">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c r="S3719" t="str">
        <f>INDEX(Q:Q,MATCH(Table1[[#This Row],[Item Purchased]],D:D))</f>
        <v>Venmo</v>
      </c>
      <c r="T3719">
        <f>SUMIF(J:J,Table1[[#This Row],[Season]],F:F)</f>
        <v>55777</v>
      </c>
    </row>
    <row r="3720" spans="1:20" x14ac:dyDescent="0.3">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c r="S3720" t="str">
        <f>INDEX(Q:Q,MATCH(Table1[[#This Row],[Item Purchased]],D:D))</f>
        <v>Cash</v>
      </c>
      <c r="T3720">
        <f>SUMIF(J:J,Table1[[#This Row],[Season]],F:F)</f>
        <v>60018</v>
      </c>
    </row>
    <row r="3721" spans="1:20" x14ac:dyDescent="0.3">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c r="S3721" t="str">
        <f>INDEX(Q:Q,MATCH(Table1[[#This Row],[Item Purchased]],D:D))</f>
        <v>Cash</v>
      </c>
      <c r="T3721">
        <f>SUMIF(J:J,Table1[[#This Row],[Season]],F:F)</f>
        <v>55777</v>
      </c>
    </row>
    <row r="3722" spans="1:20" x14ac:dyDescent="0.3">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c r="S3722" t="str">
        <f>INDEX(Q:Q,MATCH(Table1[[#This Row],[Item Purchased]],D:D))</f>
        <v>Venmo</v>
      </c>
      <c r="T3722">
        <f>SUMIF(J:J,Table1[[#This Row],[Season]],F:F)</f>
        <v>60018</v>
      </c>
    </row>
    <row r="3723" spans="1:20" x14ac:dyDescent="0.3">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c r="S3723" t="str">
        <f>INDEX(Q:Q,MATCH(Table1[[#This Row],[Item Purchased]],D:D))</f>
        <v>Debit Card</v>
      </c>
      <c r="T3723">
        <f>SUMIF(J:J,Table1[[#This Row],[Season]],F:F)</f>
        <v>60018</v>
      </c>
    </row>
    <row r="3724" spans="1:20" x14ac:dyDescent="0.3">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c r="S3724" t="str">
        <f>INDEX(Q:Q,MATCH(Table1[[#This Row],[Item Purchased]],D:D))</f>
        <v>Debit Card</v>
      </c>
      <c r="T3724">
        <f>SUMIF(J:J,Table1[[#This Row],[Season]],F:F)</f>
        <v>60018</v>
      </c>
    </row>
    <row r="3725" spans="1:20" x14ac:dyDescent="0.3">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c r="S3725" t="str">
        <f>INDEX(Q:Q,MATCH(Table1[[#This Row],[Item Purchased]],D:D))</f>
        <v>Bank Transfer</v>
      </c>
      <c r="T3725">
        <f>SUMIF(J:J,Table1[[#This Row],[Season]],F:F)</f>
        <v>58679</v>
      </c>
    </row>
    <row r="3726" spans="1:20" x14ac:dyDescent="0.3">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c r="S3726" t="str">
        <f>INDEX(Q:Q,MATCH(Table1[[#This Row],[Item Purchased]],D:D))</f>
        <v>Debit Card</v>
      </c>
      <c r="T3726">
        <f>SUMIF(J:J,Table1[[#This Row],[Season]],F:F)</f>
        <v>58607</v>
      </c>
    </row>
    <row r="3727" spans="1:20" x14ac:dyDescent="0.3">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c r="S3727" t="str">
        <f>INDEX(Q:Q,MATCH(Table1[[#This Row],[Item Purchased]],D:D))</f>
        <v>Debit Card</v>
      </c>
      <c r="T3727">
        <f>SUMIF(J:J,Table1[[#This Row],[Season]],F:F)</f>
        <v>58607</v>
      </c>
    </row>
    <row r="3728" spans="1:20" x14ac:dyDescent="0.3">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c r="S3728" t="e">
        <f>INDEX(Q:Q,MATCH(Table1[[#This Row],[Item Purchased]],D:D))</f>
        <v>#N/A</v>
      </c>
      <c r="T3728">
        <f>SUMIF(J:J,Table1[[#This Row],[Season]],F:F)</f>
        <v>60018</v>
      </c>
    </row>
    <row r="3729" spans="1:20" x14ac:dyDescent="0.3">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c r="S3729" t="str">
        <f>INDEX(Q:Q,MATCH(Table1[[#This Row],[Item Purchased]],D:D))</f>
        <v>Venmo</v>
      </c>
      <c r="T3729">
        <f>SUMIF(J:J,Table1[[#This Row],[Season]],F:F)</f>
        <v>55777</v>
      </c>
    </row>
    <row r="3730" spans="1:20" x14ac:dyDescent="0.3">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c r="S3730" t="str">
        <f>INDEX(Q:Q,MATCH(Table1[[#This Row],[Item Purchased]],D:D))</f>
        <v>Debit Card</v>
      </c>
      <c r="T3730">
        <f>SUMIF(J:J,Table1[[#This Row],[Season]],F:F)</f>
        <v>58607</v>
      </c>
    </row>
    <row r="3731" spans="1:20" x14ac:dyDescent="0.3">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c r="S3731" t="str">
        <f>INDEX(Q:Q,MATCH(Table1[[#This Row],[Item Purchased]],D:D))</f>
        <v>Venmo</v>
      </c>
      <c r="T3731">
        <f>SUMIF(J:J,Table1[[#This Row],[Season]],F:F)</f>
        <v>58679</v>
      </c>
    </row>
    <row r="3732" spans="1:20" x14ac:dyDescent="0.3">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c r="S3732" t="str">
        <f>INDEX(Q:Q,MATCH(Table1[[#This Row],[Item Purchased]],D:D))</f>
        <v>Bank Transfer</v>
      </c>
      <c r="T3732">
        <f>SUMIF(J:J,Table1[[#This Row],[Season]],F:F)</f>
        <v>55777</v>
      </c>
    </row>
    <row r="3733" spans="1:20" x14ac:dyDescent="0.3">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c r="S3733" t="str">
        <f>INDEX(Q:Q,MATCH(Table1[[#This Row],[Item Purchased]],D:D))</f>
        <v>Venmo</v>
      </c>
      <c r="T3733">
        <f>SUMIF(J:J,Table1[[#This Row],[Season]],F:F)</f>
        <v>58679</v>
      </c>
    </row>
    <row r="3734" spans="1:20" x14ac:dyDescent="0.3">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c r="S3734" t="str">
        <f>INDEX(Q:Q,MATCH(Table1[[#This Row],[Item Purchased]],D:D))</f>
        <v>PayPal</v>
      </c>
      <c r="T3734">
        <f>SUMIF(J:J,Table1[[#This Row],[Season]],F:F)</f>
        <v>58679</v>
      </c>
    </row>
    <row r="3735" spans="1:20" x14ac:dyDescent="0.3">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c r="S3735" t="str">
        <f>INDEX(Q:Q,MATCH(Table1[[#This Row],[Item Purchased]],D:D))</f>
        <v>Venmo</v>
      </c>
      <c r="T3735">
        <f>SUMIF(J:J,Table1[[#This Row],[Season]],F:F)</f>
        <v>60018</v>
      </c>
    </row>
    <row r="3736" spans="1:20" x14ac:dyDescent="0.3">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c r="S3736" t="str">
        <f>INDEX(Q:Q,MATCH(Table1[[#This Row],[Item Purchased]],D:D))</f>
        <v>Venmo</v>
      </c>
      <c r="T3736">
        <f>SUMIF(J:J,Table1[[#This Row],[Season]],F:F)</f>
        <v>58679</v>
      </c>
    </row>
    <row r="3737" spans="1:20" x14ac:dyDescent="0.3">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c r="S3737" t="str">
        <f>INDEX(Q:Q,MATCH(Table1[[#This Row],[Item Purchased]],D:D))</f>
        <v>Bank Transfer</v>
      </c>
      <c r="T3737">
        <f>SUMIF(J:J,Table1[[#This Row],[Season]],F:F)</f>
        <v>58679</v>
      </c>
    </row>
    <row r="3738" spans="1:20" x14ac:dyDescent="0.3">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c r="S3738" t="str">
        <f>INDEX(Q:Q,MATCH(Table1[[#This Row],[Item Purchased]],D:D))</f>
        <v>Cash</v>
      </c>
      <c r="T3738">
        <f>SUMIF(J:J,Table1[[#This Row],[Season]],F:F)</f>
        <v>58679</v>
      </c>
    </row>
    <row r="3739" spans="1:20" x14ac:dyDescent="0.3">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c r="S3739" t="str">
        <f>INDEX(Q:Q,MATCH(Table1[[#This Row],[Item Purchased]],D:D))</f>
        <v>Cash</v>
      </c>
      <c r="T3739">
        <f>SUMIF(J:J,Table1[[#This Row],[Season]],F:F)</f>
        <v>58607</v>
      </c>
    </row>
    <row r="3740" spans="1:20" x14ac:dyDescent="0.3">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c r="S3740" t="str">
        <f>INDEX(Q:Q,MATCH(Table1[[#This Row],[Item Purchased]],D:D))</f>
        <v>PayPal</v>
      </c>
      <c r="T3740">
        <f>SUMIF(J:J,Table1[[#This Row],[Season]],F:F)</f>
        <v>58679</v>
      </c>
    </row>
    <row r="3741" spans="1:20" x14ac:dyDescent="0.3">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c r="S3741" t="str">
        <f>INDEX(Q:Q,MATCH(Table1[[#This Row],[Item Purchased]],D:D))</f>
        <v>Venmo</v>
      </c>
      <c r="T3741">
        <f>SUMIF(J:J,Table1[[#This Row],[Season]],F:F)</f>
        <v>60018</v>
      </c>
    </row>
    <row r="3742" spans="1:20" x14ac:dyDescent="0.3">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c r="S3742" t="str">
        <f>INDEX(Q:Q,MATCH(Table1[[#This Row],[Item Purchased]],D:D))</f>
        <v>Cash</v>
      </c>
      <c r="T3742">
        <f>SUMIF(J:J,Table1[[#This Row],[Season]],F:F)</f>
        <v>55777</v>
      </c>
    </row>
    <row r="3743" spans="1:20" x14ac:dyDescent="0.3">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c r="S3743" t="str">
        <f>INDEX(Q:Q,MATCH(Table1[[#This Row],[Item Purchased]],D:D))</f>
        <v>Bank Transfer</v>
      </c>
      <c r="T3743">
        <f>SUMIF(J:J,Table1[[#This Row],[Season]],F:F)</f>
        <v>58679</v>
      </c>
    </row>
    <row r="3744" spans="1:20" x14ac:dyDescent="0.3">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c r="S3744" t="str">
        <f>INDEX(Q:Q,MATCH(Table1[[#This Row],[Item Purchased]],D:D))</f>
        <v>Bank Transfer</v>
      </c>
      <c r="T3744">
        <f>SUMIF(J:J,Table1[[#This Row],[Season]],F:F)</f>
        <v>60018</v>
      </c>
    </row>
    <row r="3745" spans="1:20" x14ac:dyDescent="0.3">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c r="S3745" t="str">
        <f>INDEX(Q:Q,MATCH(Table1[[#This Row],[Item Purchased]],D:D))</f>
        <v>Cash</v>
      </c>
      <c r="T3745">
        <f>SUMIF(J:J,Table1[[#This Row],[Season]],F:F)</f>
        <v>60018</v>
      </c>
    </row>
    <row r="3746" spans="1:20" x14ac:dyDescent="0.3">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c r="S3746" t="str">
        <f>INDEX(Q:Q,MATCH(Table1[[#This Row],[Item Purchased]],D:D))</f>
        <v>Venmo</v>
      </c>
      <c r="T3746">
        <f>SUMIF(J:J,Table1[[#This Row],[Season]],F:F)</f>
        <v>55777</v>
      </c>
    </row>
    <row r="3747" spans="1:20" x14ac:dyDescent="0.3">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c r="S3747" t="str">
        <f>INDEX(Q:Q,MATCH(Table1[[#This Row],[Item Purchased]],D:D))</f>
        <v>Venmo</v>
      </c>
      <c r="T3747">
        <f>SUMIF(J:J,Table1[[#This Row],[Season]],F:F)</f>
        <v>58679</v>
      </c>
    </row>
    <row r="3748" spans="1:20" x14ac:dyDescent="0.3">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c r="S3748" t="str">
        <f>INDEX(Q:Q,MATCH(Table1[[#This Row],[Item Purchased]],D:D))</f>
        <v>Debit Card</v>
      </c>
      <c r="T3748">
        <f>SUMIF(J:J,Table1[[#This Row],[Season]],F:F)</f>
        <v>55777</v>
      </c>
    </row>
    <row r="3749" spans="1:20" x14ac:dyDescent="0.3">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c r="S3749" t="str">
        <f>INDEX(Q:Q,MATCH(Table1[[#This Row],[Item Purchased]],D:D))</f>
        <v>Venmo</v>
      </c>
      <c r="T3749">
        <f>SUMIF(J:J,Table1[[#This Row],[Season]],F:F)</f>
        <v>58679</v>
      </c>
    </row>
    <row r="3750" spans="1:20" x14ac:dyDescent="0.3">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c r="S3750" t="e">
        <f>INDEX(Q:Q,MATCH(Table1[[#This Row],[Item Purchased]],D:D))</f>
        <v>#N/A</v>
      </c>
      <c r="T3750">
        <f>SUMIF(J:J,Table1[[#This Row],[Season]],F:F)</f>
        <v>60018</v>
      </c>
    </row>
    <row r="3751" spans="1:20" x14ac:dyDescent="0.3">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c r="S3751" t="str">
        <f>INDEX(Q:Q,MATCH(Table1[[#This Row],[Item Purchased]],D:D))</f>
        <v>Venmo</v>
      </c>
      <c r="T3751">
        <f>SUMIF(J:J,Table1[[#This Row],[Season]],F:F)</f>
        <v>58607</v>
      </c>
    </row>
    <row r="3752" spans="1:20" x14ac:dyDescent="0.3">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c r="S3752" t="str">
        <f>INDEX(Q:Q,MATCH(Table1[[#This Row],[Item Purchased]],D:D))</f>
        <v>Venmo</v>
      </c>
      <c r="T3752">
        <f>SUMIF(J:J,Table1[[#This Row],[Season]],F:F)</f>
        <v>60018</v>
      </c>
    </row>
    <row r="3753" spans="1:20" x14ac:dyDescent="0.3">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c r="S3753" t="str">
        <f>INDEX(Q:Q,MATCH(Table1[[#This Row],[Item Purchased]],D:D))</f>
        <v>Cash</v>
      </c>
      <c r="T3753">
        <f>SUMIF(J:J,Table1[[#This Row],[Season]],F:F)</f>
        <v>60018</v>
      </c>
    </row>
    <row r="3754" spans="1:20" x14ac:dyDescent="0.3">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c r="S3754" t="str">
        <f>INDEX(Q:Q,MATCH(Table1[[#This Row],[Item Purchased]],D:D))</f>
        <v>Debit Card</v>
      </c>
      <c r="T3754">
        <f>SUMIF(J:J,Table1[[#This Row],[Season]],F:F)</f>
        <v>58607</v>
      </c>
    </row>
    <row r="3755" spans="1:20" x14ac:dyDescent="0.3">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c r="S3755" t="str">
        <f>INDEX(Q:Q,MATCH(Table1[[#This Row],[Item Purchased]],D:D))</f>
        <v>Venmo</v>
      </c>
      <c r="T3755">
        <f>SUMIF(J:J,Table1[[#This Row],[Season]],F:F)</f>
        <v>58607</v>
      </c>
    </row>
    <row r="3756" spans="1:20" x14ac:dyDescent="0.3">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c r="S3756" t="str">
        <f>INDEX(Q:Q,MATCH(Table1[[#This Row],[Item Purchased]],D:D))</f>
        <v>PayPal</v>
      </c>
      <c r="T3756">
        <f>SUMIF(J:J,Table1[[#This Row],[Season]],F:F)</f>
        <v>55777</v>
      </c>
    </row>
    <row r="3757" spans="1:20" x14ac:dyDescent="0.3">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c r="S3757" t="str">
        <f>INDEX(Q:Q,MATCH(Table1[[#This Row],[Item Purchased]],D:D))</f>
        <v>Credit Card</v>
      </c>
      <c r="T3757">
        <f>SUMIF(J:J,Table1[[#This Row],[Season]],F:F)</f>
        <v>60018</v>
      </c>
    </row>
    <row r="3758" spans="1:20" x14ac:dyDescent="0.3">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c r="S3758" t="str">
        <f>INDEX(Q:Q,MATCH(Table1[[#This Row],[Item Purchased]],D:D))</f>
        <v>Credit Card</v>
      </c>
      <c r="T3758">
        <f>SUMIF(J:J,Table1[[#This Row],[Season]],F:F)</f>
        <v>58679</v>
      </c>
    </row>
    <row r="3759" spans="1:20" x14ac:dyDescent="0.3">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c r="S3759" t="str">
        <f>INDEX(Q:Q,MATCH(Table1[[#This Row],[Item Purchased]],D:D))</f>
        <v>Credit Card</v>
      </c>
      <c r="T3759">
        <f>SUMIF(J:J,Table1[[#This Row],[Season]],F:F)</f>
        <v>60018</v>
      </c>
    </row>
    <row r="3760" spans="1:20" x14ac:dyDescent="0.3">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c r="S3760" t="str">
        <f>INDEX(Q:Q,MATCH(Table1[[#This Row],[Item Purchased]],D:D))</f>
        <v>Bank Transfer</v>
      </c>
      <c r="T3760">
        <f>SUMIF(J:J,Table1[[#This Row],[Season]],F:F)</f>
        <v>58679</v>
      </c>
    </row>
    <row r="3761" spans="1:20" x14ac:dyDescent="0.3">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c r="S3761" t="str">
        <f>INDEX(Q:Q,MATCH(Table1[[#This Row],[Item Purchased]],D:D))</f>
        <v>Venmo</v>
      </c>
      <c r="T3761">
        <f>SUMIF(J:J,Table1[[#This Row],[Season]],F:F)</f>
        <v>58679</v>
      </c>
    </row>
    <row r="3762" spans="1:20" x14ac:dyDescent="0.3">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c r="S3762" t="str">
        <f>INDEX(Q:Q,MATCH(Table1[[#This Row],[Item Purchased]],D:D))</f>
        <v>Venmo</v>
      </c>
      <c r="T3762">
        <f>SUMIF(J:J,Table1[[#This Row],[Season]],F:F)</f>
        <v>60018</v>
      </c>
    </row>
    <row r="3763" spans="1:20" x14ac:dyDescent="0.3">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c r="S3763" t="e">
        <f>INDEX(Q:Q,MATCH(Table1[[#This Row],[Item Purchased]],D:D))</f>
        <v>#N/A</v>
      </c>
      <c r="T3763">
        <f>SUMIF(J:J,Table1[[#This Row],[Season]],F:F)</f>
        <v>55777</v>
      </c>
    </row>
    <row r="3764" spans="1:20" x14ac:dyDescent="0.3">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c r="S3764" t="str">
        <f>INDEX(Q:Q,MATCH(Table1[[#This Row],[Item Purchased]],D:D))</f>
        <v>PayPal</v>
      </c>
      <c r="T3764">
        <f>SUMIF(J:J,Table1[[#This Row],[Season]],F:F)</f>
        <v>60018</v>
      </c>
    </row>
    <row r="3765" spans="1:20" x14ac:dyDescent="0.3">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c r="S3765" t="str">
        <f>INDEX(Q:Q,MATCH(Table1[[#This Row],[Item Purchased]],D:D))</f>
        <v>Bank Transfer</v>
      </c>
      <c r="T3765">
        <f>SUMIF(J:J,Table1[[#This Row],[Season]],F:F)</f>
        <v>58607</v>
      </c>
    </row>
    <row r="3766" spans="1:20" x14ac:dyDescent="0.3">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c r="S3766" t="str">
        <f>INDEX(Q:Q,MATCH(Table1[[#This Row],[Item Purchased]],D:D))</f>
        <v>Venmo</v>
      </c>
      <c r="T3766">
        <f>SUMIF(J:J,Table1[[#This Row],[Season]],F:F)</f>
        <v>60018</v>
      </c>
    </row>
    <row r="3767" spans="1:20" x14ac:dyDescent="0.3">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c r="S3767" t="str">
        <f>INDEX(Q:Q,MATCH(Table1[[#This Row],[Item Purchased]],D:D))</f>
        <v>Cash</v>
      </c>
      <c r="T3767">
        <f>SUMIF(J:J,Table1[[#This Row],[Season]],F:F)</f>
        <v>55777</v>
      </c>
    </row>
    <row r="3768" spans="1:20" x14ac:dyDescent="0.3">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c r="S3768" t="str">
        <f>INDEX(Q:Q,MATCH(Table1[[#This Row],[Item Purchased]],D:D))</f>
        <v>Cash</v>
      </c>
      <c r="T3768">
        <f>SUMIF(J:J,Table1[[#This Row],[Season]],F:F)</f>
        <v>60018</v>
      </c>
    </row>
    <row r="3769" spans="1:20" x14ac:dyDescent="0.3">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c r="S3769" t="str">
        <f>INDEX(Q:Q,MATCH(Table1[[#This Row],[Item Purchased]],D:D))</f>
        <v>PayPal</v>
      </c>
      <c r="T3769">
        <f>SUMIF(J:J,Table1[[#This Row],[Season]],F:F)</f>
        <v>55777</v>
      </c>
    </row>
    <row r="3770" spans="1:20" x14ac:dyDescent="0.3">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c r="S3770" t="str">
        <f>INDEX(Q:Q,MATCH(Table1[[#This Row],[Item Purchased]],D:D))</f>
        <v>Venmo</v>
      </c>
      <c r="T3770">
        <f>SUMIF(J:J,Table1[[#This Row],[Season]],F:F)</f>
        <v>58607</v>
      </c>
    </row>
    <row r="3771" spans="1:20" x14ac:dyDescent="0.3">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c r="S3771" t="str">
        <f>INDEX(Q:Q,MATCH(Table1[[#This Row],[Item Purchased]],D:D))</f>
        <v>Debit Card</v>
      </c>
      <c r="T3771">
        <f>SUMIF(J:J,Table1[[#This Row],[Season]],F:F)</f>
        <v>55777</v>
      </c>
    </row>
    <row r="3772" spans="1:20" x14ac:dyDescent="0.3">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c r="S3772" t="str">
        <f>INDEX(Q:Q,MATCH(Table1[[#This Row],[Item Purchased]],D:D))</f>
        <v>Cash</v>
      </c>
      <c r="T3772">
        <f>SUMIF(J:J,Table1[[#This Row],[Season]],F:F)</f>
        <v>55777</v>
      </c>
    </row>
    <row r="3773" spans="1:20" x14ac:dyDescent="0.3">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c r="S3773" t="str">
        <f>INDEX(Q:Q,MATCH(Table1[[#This Row],[Item Purchased]],D:D))</f>
        <v>Venmo</v>
      </c>
      <c r="T3773">
        <f>SUMIF(J:J,Table1[[#This Row],[Season]],F:F)</f>
        <v>58607</v>
      </c>
    </row>
    <row r="3774" spans="1:20" x14ac:dyDescent="0.3">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c r="S3774" t="str">
        <f>INDEX(Q:Q,MATCH(Table1[[#This Row],[Item Purchased]],D:D))</f>
        <v>Cash</v>
      </c>
      <c r="T3774">
        <f>SUMIF(J:J,Table1[[#This Row],[Season]],F:F)</f>
        <v>60018</v>
      </c>
    </row>
    <row r="3775" spans="1:20" x14ac:dyDescent="0.3">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c r="S3775" t="str">
        <f>INDEX(Q:Q,MATCH(Table1[[#This Row],[Item Purchased]],D:D))</f>
        <v>Venmo</v>
      </c>
      <c r="T3775">
        <f>SUMIF(J:J,Table1[[#This Row],[Season]],F:F)</f>
        <v>55777</v>
      </c>
    </row>
    <row r="3776" spans="1:20" x14ac:dyDescent="0.3">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c r="S3776" t="str">
        <f>INDEX(Q:Q,MATCH(Table1[[#This Row],[Item Purchased]],D:D))</f>
        <v>Debit Card</v>
      </c>
      <c r="T3776">
        <f>SUMIF(J:J,Table1[[#This Row],[Season]],F:F)</f>
        <v>58607</v>
      </c>
    </row>
    <row r="3777" spans="1:20" x14ac:dyDescent="0.3">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c r="S3777" t="e">
        <f>INDEX(Q:Q,MATCH(Table1[[#This Row],[Item Purchased]],D:D))</f>
        <v>#N/A</v>
      </c>
      <c r="T3777">
        <f>SUMIF(J:J,Table1[[#This Row],[Season]],F:F)</f>
        <v>58679</v>
      </c>
    </row>
    <row r="3778" spans="1:20" x14ac:dyDescent="0.3">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c r="S3778" t="str">
        <f>INDEX(Q:Q,MATCH(Table1[[#This Row],[Item Purchased]],D:D))</f>
        <v>Venmo</v>
      </c>
      <c r="T3778">
        <f>SUMIF(J:J,Table1[[#This Row],[Season]],F:F)</f>
        <v>58679</v>
      </c>
    </row>
    <row r="3779" spans="1:20" x14ac:dyDescent="0.3">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c r="S3779" t="str">
        <f>INDEX(Q:Q,MATCH(Table1[[#This Row],[Item Purchased]],D:D))</f>
        <v>PayPal</v>
      </c>
      <c r="T3779">
        <f>SUMIF(J:J,Table1[[#This Row],[Season]],F:F)</f>
        <v>60018</v>
      </c>
    </row>
    <row r="3780" spans="1:20" x14ac:dyDescent="0.3">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c r="S3780" t="str">
        <f>INDEX(Q:Q,MATCH(Table1[[#This Row],[Item Purchased]],D:D))</f>
        <v>Venmo</v>
      </c>
      <c r="T3780">
        <f>SUMIF(J:J,Table1[[#This Row],[Season]],F:F)</f>
        <v>60018</v>
      </c>
    </row>
    <row r="3781" spans="1:20" x14ac:dyDescent="0.3">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c r="S3781" t="str">
        <f>INDEX(Q:Q,MATCH(Table1[[#This Row],[Item Purchased]],D:D))</f>
        <v>Cash</v>
      </c>
      <c r="T3781">
        <f>SUMIF(J:J,Table1[[#This Row],[Season]],F:F)</f>
        <v>58679</v>
      </c>
    </row>
    <row r="3782" spans="1:20" x14ac:dyDescent="0.3">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c r="S3782" t="str">
        <f>INDEX(Q:Q,MATCH(Table1[[#This Row],[Item Purchased]],D:D))</f>
        <v>Venmo</v>
      </c>
      <c r="T3782">
        <f>SUMIF(J:J,Table1[[#This Row],[Season]],F:F)</f>
        <v>60018</v>
      </c>
    </row>
    <row r="3783" spans="1:20" x14ac:dyDescent="0.3">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c r="S3783" t="str">
        <f>INDEX(Q:Q,MATCH(Table1[[#This Row],[Item Purchased]],D:D))</f>
        <v>Venmo</v>
      </c>
      <c r="T3783">
        <f>SUMIF(J:J,Table1[[#This Row],[Season]],F:F)</f>
        <v>58607</v>
      </c>
    </row>
    <row r="3784" spans="1:20" x14ac:dyDescent="0.3">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c r="S3784" t="str">
        <f>INDEX(Q:Q,MATCH(Table1[[#This Row],[Item Purchased]],D:D))</f>
        <v>Debit Card</v>
      </c>
      <c r="T3784">
        <f>SUMIF(J:J,Table1[[#This Row],[Season]],F:F)</f>
        <v>58679</v>
      </c>
    </row>
    <row r="3785" spans="1:20" x14ac:dyDescent="0.3">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c r="S3785" t="str">
        <f>INDEX(Q:Q,MATCH(Table1[[#This Row],[Item Purchased]],D:D))</f>
        <v>Debit Card</v>
      </c>
      <c r="T3785">
        <f>SUMIF(J:J,Table1[[#This Row],[Season]],F:F)</f>
        <v>55777</v>
      </c>
    </row>
    <row r="3786" spans="1:20" x14ac:dyDescent="0.3">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c r="S3786" t="str">
        <f>INDEX(Q:Q,MATCH(Table1[[#This Row],[Item Purchased]],D:D))</f>
        <v>Venmo</v>
      </c>
      <c r="T3786">
        <f>SUMIF(J:J,Table1[[#This Row],[Season]],F:F)</f>
        <v>58607</v>
      </c>
    </row>
    <row r="3787" spans="1:20" x14ac:dyDescent="0.3">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c r="S3787" t="str">
        <f>INDEX(Q:Q,MATCH(Table1[[#This Row],[Item Purchased]],D:D))</f>
        <v>Cash</v>
      </c>
      <c r="T3787">
        <f>SUMIF(J:J,Table1[[#This Row],[Season]],F:F)</f>
        <v>58607</v>
      </c>
    </row>
    <row r="3788" spans="1:20" x14ac:dyDescent="0.3">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c r="S3788" t="str">
        <f>INDEX(Q:Q,MATCH(Table1[[#This Row],[Item Purchased]],D:D))</f>
        <v>Venmo</v>
      </c>
      <c r="T3788">
        <f>SUMIF(J:J,Table1[[#This Row],[Season]],F:F)</f>
        <v>60018</v>
      </c>
    </row>
    <row r="3789" spans="1:20" x14ac:dyDescent="0.3">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c r="S3789" t="str">
        <f>INDEX(Q:Q,MATCH(Table1[[#This Row],[Item Purchased]],D:D))</f>
        <v>Venmo</v>
      </c>
      <c r="T3789">
        <f>SUMIF(J:J,Table1[[#This Row],[Season]],F:F)</f>
        <v>60018</v>
      </c>
    </row>
    <row r="3790" spans="1:20" x14ac:dyDescent="0.3">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c r="S3790" t="str">
        <f>INDEX(Q:Q,MATCH(Table1[[#This Row],[Item Purchased]],D:D))</f>
        <v>Venmo</v>
      </c>
      <c r="T3790">
        <f>SUMIF(J:J,Table1[[#This Row],[Season]],F:F)</f>
        <v>58679</v>
      </c>
    </row>
    <row r="3791" spans="1:20" x14ac:dyDescent="0.3">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c r="S3791" t="str">
        <f>INDEX(Q:Q,MATCH(Table1[[#This Row],[Item Purchased]],D:D))</f>
        <v>Bank Transfer</v>
      </c>
      <c r="T3791">
        <f>SUMIF(J:J,Table1[[#This Row],[Season]],F:F)</f>
        <v>55777</v>
      </c>
    </row>
    <row r="3792" spans="1:20" x14ac:dyDescent="0.3">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c r="S3792" t="str">
        <f>INDEX(Q:Q,MATCH(Table1[[#This Row],[Item Purchased]],D:D))</f>
        <v>Cash</v>
      </c>
      <c r="T3792">
        <f>SUMIF(J:J,Table1[[#This Row],[Season]],F:F)</f>
        <v>55777</v>
      </c>
    </row>
    <row r="3793" spans="1:20" x14ac:dyDescent="0.3">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c r="S3793" t="str">
        <f>INDEX(Q:Q,MATCH(Table1[[#This Row],[Item Purchased]],D:D))</f>
        <v>Venmo</v>
      </c>
      <c r="T3793">
        <f>SUMIF(J:J,Table1[[#This Row],[Season]],F:F)</f>
        <v>58679</v>
      </c>
    </row>
    <row r="3794" spans="1:20" x14ac:dyDescent="0.3">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c r="S3794" t="str">
        <f>INDEX(Q:Q,MATCH(Table1[[#This Row],[Item Purchased]],D:D))</f>
        <v>Bank Transfer</v>
      </c>
      <c r="T3794">
        <f>SUMIF(J:J,Table1[[#This Row],[Season]],F:F)</f>
        <v>55777</v>
      </c>
    </row>
    <row r="3795" spans="1:20" x14ac:dyDescent="0.3">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c r="S3795" t="str">
        <f>INDEX(Q:Q,MATCH(Table1[[#This Row],[Item Purchased]],D:D))</f>
        <v>Venmo</v>
      </c>
      <c r="T3795">
        <f>SUMIF(J:J,Table1[[#This Row],[Season]],F:F)</f>
        <v>60018</v>
      </c>
    </row>
    <row r="3796" spans="1:20" x14ac:dyDescent="0.3">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c r="S3796" t="str">
        <f>INDEX(Q:Q,MATCH(Table1[[#This Row],[Item Purchased]],D:D))</f>
        <v>Bank Transfer</v>
      </c>
      <c r="T3796">
        <f>SUMIF(J:J,Table1[[#This Row],[Season]],F:F)</f>
        <v>55777</v>
      </c>
    </row>
    <row r="3797" spans="1:20" x14ac:dyDescent="0.3">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c r="S3797" t="str">
        <f>INDEX(Q:Q,MATCH(Table1[[#This Row],[Item Purchased]],D:D))</f>
        <v>Debit Card</v>
      </c>
      <c r="T3797">
        <f>SUMIF(J:J,Table1[[#This Row],[Season]],F:F)</f>
        <v>58679</v>
      </c>
    </row>
    <row r="3798" spans="1:20" x14ac:dyDescent="0.3">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c r="S3798" t="str">
        <f>INDEX(Q:Q,MATCH(Table1[[#This Row],[Item Purchased]],D:D))</f>
        <v>PayPal</v>
      </c>
      <c r="T3798">
        <f>SUMIF(J:J,Table1[[#This Row],[Season]],F:F)</f>
        <v>60018</v>
      </c>
    </row>
    <row r="3799" spans="1:20" x14ac:dyDescent="0.3">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c r="S3799" t="str">
        <f>INDEX(Q:Q,MATCH(Table1[[#This Row],[Item Purchased]],D:D))</f>
        <v>Venmo</v>
      </c>
      <c r="T3799">
        <f>SUMIF(J:J,Table1[[#This Row],[Season]],F:F)</f>
        <v>55777</v>
      </c>
    </row>
    <row r="3800" spans="1:20" x14ac:dyDescent="0.3">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c r="S3800" t="str">
        <f>INDEX(Q:Q,MATCH(Table1[[#This Row],[Item Purchased]],D:D))</f>
        <v>Cash</v>
      </c>
      <c r="T3800">
        <f>SUMIF(J:J,Table1[[#This Row],[Season]],F:F)</f>
        <v>58607</v>
      </c>
    </row>
    <row r="3801" spans="1:20" x14ac:dyDescent="0.3">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c r="S3801" t="str">
        <f>INDEX(Q:Q,MATCH(Table1[[#This Row],[Item Purchased]],D:D))</f>
        <v>Debit Card</v>
      </c>
      <c r="T3801">
        <f>SUMIF(J:J,Table1[[#This Row],[Season]],F:F)</f>
        <v>58607</v>
      </c>
    </row>
    <row r="3802" spans="1:20" x14ac:dyDescent="0.3">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c r="S3802" t="str">
        <f>INDEX(Q:Q,MATCH(Table1[[#This Row],[Item Purchased]],D:D))</f>
        <v>Venmo</v>
      </c>
      <c r="T3802">
        <f>SUMIF(J:J,Table1[[#This Row],[Season]],F:F)</f>
        <v>60018</v>
      </c>
    </row>
    <row r="3803" spans="1:20" x14ac:dyDescent="0.3">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c r="S3803" t="str">
        <f>INDEX(Q:Q,MATCH(Table1[[#This Row],[Item Purchased]],D:D))</f>
        <v>Venmo</v>
      </c>
      <c r="T3803">
        <f>SUMIF(J:J,Table1[[#This Row],[Season]],F:F)</f>
        <v>58679</v>
      </c>
    </row>
    <row r="3804" spans="1:20" x14ac:dyDescent="0.3">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c r="S3804" t="str">
        <f>INDEX(Q:Q,MATCH(Table1[[#This Row],[Item Purchased]],D:D))</f>
        <v>Bank Transfer</v>
      </c>
      <c r="T3804">
        <f>SUMIF(J:J,Table1[[#This Row],[Season]],F:F)</f>
        <v>58679</v>
      </c>
    </row>
    <row r="3805" spans="1:20" x14ac:dyDescent="0.3">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c r="S3805" t="str">
        <f>INDEX(Q:Q,MATCH(Table1[[#This Row],[Item Purchased]],D:D))</f>
        <v>Cash</v>
      </c>
      <c r="T3805">
        <f>SUMIF(J:J,Table1[[#This Row],[Season]],F:F)</f>
        <v>58679</v>
      </c>
    </row>
    <row r="3806" spans="1:20" x14ac:dyDescent="0.3">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c r="S3806" t="str">
        <f>INDEX(Q:Q,MATCH(Table1[[#This Row],[Item Purchased]],D:D))</f>
        <v>Venmo</v>
      </c>
      <c r="T3806">
        <f>SUMIF(J:J,Table1[[#This Row],[Season]],F:F)</f>
        <v>60018</v>
      </c>
    </row>
    <row r="3807" spans="1:20" x14ac:dyDescent="0.3">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c r="S3807" t="str">
        <f>INDEX(Q:Q,MATCH(Table1[[#This Row],[Item Purchased]],D:D))</f>
        <v>Bank Transfer</v>
      </c>
      <c r="T3807">
        <f>SUMIF(J:J,Table1[[#This Row],[Season]],F:F)</f>
        <v>60018</v>
      </c>
    </row>
    <row r="3808" spans="1:20" x14ac:dyDescent="0.3">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c r="S3808" t="str">
        <f>INDEX(Q:Q,MATCH(Table1[[#This Row],[Item Purchased]],D:D))</f>
        <v>Venmo</v>
      </c>
      <c r="T3808">
        <f>SUMIF(J:J,Table1[[#This Row],[Season]],F:F)</f>
        <v>58679</v>
      </c>
    </row>
    <row r="3809" spans="1:20" x14ac:dyDescent="0.3">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c r="S3809" t="str">
        <f>INDEX(Q:Q,MATCH(Table1[[#This Row],[Item Purchased]],D:D))</f>
        <v>Venmo</v>
      </c>
      <c r="T3809">
        <f>SUMIF(J:J,Table1[[#This Row],[Season]],F:F)</f>
        <v>58679</v>
      </c>
    </row>
    <row r="3810" spans="1:20" x14ac:dyDescent="0.3">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c r="S3810" t="str">
        <f>INDEX(Q:Q,MATCH(Table1[[#This Row],[Item Purchased]],D:D))</f>
        <v>Venmo</v>
      </c>
      <c r="T3810">
        <f>SUMIF(J:J,Table1[[#This Row],[Season]],F:F)</f>
        <v>58607</v>
      </c>
    </row>
    <row r="3811" spans="1:20" x14ac:dyDescent="0.3">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c r="S3811" t="str">
        <f>INDEX(Q:Q,MATCH(Table1[[#This Row],[Item Purchased]],D:D))</f>
        <v>PayPal</v>
      </c>
      <c r="T3811">
        <f>SUMIF(J:J,Table1[[#This Row],[Season]],F:F)</f>
        <v>58607</v>
      </c>
    </row>
    <row r="3812" spans="1:20" x14ac:dyDescent="0.3">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c r="S3812" t="str">
        <f>INDEX(Q:Q,MATCH(Table1[[#This Row],[Item Purchased]],D:D))</f>
        <v>Credit Card</v>
      </c>
      <c r="T3812">
        <f>SUMIF(J:J,Table1[[#This Row],[Season]],F:F)</f>
        <v>60018</v>
      </c>
    </row>
    <row r="3813" spans="1:20" x14ac:dyDescent="0.3">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c r="S3813" t="e">
        <f>INDEX(Q:Q,MATCH(Table1[[#This Row],[Item Purchased]],D:D))</f>
        <v>#N/A</v>
      </c>
      <c r="T3813">
        <f>SUMIF(J:J,Table1[[#This Row],[Season]],F:F)</f>
        <v>58607</v>
      </c>
    </row>
    <row r="3814" spans="1:20" x14ac:dyDescent="0.3">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c r="S3814" t="str">
        <f>INDEX(Q:Q,MATCH(Table1[[#This Row],[Item Purchased]],D:D))</f>
        <v>Credit Card</v>
      </c>
      <c r="T3814">
        <f>SUMIF(J:J,Table1[[#This Row],[Season]],F:F)</f>
        <v>58679</v>
      </c>
    </row>
    <row r="3815" spans="1:20" x14ac:dyDescent="0.3">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c r="S3815" t="str">
        <f>INDEX(Q:Q,MATCH(Table1[[#This Row],[Item Purchased]],D:D))</f>
        <v>Cash</v>
      </c>
      <c r="T3815">
        <f>SUMIF(J:J,Table1[[#This Row],[Season]],F:F)</f>
        <v>55777</v>
      </c>
    </row>
    <row r="3816" spans="1:20" x14ac:dyDescent="0.3">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c r="S3816" t="str">
        <f>INDEX(Q:Q,MATCH(Table1[[#This Row],[Item Purchased]],D:D))</f>
        <v>Debit Card</v>
      </c>
      <c r="T3816">
        <f>SUMIF(J:J,Table1[[#This Row],[Season]],F:F)</f>
        <v>58607</v>
      </c>
    </row>
    <row r="3817" spans="1:20" x14ac:dyDescent="0.3">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c r="S3817" t="str">
        <f>INDEX(Q:Q,MATCH(Table1[[#This Row],[Item Purchased]],D:D))</f>
        <v>Venmo</v>
      </c>
      <c r="T3817">
        <f>SUMIF(J:J,Table1[[#This Row],[Season]],F:F)</f>
        <v>60018</v>
      </c>
    </row>
    <row r="3818" spans="1:20" x14ac:dyDescent="0.3">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c r="S3818" t="str">
        <f>INDEX(Q:Q,MATCH(Table1[[#This Row],[Item Purchased]],D:D))</f>
        <v>Debit Card</v>
      </c>
      <c r="T3818">
        <f>SUMIF(J:J,Table1[[#This Row],[Season]],F:F)</f>
        <v>55777</v>
      </c>
    </row>
    <row r="3819" spans="1:20" x14ac:dyDescent="0.3">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c r="S3819" t="str">
        <f>INDEX(Q:Q,MATCH(Table1[[#This Row],[Item Purchased]],D:D))</f>
        <v>Bank Transfer</v>
      </c>
      <c r="T3819">
        <f>SUMIF(J:J,Table1[[#This Row],[Season]],F:F)</f>
        <v>60018</v>
      </c>
    </row>
    <row r="3820" spans="1:20" x14ac:dyDescent="0.3">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c r="S3820" t="str">
        <f>INDEX(Q:Q,MATCH(Table1[[#This Row],[Item Purchased]],D:D))</f>
        <v>Venmo</v>
      </c>
      <c r="T3820">
        <f>SUMIF(J:J,Table1[[#This Row],[Season]],F:F)</f>
        <v>58607</v>
      </c>
    </row>
    <row r="3821" spans="1:20" x14ac:dyDescent="0.3">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c r="S3821" t="str">
        <f>INDEX(Q:Q,MATCH(Table1[[#This Row],[Item Purchased]],D:D))</f>
        <v>Cash</v>
      </c>
      <c r="T3821">
        <f>SUMIF(J:J,Table1[[#This Row],[Season]],F:F)</f>
        <v>58679</v>
      </c>
    </row>
    <row r="3822" spans="1:20" x14ac:dyDescent="0.3">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c r="S3822" t="e">
        <f>INDEX(Q:Q,MATCH(Table1[[#This Row],[Item Purchased]],D:D))</f>
        <v>#N/A</v>
      </c>
      <c r="T3822">
        <f>SUMIF(J:J,Table1[[#This Row],[Season]],F:F)</f>
        <v>58607</v>
      </c>
    </row>
    <row r="3823" spans="1:20" x14ac:dyDescent="0.3">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c r="S3823" t="str">
        <f>INDEX(Q:Q,MATCH(Table1[[#This Row],[Item Purchased]],D:D))</f>
        <v>Venmo</v>
      </c>
      <c r="T3823">
        <f>SUMIF(J:J,Table1[[#This Row],[Season]],F:F)</f>
        <v>55777</v>
      </c>
    </row>
    <row r="3824" spans="1:20" x14ac:dyDescent="0.3">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c r="S3824" t="str">
        <f>INDEX(Q:Q,MATCH(Table1[[#This Row],[Item Purchased]],D:D))</f>
        <v>Venmo</v>
      </c>
      <c r="T3824">
        <f>SUMIF(J:J,Table1[[#This Row],[Season]],F:F)</f>
        <v>58679</v>
      </c>
    </row>
    <row r="3825" spans="1:20" x14ac:dyDescent="0.3">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c r="S3825" t="str">
        <f>INDEX(Q:Q,MATCH(Table1[[#This Row],[Item Purchased]],D:D))</f>
        <v>Bank Transfer</v>
      </c>
      <c r="T3825">
        <f>SUMIF(J:J,Table1[[#This Row],[Season]],F:F)</f>
        <v>55777</v>
      </c>
    </row>
    <row r="3826" spans="1:20" x14ac:dyDescent="0.3">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c r="S3826" t="str">
        <f>INDEX(Q:Q,MATCH(Table1[[#This Row],[Item Purchased]],D:D))</f>
        <v>PayPal</v>
      </c>
      <c r="T3826">
        <f>SUMIF(J:J,Table1[[#This Row],[Season]],F:F)</f>
        <v>55777</v>
      </c>
    </row>
    <row r="3827" spans="1:20" x14ac:dyDescent="0.3">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c r="S3827" t="str">
        <f>INDEX(Q:Q,MATCH(Table1[[#This Row],[Item Purchased]],D:D))</f>
        <v>PayPal</v>
      </c>
      <c r="T3827">
        <f>SUMIF(J:J,Table1[[#This Row],[Season]],F:F)</f>
        <v>60018</v>
      </c>
    </row>
    <row r="3828" spans="1:20" x14ac:dyDescent="0.3">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c r="S3828" t="str">
        <f>INDEX(Q:Q,MATCH(Table1[[#This Row],[Item Purchased]],D:D))</f>
        <v>Debit Card</v>
      </c>
      <c r="T3828">
        <f>SUMIF(J:J,Table1[[#This Row],[Season]],F:F)</f>
        <v>55777</v>
      </c>
    </row>
    <row r="3829" spans="1:20" x14ac:dyDescent="0.3">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c r="S3829" t="str">
        <f>INDEX(Q:Q,MATCH(Table1[[#This Row],[Item Purchased]],D:D))</f>
        <v>Cash</v>
      </c>
      <c r="T3829">
        <f>SUMIF(J:J,Table1[[#This Row],[Season]],F:F)</f>
        <v>55777</v>
      </c>
    </row>
    <row r="3830" spans="1:20" x14ac:dyDescent="0.3">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c r="S3830" t="str">
        <f>INDEX(Q:Q,MATCH(Table1[[#This Row],[Item Purchased]],D:D))</f>
        <v>Venmo</v>
      </c>
      <c r="T3830">
        <f>SUMIF(J:J,Table1[[#This Row],[Season]],F:F)</f>
        <v>58679</v>
      </c>
    </row>
    <row r="3831" spans="1:20" x14ac:dyDescent="0.3">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c r="S3831" t="str">
        <f>INDEX(Q:Q,MATCH(Table1[[#This Row],[Item Purchased]],D:D))</f>
        <v>Cash</v>
      </c>
      <c r="T3831">
        <f>SUMIF(J:J,Table1[[#This Row],[Season]],F:F)</f>
        <v>58679</v>
      </c>
    </row>
    <row r="3832" spans="1:20" x14ac:dyDescent="0.3">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c r="S3832" t="str">
        <f>INDEX(Q:Q,MATCH(Table1[[#This Row],[Item Purchased]],D:D))</f>
        <v>Venmo</v>
      </c>
      <c r="T3832">
        <f>SUMIF(J:J,Table1[[#This Row],[Season]],F:F)</f>
        <v>55777</v>
      </c>
    </row>
    <row r="3833" spans="1:20" x14ac:dyDescent="0.3">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c r="S3833" t="e">
        <f>INDEX(Q:Q,MATCH(Table1[[#This Row],[Item Purchased]],D:D))</f>
        <v>#N/A</v>
      </c>
      <c r="T3833">
        <f>SUMIF(J:J,Table1[[#This Row],[Season]],F:F)</f>
        <v>58679</v>
      </c>
    </row>
    <row r="3834" spans="1:20" x14ac:dyDescent="0.3">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c r="S3834" t="str">
        <f>INDEX(Q:Q,MATCH(Table1[[#This Row],[Item Purchased]],D:D))</f>
        <v>Venmo</v>
      </c>
      <c r="T3834">
        <f>SUMIF(J:J,Table1[[#This Row],[Season]],F:F)</f>
        <v>58607</v>
      </c>
    </row>
    <row r="3835" spans="1:20" x14ac:dyDescent="0.3">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c r="S3835" t="str">
        <f>INDEX(Q:Q,MATCH(Table1[[#This Row],[Item Purchased]],D:D))</f>
        <v>Debit Card</v>
      </c>
      <c r="T3835">
        <f>SUMIF(J:J,Table1[[#This Row],[Season]],F:F)</f>
        <v>55777</v>
      </c>
    </row>
    <row r="3836" spans="1:20" x14ac:dyDescent="0.3">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c r="S3836" t="str">
        <f>INDEX(Q:Q,MATCH(Table1[[#This Row],[Item Purchased]],D:D))</f>
        <v>Venmo</v>
      </c>
      <c r="T3836">
        <f>SUMIF(J:J,Table1[[#This Row],[Season]],F:F)</f>
        <v>58607</v>
      </c>
    </row>
    <row r="3837" spans="1:20" x14ac:dyDescent="0.3">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c r="S3837" t="str">
        <f>INDEX(Q:Q,MATCH(Table1[[#This Row],[Item Purchased]],D:D))</f>
        <v>Bank Transfer</v>
      </c>
      <c r="T3837">
        <f>SUMIF(J:J,Table1[[#This Row],[Season]],F:F)</f>
        <v>58607</v>
      </c>
    </row>
    <row r="3838" spans="1:20" x14ac:dyDescent="0.3">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c r="S3838" t="str">
        <f>INDEX(Q:Q,MATCH(Table1[[#This Row],[Item Purchased]],D:D))</f>
        <v>Credit Card</v>
      </c>
      <c r="T3838">
        <f>SUMIF(J:J,Table1[[#This Row],[Season]],F:F)</f>
        <v>58679</v>
      </c>
    </row>
    <row r="3839" spans="1:20" x14ac:dyDescent="0.3">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c r="S3839" t="str">
        <f>INDEX(Q:Q,MATCH(Table1[[#This Row],[Item Purchased]],D:D))</f>
        <v>Venmo</v>
      </c>
      <c r="T3839">
        <f>SUMIF(J:J,Table1[[#This Row],[Season]],F:F)</f>
        <v>58679</v>
      </c>
    </row>
    <row r="3840" spans="1:20" x14ac:dyDescent="0.3">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c r="S3840" t="str">
        <f>INDEX(Q:Q,MATCH(Table1[[#This Row],[Item Purchased]],D:D))</f>
        <v>Debit Card</v>
      </c>
      <c r="T3840">
        <f>SUMIF(J:J,Table1[[#This Row],[Season]],F:F)</f>
        <v>55777</v>
      </c>
    </row>
    <row r="3841" spans="1:20" x14ac:dyDescent="0.3">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c r="S3841" t="str">
        <f>INDEX(Q:Q,MATCH(Table1[[#This Row],[Item Purchased]],D:D))</f>
        <v>Bank Transfer</v>
      </c>
      <c r="T3841">
        <f>SUMIF(J:J,Table1[[#This Row],[Season]],F:F)</f>
        <v>58679</v>
      </c>
    </row>
    <row r="3842" spans="1:20" x14ac:dyDescent="0.3">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c r="S3842" t="str">
        <f>INDEX(Q:Q,MATCH(Table1[[#This Row],[Item Purchased]],D:D))</f>
        <v>Cash</v>
      </c>
      <c r="T3842">
        <f>SUMIF(J:J,Table1[[#This Row],[Season]],F:F)</f>
        <v>58679</v>
      </c>
    </row>
    <row r="3843" spans="1:20" x14ac:dyDescent="0.3">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c r="S3843" t="str">
        <f>INDEX(Q:Q,MATCH(Table1[[#This Row],[Item Purchased]],D:D))</f>
        <v>Cash</v>
      </c>
      <c r="T3843">
        <f>SUMIF(J:J,Table1[[#This Row],[Season]],F:F)</f>
        <v>60018</v>
      </c>
    </row>
    <row r="3844" spans="1:20" x14ac:dyDescent="0.3">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c r="S3844" t="str">
        <f>INDEX(Q:Q,MATCH(Table1[[#This Row],[Item Purchased]],D:D))</f>
        <v>Debit Card</v>
      </c>
      <c r="T3844">
        <f>SUMIF(J:J,Table1[[#This Row],[Season]],F:F)</f>
        <v>58607</v>
      </c>
    </row>
    <row r="3845" spans="1:20" x14ac:dyDescent="0.3">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c r="S3845" t="str">
        <f>INDEX(Q:Q,MATCH(Table1[[#This Row],[Item Purchased]],D:D))</f>
        <v>Venmo</v>
      </c>
      <c r="T3845">
        <f>SUMIF(J:J,Table1[[#This Row],[Season]],F:F)</f>
        <v>58607</v>
      </c>
    </row>
    <row r="3846" spans="1:20" x14ac:dyDescent="0.3">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c r="S3846" t="str">
        <f>INDEX(Q:Q,MATCH(Table1[[#This Row],[Item Purchased]],D:D))</f>
        <v>PayPal</v>
      </c>
      <c r="T3846">
        <f>SUMIF(J:J,Table1[[#This Row],[Season]],F:F)</f>
        <v>60018</v>
      </c>
    </row>
    <row r="3847" spans="1:20" x14ac:dyDescent="0.3">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c r="S3847" t="str">
        <f>INDEX(Q:Q,MATCH(Table1[[#This Row],[Item Purchased]],D:D))</f>
        <v>Venmo</v>
      </c>
      <c r="T3847">
        <f>SUMIF(J:J,Table1[[#This Row],[Season]],F:F)</f>
        <v>58607</v>
      </c>
    </row>
    <row r="3848" spans="1:20" x14ac:dyDescent="0.3">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c r="S3848" t="str">
        <f>INDEX(Q:Q,MATCH(Table1[[#This Row],[Item Purchased]],D:D))</f>
        <v>Venmo</v>
      </c>
      <c r="T3848">
        <f>SUMIF(J:J,Table1[[#This Row],[Season]],F:F)</f>
        <v>55777</v>
      </c>
    </row>
    <row r="3849" spans="1:20" x14ac:dyDescent="0.3">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c r="S3849" t="str">
        <f>INDEX(Q:Q,MATCH(Table1[[#This Row],[Item Purchased]],D:D))</f>
        <v>Venmo</v>
      </c>
      <c r="T3849">
        <f>SUMIF(J:J,Table1[[#This Row],[Season]],F:F)</f>
        <v>60018</v>
      </c>
    </row>
    <row r="3850" spans="1:20" x14ac:dyDescent="0.3">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c r="S3850" t="str">
        <f>INDEX(Q:Q,MATCH(Table1[[#This Row],[Item Purchased]],D:D))</f>
        <v>Cash</v>
      </c>
      <c r="T3850">
        <f>SUMIF(J:J,Table1[[#This Row],[Season]],F:F)</f>
        <v>58607</v>
      </c>
    </row>
    <row r="3851" spans="1:20" x14ac:dyDescent="0.3">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c r="S3851" t="str">
        <f>INDEX(Q:Q,MATCH(Table1[[#This Row],[Item Purchased]],D:D))</f>
        <v>Venmo</v>
      </c>
      <c r="T3851">
        <f>SUMIF(J:J,Table1[[#This Row],[Season]],F:F)</f>
        <v>58607</v>
      </c>
    </row>
    <row r="3852" spans="1:20" x14ac:dyDescent="0.3">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c r="S3852" t="str">
        <f>INDEX(Q:Q,MATCH(Table1[[#This Row],[Item Purchased]],D:D))</f>
        <v>Cash</v>
      </c>
      <c r="T3852">
        <f>SUMIF(J:J,Table1[[#This Row],[Season]],F:F)</f>
        <v>55777</v>
      </c>
    </row>
    <row r="3853" spans="1:20" x14ac:dyDescent="0.3">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c r="S3853" t="str">
        <f>INDEX(Q:Q,MATCH(Table1[[#This Row],[Item Purchased]],D:D))</f>
        <v>Bank Transfer</v>
      </c>
      <c r="T3853">
        <f>SUMIF(J:J,Table1[[#This Row],[Season]],F:F)</f>
        <v>55777</v>
      </c>
    </row>
    <row r="3854" spans="1:20" x14ac:dyDescent="0.3">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c r="S3854" t="str">
        <f>INDEX(Q:Q,MATCH(Table1[[#This Row],[Item Purchased]],D:D))</f>
        <v>Venmo</v>
      </c>
      <c r="T3854">
        <f>SUMIF(J:J,Table1[[#This Row],[Season]],F:F)</f>
        <v>60018</v>
      </c>
    </row>
    <row r="3855" spans="1:20" x14ac:dyDescent="0.3">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c r="S3855" t="str">
        <f>INDEX(Q:Q,MATCH(Table1[[#This Row],[Item Purchased]],D:D))</f>
        <v>Venmo</v>
      </c>
      <c r="T3855">
        <f>SUMIF(J:J,Table1[[#This Row],[Season]],F:F)</f>
        <v>60018</v>
      </c>
    </row>
    <row r="3856" spans="1:20" x14ac:dyDescent="0.3">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c r="S3856" t="str">
        <f>INDEX(Q:Q,MATCH(Table1[[#This Row],[Item Purchased]],D:D))</f>
        <v>Venmo</v>
      </c>
      <c r="T3856">
        <f>SUMIF(J:J,Table1[[#This Row],[Season]],F:F)</f>
        <v>58679</v>
      </c>
    </row>
    <row r="3857" spans="1:20" x14ac:dyDescent="0.3">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c r="S3857" t="str">
        <f>INDEX(Q:Q,MATCH(Table1[[#This Row],[Item Purchased]],D:D))</f>
        <v>Bank Transfer</v>
      </c>
      <c r="T3857">
        <f>SUMIF(J:J,Table1[[#This Row],[Season]],F:F)</f>
        <v>55777</v>
      </c>
    </row>
    <row r="3858" spans="1:20" x14ac:dyDescent="0.3">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c r="S3858" t="str">
        <f>INDEX(Q:Q,MATCH(Table1[[#This Row],[Item Purchased]],D:D))</f>
        <v>Bank Transfer</v>
      </c>
      <c r="T3858">
        <f>SUMIF(J:J,Table1[[#This Row],[Season]],F:F)</f>
        <v>55777</v>
      </c>
    </row>
    <row r="3859" spans="1:20" x14ac:dyDescent="0.3">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c r="S3859" t="str">
        <f>INDEX(Q:Q,MATCH(Table1[[#This Row],[Item Purchased]],D:D))</f>
        <v>Venmo</v>
      </c>
      <c r="T3859">
        <f>SUMIF(J:J,Table1[[#This Row],[Season]],F:F)</f>
        <v>55777</v>
      </c>
    </row>
    <row r="3860" spans="1:20" x14ac:dyDescent="0.3">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c r="S3860" t="str">
        <f>INDEX(Q:Q,MATCH(Table1[[#This Row],[Item Purchased]],D:D))</f>
        <v>Venmo</v>
      </c>
      <c r="T3860">
        <f>SUMIF(J:J,Table1[[#This Row],[Season]],F:F)</f>
        <v>58607</v>
      </c>
    </row>
    <row r="3861" spans="1:20" x14ac:dyDescent="0.3">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c r="S3861" t="str">
        <f>INDEX(Q:Q,MATCH(Table1[[#This Row],[Item Purchased]],D:D))</f>
        <v>PayPal</v>
      </c>
      <c r="T3861">
        <f>SUMIF(J:J,Table1[[#This Row],[Season]],F:F)</f>
        <v>60018</v>
      </c>
    </row>
    <row r="3862" spans="1:20" x14ac:dyDescent="0.3">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c r="S3862" t="str">
        <f>INDEX(Q:Q,MATCH(Table1[[#This Row],[Item Purchased]],D:D))</f>
        <v>Venmo</v>
      </c>
      <c r="T3862">
        <f>SUMIF(J:J,Table1[[#This Row],[Season]],F:F)</f>
        <v>55777</v>
      </c>
    </row>
    <row r="3863" spans="1:20" x14ac:dyDescent="0.3">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c r="S3863" t="str">
        <f>INDEX(Q:Q,MATCH(Table1[[#This Row],[Item Purchased]],D:D))</f>
        <v>Debit Card</v>
      </c>
      <c r="T3863">
        <f>SUMIF(J:J,Table1[[#This Row],[Season]],F:F)</f>
        <v>58679</v>
      </c>
    </row>
    <row r="3864" spans="1:20" x14ac:dyDescent="0.3">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c r="S3864" t="str">
        <f>INDEX(Q:Q,MATCH(Table1[[#This Row],[Item Purchased]],D:D))</f>
        <v>Bank Transfer</v>
      </c>
      <c r="T3864">
        <f>SUMIF(J:J,Table1[[#This Row],[Season]],F:F)</f>
        <v>58607</v>
      </c>
    </row>
    <row r="3865" spans="1:20" x14ac:dyDescent="0.3">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c r="S3865" t="str">
        <f>INDEX(Q:Q,MATCH(Table1[[#This Row],[Item Purchased]],D:D))</f>
        <v>Bank Transfer</v>
      </c>
      <c r="T3865">
        <f>SUMIF(J:J,Table1[[#This Row],[Season]],F:F)</f>
        <v>55777</v>
      </c>
    </row>
    <row r="3866" spans="1:20" x14ac:dyDescent="0.3">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c r="S3866" t="str">
        <f>INDEX(Q:Q,MATCH(Table1[[#This Row],[Item Purchased]],D:D))</f>
        <v>Venmo</v>
      </c>
      <c r="T3866">
        <f>SUMIF(J:J,Table1[[#This Row],[Season]],F:F)</f>
        <v>58607</v>
      </c>
    </row>
    <row r="3867" spans="1:20" x14ac:dyDescent="0.3">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c r="S3867" t="str">
        <f>INDEX(Q:Q,MATCH(Table1[[#This Row],[Item Purchased]],D:D))</f>
        <v>PayPal</v>
      </c>
      <c r="T3867">
        <f>SUMIF(J:J,Table1[[#This Row],[Season]],F:F)</f>
        <v>58679</v>
      </c>
    </row>
    <row r="3868" spans="1:20" x14ac:dyDescent="0.3">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c r="S3868" t="str">
        <f>INDEX(Q:Q,MATCH(Table1[[#This Row],[Item Purchased]],D:D))</f>
        <v>Venmo</v>
      </c>
      <c r="T3868">
        <f>SUMIF(J:J,Table1[[#This Row],[Season]],F:F)</f>
        <v>58607</v>
      </c>
    </row>
    <row r="3869" spans="1:20" x14ac:dyDescent="0.3">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c r="S3869" t="str">
        <f>INDEX(Q:Q,MATCH(Table1[[#This Row],[Item Purchased]],D:D))</f>
        <v>Debit Card</v>
      </c>
      <c r="T3869">
        <f>SUMIF(J:J,Table1[[#This Row],[Season]],F:F)</f>
        <v>55777</v>
      </c>
    </row>
    <row r="3870" spans="1:20" x14ac:dyDescent="0.3">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c r="S3870" t="str">
        <f>INDEX(Q:Q,MATCH(Table1[[#This Row],[Item Purchased]],D:D))</f>
        <v>Debit Card</v>
      </c>
      <c r="T3870">
        <f>SUMIF(J:J,Table1[[#This Row],[Season]],F:F)</f>
        <v>58607</v>
      </c>
    </row>
    <row r="3871" spans="1:20" x14ac:dyDescent="0.3">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c r="S3871" t="str">
        <f>INDEX(Q:Q,MATCH(Table1[[#This Row],[Item Purchased]],D:D))</f>
        <v>Debit Card</v>
      </c>
      <c r="T3871">
        <f>SUMIF(J:J,Table1[[#This Row],[Season]],F:F)</f>
        <v>58679</v>
      </c>
    </row>
    <row r="3872" spans="1:20" x14ac:dyDescent="0.3">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c r="S3872" t="str">
        <f>INDEX(Q:Q,MATCH(Table1[[#This Row],[Item Purchased]],D:D))</f>
        <v>Bank Transfer</v>
      </c>
      <c r="T3872">
        <f>SUMIF(J:J,Table1[[#This Row],[Season]],F:F)</f>
        <v>60018</v>
      </c>
    </row>
    <row r="3873" spans="1:20" x14ac:dyDescent="0.3">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c r="S3873" t="str">
        <f>INDEX(Q:Q,MATCH(Table1[[#This Row],[Item Purchased]],D:D))</f>
        <v>Venmo</v>
      </c>
      <c r="T3873">
        <f>SUMIF(J:J,Table1[[#This Row],[Season]],F:F)</f>
        <v>60018</v>
      </c>
    </row>
    <row r="3874" spans="1:20" x14ac:dyDescent="0.3">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c r="S3874" t="str">
        <f>INDEX(Q:Q,MATCH(Table1[[#This Row],[Item Purchased]],D:D))</f>
        <v>Debit Card</v>
      </c>
      <c r="T3874">
        <f>SUMIF(J:J,Table1[[#This Row],[Season]],F:F)</f>
        <v>58679</v>
      </c>
    </row>
    <row r="3875" spans="1:20" x14ac:dyDescent="0.3">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c r="S3875" t="str">
        <f>INDEX(Q:Q,MATCH(Table1[[#This Row],[Item Purchased]],D:D))</f>
        <v>Bank Transfer</v>
      </c>
      <c r="T3875">
        <f>SUMIF(J:J,Table1[[#This Row],[Season]],F:F)</f>
        <v>55777</v>
      </c>
    </row>
    <row r="3876" spans="1:20" x14ac:dyDescent="0.3">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c r="S3876" t="str">
        <f>INDEX(Q:Q,MATCH(Table1[[#This Row],[Item Purchased]],D:D))</f>
        <v>Venmo</v>
      </c>
      <c r="T3876">
        <f>SUMIF(J:J,Table1[[#This Row],[Season]],F:F)</f>
        <v>55777</v>
      </c>
    </row>
    <row r="3877" spans="1:20" x14ac:dyDescent="0.3">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c r="S3877" t="str">
        <f>INDEX(Q:Q,MATCH(Table1[[#This Row],[Item Purchased]],D:D))</f>
        <v>Venmo</v>
      </c>
      <c r="T3877">
        <f>SUMIF(J:J,Table1[[#This Row],[Season]],F:F)</f>
        <v>58607</v>
      </c>
    </row>
    <row r="3878" spans="1:20" x14ac:dyDescent="0.3">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c r="S3878" t="str">
        <f>INDEX(Q:Q,MATCH(Table1[[#This Row],[Item Purchased]],D:D))</f>
        <v>PayPal</v>
      </c>
      <c r="T3878">
        <f>SUMIF(J:J,Table1[[#This Row],[Season]],F:F)</f>
        <v>60018</v>
      </c>
    </row>
    <row r="3879" spans="1:20" x14ac:dyDescent="0.3">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c r="S3879" t="str">
        <f>INDEX(Q:Q,MATCH(Table1[[#This Row],[Item Purchased]],D:D))</f>
        <v>Venmo</v>
      </c>
      <c r="T3879">
        <f>SUMIF(J:J,Table1[[#This Row],[Season]],F:F)</f>
        <v>58679</v>
      </c>
    </row>
    <row r="3880" spans="1:20" x14ac:dyDescent="0.3">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c r="S3880" t="str">
        <f>INDEX(Q:Q,MATCH(Table1[[#This Row],[Item Purchased]],D:D))</f>
        <v>Venmo</v>
      </c>
      <c r="T3880">
        <f>SUMIF(J:J,Table1[[#This Row],[Season]],F:F)</f>
        <v>55777</v>
      </c>
    </row>
    <row r="3881" spans="1:20" x14ac:dyDescent="0.3">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c r="S3881" t="str">
        <f>INDEX(Q:Q,MATCH(Table1[[#This Row],[Item Purchased]],D:D))</f>
        <v>Credit Card</v>
      </c>
      <c r="T3881">
        <f>SUMIF(J:J,Table1[[#This Row],[Season]],F:F)</f>
        <v>58607</v>
      </c>
    </row>
    <row r="3882" spans="1:20" x14ac:dyDescent="0.3">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c r="S3882" t="str">
        <f>INDEX(Q:Q,MATCH(Table1[[#This Row],[Item Purchased]],D:D))</f>
        <v>Bank Transfer</v>
      </c>
      <c r="T3882">
        <f>SUMIF(J:J,Table1[[#This Row],[Season]],F:F)</f>
        <v>58607</v>
      </c>
    </row>
    <row r="3883" spans="1:20" x14ac:dyDescent="0.3">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c r="S3883" t="str">
        <f>INDEX(Q:Q,MATCH(Table1[[#This Row],[Item Purchased]],D:D))</f>
        <v>Bank Transfer</v>
      </c>
      <c r="T3883">
        <f>SUMIF(J:J,Table1[[#This Row],[Season]],F:F)</f>
        <v>58679</v>
      </c>
    </row>
    <row r="3884" spans="1:20" x14ac:dyDescent="0.3">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c r="S3884" t="str">
        <f>INDEX(Q:Q,MATCH(Table1[[#This Row],[Item Purchased]],D:D))</f>
        <v>Cash</v>
      </c>
      <c r="T3884">
        <f>SUMIF(J:J,Table1[[#This Row],[Season]],F:F)</f>
        <v>60018</v>
      </c>
    </row>
    <row r="3885" spans="1:20" x14ac:dyDescent="0.3">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c r="S3885" t="str">
        <f>INDEX(Q:Q,MATCH(Table1[[#This Row],[Item Purchased]],D:D))</f>
        <v>Venmo</v>
      </c>
      <c r="T3885">
        <f>SUMIF(J:J,Table1[[#This Row],[Season]],F:F)</f>
        <v>60018</v>
      </c>
    </row>
    <row r="3886" spans="1:20" x14ac:dyDescent="0.3">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c r="S3886" t="str">
        <f>INDEX(Q:Q,MATCH(Table1[[#This Row],[Item Purchased]],D:D))</f>
        <v>Bank Transfer</v>
      </c>
      <c r="T3886">
        <f>SUMIF(J:J,Table1[[#This Row],[Season]],F:F)</f>
        <v>60018</v>
      </c>
    </row>
    <row r="3887" spans="1:20" x14ac:dyDescent="0.3">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c r="S3887" t="str">
        <f>INDEX(Q:Q,MATCH(Table1[[#This Row],[Item Purchased]],D:D))</f>
        <v>Venmo</v>
      </c>
      <c r="T3887">
        <f>SUMIF(J:J,Table1[[#This Row],[Season]],F:F)</f>
        <v>58607</v>
      </c>
    </row>
    <row r="3888" spans="1:20" x14ac:dyDescent="0.3">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c r="S3888" t="str">
        <f>INDEX(Q:Q,MATCH(Table1[[#This Row],[Item Purchased]],D:D))</f>
        <v>Cash</v>
      </c>
      <c r="T3888">
        <f>SUMIF(J:J,Table1[[#This Row],[Season]],F:F)</f>
        <v>55777</v>
      </c>
    </row>
    <row r="3889" spans="1:20" x14ac:dyDescent="0.3">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c r="S3889" t="str">
        <f>INDEX(Q:Q,MATCH(Table1[[#This Row],[Item Purchased]],D:D))</f>
        <v>Bank Transfer</v>
      </c>
      <c r="T3889">
        <f>SUMIF(J:J,Table1[[#This Row],[Season]],F:F)</f>
        <v>58679</v>
      </c>
    </row>
    <row r="3890" spans="1:20" x14ac:dyDescent="0.3">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c r="S3890" t="str">
        <f>INDEX(Q:Q,MATCH(Table1[[#This Row],[Item Purchased]],D:D))</f>
        <v>Venmo</v>
      </c>
      <c r="T3890">
        <f>SUMIF(J:J,Table1[[#This Row],[Season]],F:F)</f>
        <v>58679</v>
      </c>
    </row>
    <row r="3891" spans="1:20" x14ac:dyDescent="0.3">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c r="S3891" t="str">
        <f>INDEX(Q:Q,MATCH(Table1[[#This Row],[Item Purchased]],D:D))</f>
        <v>Debit Card</v>
      </c>
      <c r="T3891">
        <f>SUMIF(J:J,Table1[[#This Row],[Season]],F:F)</f>
        <v>58679</v>
      </c>
    </row>
    <row r="3892" spans="1:20" x14ac:dyDescent="0.3">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c r="S3892" t="str">
        <f>INDEX(Q:Q,MATCH(Table1[[#This Row],[Item Purchased]],D:D))</f>
        <v>Bank Transfer</v>
      </c>
      <c r="T3892">
        <f>SUMIF(J:J,Table1[[#This Row],[Season]],F:F)</f>
        <v>58607</v>
      </c>
    </row>
    <row r="3893" spans="1:20" x14ac:dyDescent="0.3">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c r="S3893" t="str">
        <f>INDEX(Q:Q,MATCH(Table1[[#This Row],[Item Purchased]],D:D))</f>
        <v>Debit Card</v>
      </c>
      <c r="T3893">
        <f>SUMIF(J:J,Table1[[#This Row],[Season]],F:F)</f>
        <v>58607</v>
      </c>
    </row>
    <row r="3894" spans="1:20" x14ac:dyDescent="0.3">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c r="S3894" t="str">
        <f>INDEX(Q:Q,MATCH(Table1[[#This Row],[Item Purchased]],D:D))</f>
        <v>Cash</v>
      </c>
      <c r="T3894">
        <f>SUMIF(J:J,Table1[[#This Row],[Season]],F:F)</f>
        <v>55777</v>
      </c>
    </row>
    <row r="3895" spans="1:20" x14ac:dyDescent="0.3">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c r="S3895" t="str">
        <f>INDEX(Q:Q,MATCH(Table1[[#This Row],[Item Purchased]],D:D))</f>
        <v>Venmo</v>
      </c>
      <c r="T3895">
        <f>SUMIF(J:J,Table1[[#This Row],[Season]],F:F)</f>
        <v>60018</v>
      </c>
    </row>
    <row r="3896" spans="1:20" x14ac:dyDescent="0.3">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c r="S3896" t="str">
        <f>INDEX(Q:Q,MATCH(Table1[[#This Row],[Item Purchased]],D:D))</f>
        <v>Credit Card</v>
      </c>
      <c r="T3896">
        <f>SUMIF(J:J,Table1[[#This Row],[Season]],F:F)</f>
        <v>58679</v>
      </c>
    </row>
    <row r="3897" spans="1:20" x14ac:dyDescent="0.3">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c r="S3897" t="str">
        <f>INDEX(Q:Q,MATCH(Table1[[#This Row],[Item Purchased]],D:D))</f>
        <v>Venmo</v>
      </c>
      <c r="T3897">
        <f>SUMIF(J:J,Table1[[#This Row],[Season]],F:F)</f>
        <v>55777</v>
      </c>
    </row>
    <row r="3898" spans="1:20" x14ac:dyDescent="0.3">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c r="S3898" t="e">
        <f>INDEX(Q:Q,MATCH(Table1[[#This Row],[Item Purchased]],D:D))</f>
        <v>#N/A</v>
      </c>
      <c r="T3898">
        <f>SUMIF(J:J,Table1[[#This Row],[Season]],F:F)</f>
        <v>58679</v>
      </c>
    </row>
    <row r="3899" spans="1:20" x14ac:dyDescent="0.3">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c r="S3899" t="e">
        <f>INDEX(Q:Q,MATCH(Table1[[#This Row],[Item Purchased]],D:D))</f>
        <v>#N/A</v>
      </c>
      <c r="T3899">
        <f>SUMIF(J:J,Table1[[#This Row],[Season]],F:F)</f>
        <v>58679</v>
      </c>
    </row>
    <row r="3900" spans="1:20" x14ac:dyDescent="0.3">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c r="S3900" t="str">
        <f>INDEX(Q:Q,MATCH(Table1[[#This Row],[Item Purchased]],D:D))</f>
        <v>PayPal</v>
      </c>
      <c r="T3900">
        <f>SUMIF(J:J,Table1[[#This Row],[Season]],F:F)</f>
        <v>55777</v>
      </c>
    </row>
    <row r="3901" spans="1:20" x14ac:dyDescent="0.3">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c r="S3901" t="str">
        <f>INDEX(Q:Q,MATCH(Table1[[#This Row],[Item Purchased]],D:D))</f>
        <v>Cash</v>
      </c>
      <c r="T3901">
        <f>SUMIF(J:J,Table1[[#This Row],[Season]],F:F)</f>
        <v>58679</v>
      </c>
    </row>
    <row r="3903" spans="1:20" x14ac:dyDescent="0.3">
      <c r="F3903">
        <f ca="1">COUNT(F:F)</f>
        <v>0</v>
      </c>
    </row>
    <row r="3904" spans="1:20" x14ac:dyDescent="0.3">
      <c r="F3904">
        <f ca="1">COUNT(F:F)</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vlookup</vt:lpstr>
      <vt:lpstr>Pivot tables</vt: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Ankur Kumar</dc:creator>
  <cp:lastModifiedBy>Ankur Kumar</cp:lastModifiedBy>
  <dcterms:created xsi:type="dcterms:W3CDTF">2026-09-15T13:15:30Z</dcterms:created>
  <dcterms:modified xsi:type="dcterms:W3CDTF">2026-09-28T06:06:02Z</dcterms:modified>
</cp:coreProperties>
</file>